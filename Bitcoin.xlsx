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IS_Project\Bitcoin\"/>
    </mc:Choice>
  </mc:AlternateContent>
  <xr:revisionPtr revIDLastSave="0" documentId="13_ncr:1_{4E0317F5-CE8D-4C4E-9A7B-2636B22FB533}" xr6:coauthVersionLast="47" xr6:coauthVersionMax="47" xr10:uidLastSave="{00000000-0000-0000-0000-000000000000}"/>
  <bookViews>
    <workbookView xWindow="-108" yWindow="-108" windowWidth="23256" windowHeight="12456" firstSheet="8" activeTab="11" xr2:uid="{D824C71D-A54D-4F70-BB8D-20D7F9CF3D43}"/>
  </bookViews>
  <sheets>
    <sheet name="Analysis" sheetId="1" r:id="rId1"/>
    <sheet name="Formulas" sheetId="10" r:id="rId2"/>
    <sheet name="All Coins " sheetId="9" r:id="rId3"/>
    <sheet name="Ticker Streams" sheetId="2" r:id="rId4"/>
    <sheet name="Portfolio Risk Matrics" sheetId="7" r:id="rId5"/>
    <sheet name="OHLC 15m" sheetId="3" r:id="rId6"/>
    <sheet name="OHLC 1h" sheetId="4" r:id="rId7"/>
    <sheet name="OHLC 4h" sheetId="5" r:id="rId8"/>
    <sheet name="OHLC 1d" sheetId="6" r:id="rId9"/>
    <sheet name="Indicators 15m" sheetId="8" r:id="rId10"/>
    <sheet name="Signals 15m" sheetId="11" r:id="rId11"/>
    <sheet name="Performance Repor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2" l="1"/>
  <c r="C9" i="12"/>
  <c r="A1" i="3" a="1"/>
  <c r="A1" i="4" a="1"/>
  <c r="A1" i="5" a="1"/>
  <c r="A1" i="7" a="1"/>
  <c r="B19" i="2" a="1"/>
  <c r="B18" i="2" a="1"/>
  <c r="B17" i="2" a="1"/>
  <c r="B16" i="2" a="1"/>
  <c r="B15" i="2" a="1"/>
  <c r="B14" i="2" a="1"/>
  <c r="B13" i="2" a="1"/>
  <c r="B12" i="2" a="1"/>
  <c r="B11" i="2" a="1"/>
  <c r="B10" i="2" a="1"/>
  <c r="B9" i="2" a="1"/>
  <c r="B8" i="2" a="1"/>
  <c r="B7" i="2" a="1"/>
  <c r="B6" i="2" a="1"/>
  <c r="B5" i="2" a="1"/>
  <c r="B4" i="2" a="1"/>
  <c r="B3" i="2" a="1"/>
  <c r="A1" i="9" a="1"/>
  <c r="A1" i="3" l="1"/>
  <c r="A1" i="4"/>
  <c r="A1" i="5"/>
  <c r="M1" i="12" a="1"/>
  <c r="M1" i="12" s="1"/>
  <c r="A1" i="7"/>
  <c r="B19" i="2"/>
  <c r="B18" i="2"/>
  <c r="B17" i="2"/>
  <c r="B16" i="2"/>
  <c r="B15" i="2"/>
  <c r="B14" i="2"/>
  <c r="B13" i="2"/>
  <c r="B12" i="2"/>
  <c r="B11" i="2"/>
  <c r="B10" i="2"/>
  <c r="B9" i="2"/>
  <c r="B8" i="2"/>
  <c r="C10" i="12" s="1"/>
  <c r="B7" i="2"/>
  <c r="B6" i="2"/>
  <c r="B5" i="2"/>
  <c r="B4" i="2"/>
  <c r="B3" i="2"/>
  <c r="A1" i="9"/>
  <c r="AD2" i="8"/>
  <c r="V3" i="8"/>
  <c r="V4" i="8"/>
  <c r="V5" i="8"/>
  <c r="V6" i="8"/>
  <c r="V7" i="8"/>
  <c r="V8" i="8"/>
  <c r="V9" i="8"/>
  <c r="V10" i="8"/>
  <c r="V11" i="8"/>
  <c r="V12" i="8"/>
  <c r="V2" i="8"/>
  <c r="U12" i="8"/>
  <c r="U11" i="8"/>
  <c r="U10" i="8"/>
  <c r="T3" i="8"/>
  <c r="T4" i="8"/>
  <c r="T5" i="8"/>
  <c r="T6" i="8"/>
  <c r="T7" i="8"/>
  <c r="T8" i="8"/>
  <c r="T9" i="8"/>
  <c r="T10" i="8"/>
  <c r="T11" i="8"/>
  <c r="T12" i="8"/>
  <c r="T2" i="8"/>
  <c r="A1" i="6" l="1" a="1"/>
  <c r="A1" i="6" s="1"/>
  <c r="L1" i="12" a="1"/>
  <c r="L1" i="12" s="1"/>
  <c r="N2" i="12"/>
  <c r="N3" i="12"/>
  <c r="N15" i="12"/>
  <c r="N27" i="12"/>
  <c r="N39" i="12"/>
  <c r="N51" i="12"/>
  <c r="N63" i="12"/>
  <c r="N75" i="12"/>
  <c r="N87" i="12"/>
  <c r="N99" i="12"/>
  <c r="N111" i="12"/>
  <c r="N123" i="12"/>
  <c r="N135" i="12"/>
  <c r="N147" i="12"/>
  <c r="N159" i="12"/>
  <c r="N171" i="12"/>
  <c r="N183" i="12"/>
  <c r="N195" i="12"/>
  <c r="N207" i="12"/>
  <c r="N219" i="12"/>
  <c r="N231" i="12"/>
  <c r="N243" i="12"/>
  <c r="N255" i="12"/>
  <c r="N267" i="12"/>
  <c r="N279" i="12"/>
  <c r="N291" i="12"/>
  <c r="N303" i="12"/>
  <c r="N315" i="12"/>
  <c r="N327" i="12"/>
  <c r="N339" i="12"/>
  <c r="N351" i="12"/>
  <c r="N363" i="12"/>
  <c r="N375" i="12"/>
  <c r="N387" i="12"/>
  <c r="N399" i="12"/>
  <c r="N411" i="12"/>
  <c r="N423" i="12"/>
  <c r="N435" i="12"/>
  <c r="N447" i="12"/>
  <c r="N459" i="12"/>
  <c r="N471" i="12"/>
  <c r="N483" i="12"/>
  <c r="N495" i="12"/>
  <c r="N507" i="12"/>
  <c r="N519" i="12"/>
  <c r="N531" i="12"/>
  <c r="N543" i="12"/>
  <c r="N555" i="12"/>
  <c r="N567" i="12"/>
  <c r="N579" i="12"/>
  <c r="N591" i="12"/>
  <c r="N603" i="12"/>
  <c r="N615" i="12"/>
  <c r="N627" i="12"/>
  <c r="N639" i="12"/>
  <c r="N651" i="12"/>
  <c r="N663" i="12"/>
  <c r="N675" i="12"/>
  <c r="N687" i="12"/>
  <c r="N699" i="12"/>
  <c r="N711" i="12"/>
  <c r="N723" i="12"/>
  <c r="N592" i="12"/>
  <c r="N628" i="12"/>
  <c r="N652" i="12"/>
  <c r="N676" i="12"/>
  <c r="N688" i="12"/>
  <c r="N712" i="12"/>
  <c r="N5" i="12"/>
  <c r="N41" i="12"/>
  <c r="N65" i="12"/>
  <c r="N89" i="12"/>
  <c r="N113" i="12"/>
  <c r="N137" i="12"/>
  <c r="N161" i="12"/>
  <c r="N185" i="12"/>
  <c r="N209" i="12"/>
  <c r="N233" i="12"/>
  <c r="N245" i="12"/>
  <c r="N269" i="12"/>
  <c r="N305" i="12"/>
  <c r="N329" i="12"/>
  <c r="N353" i="12"/>
  <c r="N389" i="12"/>
  <c r="N413" i="12"/>
  <c r="N4" i="12"/>
  <c r="N16" i="12"/>
  <c r="N28" i="12"/>
  <c r="N40" i="12"/>
  <c r="N52" i="12"/>
  <c r="N64" i="12"/>
  <c r="N76" i="12"/>
  <c r="N88" i="12"/>
  <c r="N100" i="12"/>
  <c r="N112" i="12"/>
  <c r="N124" i="12"/>
  <c r="N136" i="12"/>
  <c r="N148" i="12"/>
  <c r="N160" i="12"/>
  <c r="N172" i="12"/>
  <c r="N184" i="12"/>
  <c r="N196" i="12"/>
  <c r="N208" i="12"/>
  <c r="N220" i="12"/>
  <c r="N232" i="12"/>
  <c r="N244" i="12"/>
  <c r="N256" i="12"/>
  <c r="N268" i="12"/>
  <c r="N280" i="12"/>
  <c r="N292" i="12"/>
  <c r="N304" i="12"/>
  <c r="N316" i="12"/>
  <c r="N328" i="12"/>
  <c r="N340" i="12"/>
  <c r="N352" i="12"/>
  <c r="N364" i="12"/>
  <c r="N376" i="12"/>
  <c r="N388" i="12"/>
  <c r="N400" i="12"/>
  <c r="N412" i="12"/>
  <c r="N424" i="12"/>
  <c r="N436" i="12"/>
  <c r="N448" i="12"/>
  <c r="Q448" i="12" s="1"/>
  <c r="N460" i="12"/>
  <c r="N472" i="12"/>
  <c r="N484" i="12"/>
  <c r="N496" i="12"/>
  <c r="N508" i="12"/>
  <c r="N520" i="12"/>
  <c r="N532" i="12"/>
  <c r="N544" i="12"/>
  <c r="N556" i="12"/>
  <c r="N568" i="12"/>
  <c r="N580" i="12"/>
  <c r="N604" i="12"/>
  <c r="N616" i="12"/>
  <c r="N640" i="12"/>
  <c r="N664" i="12"/>
  <c r="N700" i="12"/>
  <c r="N724" i="12"/>
  <c r="N17" i="12"/>
  <c r="N29" i="12"/>
  <c r="N53" i="12"/>
  <c r="N77" i="12"/>
  <c r="N101" i="12"/>
  <c r="N125" i="12"/>
  <c r="N149" i="12"/>
  <c r="N173" i="12"/>
  <c r="N197" i="12"/>
  <c r="N221" i="12"/>
  <c r="N257" i="12"/>
  <c r="N281" i="12"/>
  <c r="N317" i="12"/>
  <c r="N341" i="12"/>
  <c r="N365" i="12"/>
  <c r="N377" i="12"/>
  <c r="N401" i="12"/>
  <c r="N425" i="12"/>
  <c r="N293" i="12"/>
  <c r="N8" i="12"/>
  <c r="N20" i="12"/>
  <c r="N32" i="12"/>
  <c r="N44" i="12"/>
  <c r="N56" i="12"/>
  <c r="N68" i="12"/>
  <c r="N80" i="12"/>
  <c r="N92" i="12"/>
  <c r="N104" i="12"/>
  <c r="N116" i="12"/>
  <c r="N128" i="12"/>
  <c r="N140" i="12"/>
  <c r="N152" i="12"/>
  <c r="N164" i="12"/>
  <c r="N176" i="12"/>
  <c r="N188" i="12"/>
  <c r="N200" i="12"/>
  <c r="N212" i="12"/>
  <c r="N224" i="12"/>
  <c r="N236" i="12"/>
  <c r="N248" i="12"/>
  <c r="N260" i="12"/>
  <c r="N272" i="12"/>
  <c r="N284" i="12"/>
  <c r="N296" i="12"/>
  <c r="N308" i="12"/>
  <c r="N320" i="12"/>
  <c r="N332" i="12"/>
  <c r="N344" i="12"/>
  <c r="N356" i="12"/>
  <c r="N368" i="12"/>
  <c r="N380" i="12"/>
  <c r="N392" i="12"/>
  <c r="N404" i="12"/>
  <c r="N416" i="12"/>
  <c r="N428" i="12"/>
  <c r="N440" i="12"/>
  <c r="N452" i="12"/>
  <c r="N464" i="12"/>
  <c r="N476" i="12"/>
  <c r="N488" i="12"/>
  <c r="N500" i="12"/>
  <c r="N512" i="12"/>
  <c r="N524" i="12"/>
  <c r="N536" i="12"/>
  <c r="N548" i="12"/>
  <c r="N560" i="12"/>
  <c r="N572" i="12"/>
  <c r="N584" i="12"/>
  <c r="N596" i="12"/>
  <c r="N608" i="12"/>
  <c r="N620" i="12"/>
  <c r="N632" i="12"/>
  <c r="N644" i="12"/>
  <c r="N656" i="12"/>
  <c r="N668" i="12"/>
  <c r="N680" i="12"/>
  <c r="N692" i="12"/>
  <c r="N704" i="12"/>
  <c r="N716" i="12"/>
  <c r="N728" i="12"/>
  <c r="N34" i="12"/>
  <c r="N46" i="12"/>
  <c r="N70" i="12"/>
  <c r="N82" i="12"/>
  <c r="N106" i="12"/>
  <c r="N130" i="12"/>
  <c r="N154" i="12"/>
  <c r="N178" i="12"/>
  <c r="N202" i="12"/>
  <c r="N226" i="12"/>
  <c r="N238" i="12"/>
  <c r="N250" i="12"/>
  <c r="N262" i="12"/>
  <c r="N274" i="12"/>
  <c r="N286" i="12"/>
  <c r="N298" i="12"/>
  <c r="N310" i="12"/>
  <c r="N322" i="12"/>
  <c r="N334" i="12"/>
  <c r="N346" i="12"/>
  <c r="N358" i="12"/>
  <c r="N370" i="12"/>
  <c r="N382" i="12"/>
  <c r="N394" i="12"/>
  <c r="N9" i="12"/>
  <c r="N21" i="12"/>
  <c r="N33" i="12"/>
  <c r="N45" i="12"/>
  <c r="N57" i="12"/>
  <c r="N69" i="12"/>
  <c r="N81" i="12"/>
  <c r="N93" i="12"/>
  <c r="N105" i="12"/>
  <c r="N117" i="12"/>
  <c r="N129" i="12"/>
  <c r="N141" i="12"/>
  <c r="N153" i="12"/>
  <c r="N165" i="12"/>
  <c r="N177" i="12"/>
  <c r="N189" i="12"/>
  <c r="N201" i="12"/>
  <c r="N213" i="12"/>
  <c r="N225" i="12"/>
  <c r="N237" i="12"/>
  <c r="N249" i="12"/>
  <c r="N261" i="12"/>
  <c r="N273" i="12"/>
  <c r="N285" i="12"/>
  <c r="N297" i="12"/>
  <c r="N309" i="12"/>
  <c r="N321" i="12"/>
  <c r="N333" i="12"/>
  <c r="N345" i="12"/>
  <c r="N357" i="12"/>
  <c r="N369" i="12"/>
  <c r="N381" i="12"/>
  <c r="N393" i="12"/>
  <c r="N405" i="12"/>
  <c r="N417" i="12"/>
  <c r="N429" i="12"/>
  <c r="N441" i="12"/>
  <c r="N453" i="12"/>
  <c r="N465" i="12"/>
  <c r="N477" i="12"/>
  <c r="N489" i="12"/>
  <c r="N501" i="12"/>
  <c r="N513" i="12"/>
  <c r="N525" i="12"/>
  <c r="N537" i="12"/>
  <c r="N549" i="12"/>
  <c r="N561" i="12"/>
  <c r="N573" i="12"/>
  <c r="N585" i="12"/>
  <c r="N597" i="12"/>
  <c r="N609" i="12"/>
  <c r="N621" i="12"/>
  <c r="N633" i="12"/>
  <c r="N645" i="12"/>
  <c r="N657" i="12"/>
  <c r="N669" i="12"/>
  <c r="N681" i="12"/>
  <c r="N693" i="12"/>
  <c r="N705" i="12"/>
  <c r="N717" i="12"/>
  <c r="N729" i="12"/>
  <c r="N22" i="12"/>
  <c r="N58" i="12"/>
  <c r="N94" i="12"/>
  <c r="N118" i="12"/>
  <c r="N142" i="12"/>
  <c r="N166" i="12"/>
  <c r="N190" i="12"/>
  <c r="N214" i="12"/>
  <c r="N10" i="12"/>
  <c r="N11" i="12"/>
  <c r="N12" i="12"/>
  <c r="N13" i="12"/>
  <c r="N25" i="12"/>
  <c r="N37" i="12"/>
  <c r="N49" i="12"/>
  <c r="N61" i="12"/>
  <c r="N73" i="12"/>
  <c r="N85" i="12"/>
  <c r="N97" i="12"/>
  <c r="N109" i="12"/>
  <c r="N121" i="12"/>
  <c r="N133" i="12"/>
  <c r="N145" i="12"/>
  <c r="N157" i="12"/>
  <c r="N169" i="12"/>
  <c r="N181" i="12"/>
  <c r="N193" i="12"/>
  <c r="N205" i="12"/>
  <c r="N217" i="12"/>
  <c r="N229" i="12"/>
  <c r="N241" i="12"/>
  <c r="N253" i="12"/>
  <c r="N265" i="12"/>
  <c r="N277" i="12"/>
  <c r="N289" i="12"/>
  <c r="N301" i="12"/>
  <c r="N313" i="12"/>
  <c r="N325" i="12"/>
  <c r="N337" i="12"/>
  <c r="N349" i="12"/>
  <c r="N361" i="12"/>
  <c r="N373" i="12"/>
  <c r="N385" i="12"/>
  <c r="N397" i="12"/>
  <c r="N409" i="12"/>
  <c r="N421" i="12"/>
  <c r="N14" i="12"/>
  <c r="N26" i="12"/>
  <c r="N38" i="12"/>
  <c r="N50" i="12"/>
  <c r="N62" i="12"/>
  <c r="N74" i="12"/>
  <c r="N86" i="12"/>
  <c r="N98" i="12"/>
  <c r="N110" i="12"/>
  <c r="N122" i="12"/>
  <c r="N134" i="12"/>
  <c r="N146" i="12"/>
  <c r="N158" i="12"/>
  <c r="N170" i="12"/>
  <c r="N182" i="12"/>
  <c r="N194" i="12"/>
  <c r="N206" i="12"/>
  <c r="N218" i="12"/>
  <c r="N230" i="12"/>
  <c r="N242" i="12"/>
  <c r="N254" i="12"/>
  <c r="N266" i="12"/>
  <c r="N278" i="12"/>
  <c r="N290" i="12"/>
  <c r="N302" i="12"/>
  <c r="N314" i="12"/>
  <c r="N326" i="12"/>
  <c r="N338" i="12"/>
  <c r="N350" i="12"/>
  <c r="N362" i="12"/>
  <c r="N374" i="12"/>
  <c r="N386" i="12"/>
  <c r="N398" i="12"/>
  <c r="N410" i="12"/>
  <c r="N422" i="12"/>
  <c r="N6" i="12"/>
  <c r="N47" i="12"/>
  <c r="N83" i="12"/>
  <c r="N119" i="12"/>
  <c r="N155" i="12"/>
  <c r="N191" i="12"/>
  <c r="N227" i="12"/>
  <c r="N263" i="12"/>
  <c r="N299" i="12"/>
  <c r="N335" i="12"/>
  <c r="N371" i="12"/>
  <c r="N406" i="12"/>
  <c r="N432" i="12"/>
  <c r="N450" i="12"/>
  <c r="N468" i="12"/>
  <c r="N486" i="12"/>
  <c r="N504" i="12"/>
  <c r="N522" i="12"/>
  <c r="N540" i="12"/>
  <c r="N558" i="12"/>
  <c r="N576" i="12"/>
  <c r="N594" i="12"/>
  <c r="N612" i="12"/>
  <c r="N630" i="12"/>
  <c r="N648" i="12"/>
  <c r="N666" i="12"/>
  <c r="N684" i="12"/>
  <c r="N702" i="12"/>
  <c r="N720" i="12"/>
  <c r="N526" i="12"/>
  <c r="N598" i="12"/>
  <c r="N650" i="12"/>
  <c r="N706" i="12"/>
  <c r="N722" i="12"/>
  <c r="N19" i="12"/>
  <c r="N127" i="12"/>
  <c r="N199" i="12"/>
  <c r="N271" i="12"/>
  <c r="N343" i="12"/>
  <c r="N414" i="12"/>
  <c r="N473" i="12"/>
  <c r="N527" i="12"/>
  <c r="N563" i="12"/>
  <c r="N599" i="12"/>
  <c r="N635" i="12"/>
  <c r="N671" i="12"/>
  <c r="N689" i="12"/>
  <c r="N725" i="12"/>
  <c r="N23" i="12"/>
  <c r="N95" i="12"/>
  <c r="N131" i="12"/>
  <c r="N167" i="12"/>
  <c r="N239" i="12"/>
  <c r="N311" i="12"/>
  <c r="N383" i="12"/>
  <c r="N438" i="12"/>
  <c r="N474" i="12"/>
  <c r="N510" i="12"/>
  <c r="N528" i="12"/>
  <c r="N564" i="12"/>
  <c r="N582" i="12"/>
  <c r="N618" i="12"/>
  <c r="N654" i="12"/>
  <c r="N690" i="12"/>
  <c r="N726" i="12"/>
  <c r="N475" i="12"/>
  <c r="N547" i="12"/>
  <c r="N619" i="12"/>
  <c r="N7" i="12"/>
  <c r="N48" i="12"/>
  <c r="N84" i="12"/>
  <c r="N120" i="12"/>
  <c r="N156" i="12"/>
  <c r="N192" i="12"/>
  <c r="N228" i="12"/>
  <c r="N264" i="12"/>
  <c r="N300" i="12"/>
  <c r="N336" i="12"/>
  <c r="N372" i="12"/>
  <c r="N407" i="12"/>
  <c r="N433" i="12"/>
  <c r="N451" i="12"/>
  <c r="N469" i="12"/>
  <c r="N487" i="12"/>
  <c r="N505" i="12"/>
  <c r="N523" i="12"/>
  <c r="N541" i="12"/>
  <c r="N559" i="12"/>
  <c r="N577" i="12"/>
  <c r="N595" i="12"/>
  <c r="N613" i="12"/>
  <c r="N631" i="12"/>
  <c r="N649" i="12"/>
  <c r="N667" i="12"/>
  <c r="N685" i="12"/>
  <c r="N703" i="12"/>
  <c r="N721" i="12"/>
  <c r="N506" i="12"/>
  <c r="N686" i="12"/>
  <c r="N91" i="12"/>
  <c r="N18" i="12"/>
  <c r="N54" i="12"/>
  <c r="N90" i="12"/>
  <c r="N126" i="12"/>
  <c r="N162" i="12"/>
  <c r="N198" i="12"/>
  <c r="N234" i="12"/>
  <c r="N270" i="12"/>
  <c r="N306" i="12"/>
  <c r="N342" i="12"/>
  <c r="N378" i="12"/>
  <c r="N408" i="12"/>
  <c r="N434" i="12"/>
  <c r="N454" i="12"/>
  <c r="N470" i="12"/>
  <c r="N490" i="12"/>
  <c r="N542" i="12"/>
  <c r="N562" i="12"/>
  <c r="N578" i="12"/>
  <c r="N614" i="12"/>
  <c r="N634" i="12"/>
  <c r="N670" i="12"/>
  <c r="N55" i="12"/>
  <c r="N163" i="12"/>
  <c r="N235" i="12"/>
  <c r="N307" i="12"/>
  <c r="N379" i="12"/>
  <c r="N437" i="12"/>
  <c r="N455" i="12"/>
  <c r="N509" i="12"/>
  <c r="N545" i="12"/>
  <c r="N581" i="12"/>
  <c r="N617" i="12"/>
  <c r="N653" i="12"/>
  <c r="N707" i="12"/>
  <c r="N59" i="12"/>
  <c r="N203" i="12"/>
  <c r="N275" i="12"/>
  <c r="N347" i="12"/>
  <c r="N415" i="12"/>
  <c r="N456" i="12"/>
  <c r="N492" i="12"/>
  <c r="N546" i="12"/>
  <c r="N600" i="12"/>
  <c r="N636" i="12"/>
  <c r="N672" i="12"/>
  <c r="N708" i="12"/>
  <c r="N439" i="12"/>
  <c r="N529" i="12"/>
  <c r="N583" i="12"/>
  <c r="N691" i="12"/>
  <c r="N491" i="12"/>
  <c r="N493" i="12"/>
  <c r="N565" i="12"/>
  <c r="N655" i="12"/>
  <c r="N24" i="12"/>
  <c r="N60" i="12"/>
  <c r="N96" i="12"/>
  <c r="N132" i="12"/>
  <c r="N168" i="12"/>
  <c r="N204" i="12"/>
  <c r="N240" i="12"/>
  <c r="N276" i="12"/>
  <c r="N312" i="12"/>
  <c r="N348" i="12"/>
  <c r="N384" i="12"/>
  <c r="N418" i="12"/>
  <c r="N457" i="12"/>
  <c r="N511" i="12"/>
  <c r="N30" i="12"/>
  <c r="N66" i="12"/>
  <c r="N102" i="12"/>
  <c r="N138" i="12"/>
  <c r="N174" i="12"/>
  <c r="N210" i="12"/>
  <c r="N246" i="12"/>
  <c r="N282" i="12"/>
  <c r="N318" i="12"/>
  <c r="N354" i="12"/>
  <c r="N390" i="12"/>
  <c r="N419" i="12"/>
  <c r="N442" i="12"/>
  <c r="N458" i="12"/>
  <c r="N478" i="12"/>
  <c r="N494" i="12"/>
  <c r="N514" i="12"/>
  <c r="N530" i="12"/>
  <c r="N550" i="12"/>
  <c r="N566" i="12"/>
  <c r="N586" i="12"/>
  <c r="N602" i="12"/>
  <c r="N622" i="12"/>
  <c r="N638" i="12"/>
  <c r="N658" i="12"/>
  <c r="N674" i="12"/>
  <c r="N694" i="12"/>
  <c r="N710" i="12"/>
  <c r="N730" i="12"/>
  <c r="N516" i="12"/>
  <c r="N552" i="12"/>
  <c r="N588" i="12"/>
  <c r="N624" i="12"/>
  <c r="N660" i="12"/>
  <c r="N696" i="12"/>
  <c r="N732" i="12"/>
  <c r="N78" i="12"/>
  <c r="N258" i="12"/>
  <c r="N402" i="12"/>
  <c r="N446" i="12"/>
  <c r="N482" i="12"/>
  <c r="N518" i="12"/>
  <c r="N574" i="12"/>
  <c r="N626" i="12"/>
  <c r="N698" i="12"/>
  <c r="N223" i="12"/>
  <c r="N431" i="12"/>
  <c r="N485" i="12"/>
  <c r="N539" i="12"/>
  <c r="N575" i="12"/>
  <c r="N629" i="12"/>
  <c r="N683" i="12"/>
  <c r="N601" i="12"/>
  <c r="N673" i="12"/>
  <c r="N31" i="12"/>
  <c r="N67" i="12"/>
  <c r="N103" i="12"/>
  <c r="N139" i="12"/>
  <c r="N175" i="12"/>
  <c r="N211" i="12"/>
  <c r="N247" i="12"/>
  <c r="N283" i="12"/>
  <c r="N319" i="12"/>
  <c r="N355" i="12"/>
  <c r="N391" i="12"/>
  <c r="N420" i="12"/>
  <c r="N443" i="12"/>
  <c r="N461" i="12"/>
  <c r="N479" i="12"/>
  <c r="N497" i="12"/>
  <c r="N515" i="12"/>
  <c r="N533" i="12"/>
  <c r="N551" i="12"/>
  <c r="N569" i="12"/>
  <c r="N587" i="12"/>
  <c r="N605" i="12"/>
  <c r="N623" i="12"/>
  <c r="N641" i="12"/>
  <c r="N659" i="12"/>
  <c r="N677" i="12"/>
  <c r="N695" i="12"/>
  <c r="N713" i="12"/>
  <c r="N731" i="12"/>
  <c r="N35" i="12"/>
  <c r="N71" i="12"/>
  <c r="N107" i="12"/>
  <c r="N143" i="12"/>
  <c r="N179" i="12"/>
  <c r="N215" i="12"/>
  <c r="N251" i="12"/>
  <c r="N287" i="12"/>
  <c r="N323" i="12"/>
  <c r="N359" i="12"/>
  <c r="N395" i="12"/>
  <c r="N426" i="12"/>
  <c r="Q426" i="12" s="1"/>
  <c r="N444" i="12"/>
  <c r="N462" i="12"/>
  <c r="N480" i="12"/>
  <c r="N498" i="12"/>
  <c r="N534" i="12"/>
  <c r="N570" i="12"/>
  <c r="N606" i="12"/>
  <c r="N642" i="12"/>
  <c r="N678" i="12"/>
  <c r="N714" i="12"/>
  <c r="N114" i="12"/>
  <c r="Q114" i="12" s="1"/>
  <c r="N222" i="12"/>
  <c r="N330" i="12"/>
  <c r="N430" i="12"/>
  <c r="Q430" i="12" s="1"/>
  <c r="N466" i="12"/>
  <c r="N502" i="12"/>
  <c r="N554" i="12"/>
  <c r="N590" i="12"/>
  <c r="N646" i="12"/>
  <c r="N718" i="12"/>
  <c r="N295" i="12"/>
  <c r="N367" i="12"/>
  <c r="N449" i="12"/>
  <c r="N521" i="12"/>
  <c r="N593" i="12"/>
  <c r="Q593" i="12" s="1"/>
  <c r="N665" i="12"/>
  <c r="N719" i="12"/>
  <c r="N637" i="12"/>
  <c r="N467" i="12"/>
  <c r="N36" i="12"/>
  <c r="N72" i="12"/>
  <c r="N108" i="12"/>
  <c r="N144" i="12"/>
  <c r="N180" i="12"/>
  <c r="N216" i="12"/>
  <c r="N252" i="12"/>
  <c r="N288" i="12"/>
  <c r="N324" i="12"/>
  <c r="N360" i="12"/>
  <c r="N396" i="12"/>
  <c r="N427" i="12"/>
  <c r="N445" i="12"/>
  <c r="N463" i="12"/>
  <c r="N481" i="12"/>
  <c r="N499" i="12"/>
  <c r="N517" i="12"/>
  <c r="N535" i="12"/>
  <c r="N553" i="12"/>
  <c r="N571" i="12"/>
  <c r="N589" i="12"/>
  <c r="N607" i="12"/>
  <c r="N625" i="12"/>
  <c r="N643" i="12"/>
  <c r="N661" i="12"/>
  <c r="N679" i="12"/>
  <c r="N697" i="12"/>
  <c r="N715" i="12"/>
  <c r="N186" i="12"/>
  <c r="N366" i="12"/>
  <c r="N538" i="12"/>
  <c r="N610" i="12"/>
  <c r="N682" i="12"/>
  <c r="N259" i="12"/>
  <c r="N403" i="12"/>
  <c r="N503" i="12"/>
  <c r="N557" i="12"/>
  <c r="N647" i="12"/>
  <c r="N701" i="12"/>
  <c r="N709" i="12"/>
  <c r="N42" i="12"/>
  <c r="N150" i="12"/>
  <c r="N294" i="12"/>
  <c r="N662" i="12"/>
  <c r="N727" i="12"/>
  <c r="N43" i="12"/>
  <c r="N79" i="12"/>
  <c r="N115" i="12"/>
  <c r="N151" i="12"/>
  <c r="N187" i="12"/>
  <c r="N331" i="12"/>
  <c r="N611" i="12"/>
  <c r="A1" i="8" a="1"/>
  <c r="A1" i="8" s="1"/>
  <c r="D13" i="10"/>
  <c r="D12" i="10"/>
  <c r="D10" i="10"/>
  <c r="D9" i="10"/>
  <c r="D7" i="10"/>
  <c r="D6" i="10"/>
  <c r="D4" i="10"/>
  <c r="D3" i="10"/>
  <c r="Q580" i="12" l="1"/>
  <c r="Q406" i="12"/>
  <c r="Q259" i="12"/>
  <c r="Q240" i="12"/>
  <c r="Q621" i="12"/>
  <c r="Q333" i="12"/>
  <c r="Q189" i="12"/>
  <c r="Q45" i="12"/>
  <c r="Q148" i="12"/>
  <c r="Q581" i="12"/>
  <c r="Q335" i="12"/>
  <c r="Q669" i="12"/>
  <c r="Q525" i="12"/>
  <c r="Q381" i="12"/>
  <c r="Q237" i="12"/>
  <c r="Q93" i="12"/>
  <c r="Q477" i="12"/>
  <c r="Q186" i="12"/>
  <c r="Q695" i="12"/>
  <c r="Q103" i="12"/>
  <c r="Q677" i="12"/>
  <c r="Q292" i="12"/>
  <c r="Q16" i="12"/>
  <c r="Q472" i="12"/>
  <c r="Q586" i="12"/>
  <c r="Q198" i="12"/>
  <c r="Q641" i="12"/>
  <c r="Q210" i="12"/>
  <c r="Q180" i="12"/>
  <c r="Q178" i="12"/>
  <c r="Q144" i="12"/>
  <c r="Q166" i="12"/>
  <c r="Q53" i="12"/>
  <c r="Q481" i="12"/>
  <c r="Q108" i="12"/>
  <c r="Q263" i="12"/>
  <c r="Q329" i="12"/>
  <c r="Q41" i="12"/>
  <c r="Q3" i="12"/>
  <c r="Q395" i="12"/>
  <c r="Q655" i="12"/>
  <c r="Q685" i="12"/>
  <c r="Q469" i="12"/>
  <c r="Q84" i="12"/>
  <c r="Q366" i="12"/>
  <c r="Q535" i="12"/>
  <c r="Q216" i="12"/>
  <c r="Q713" i="12"/>
  <c r="Q497" i="12"/>
  <c r="Q139" i="12"/>
  <c r="Q602" i="12"/>
  <c r="Q354" i="12"/>
  <c r="Q545" i="12"/>
  <c r="Q578" i="12"/>
  <c r="Q234" i="12"/>
  <c r="Q528" i="12"/>
  <c r="Q689" i="12"/>
  <c r="Q19" i="12"/>
  <c r="Q397" i="12"/>
  <c r="Q681" i="12"/>
  <c r="Q537" i="12"/>
  <c r="Q393" i="12"/>
  <c r="Q249" i="12"/>
  <c r="Q202" i="12"/>
  <c r="Q692" i="12"/>
  <c r="Q548" i="12"/>
  <c r="Q404" i="12"/>
  <c r="Q260" i="12"/>
  <c r="Q116" i="12"/>
  <c r="Q401" i="12"/>
  <c r="Q413" i="12"/>
  <c r="Q113" i="12"/>
  <c r="Q711" i="12"/>
  <c r="Q567" i="12"/>
  <c r="Q588" i="12"/>
  <c r="Q436" i="12"/>
  <c r="Q4" i="12"/>
  <c r="Q150" i="12"/>
  <c r="Q449" i="12"/>
  <c r="Q499" i="12"/>
  <c r="Q418" i="12"/>
  <c r="Q612" i="12"/>
  <c r="Q479" i="12"/>
  <c r="Q606" i="12"/>
  <c r="Q530" i="12"/>
  <c r="Q276" i="12"/>
  <c r="Q205" i="12"/>
  <c r="Q633" i="12"/>
  <c r="Q489" i="12"/>
  <c r="Q345" i="12"/>
  <c r="Q201" i="12"/>
  <c r="Q57" i="12"/>
  <c r="Q356" i="12"/>
  <c r="Q644" i="12"/>
  <c r="Q132" i="12"/>
  <c r="Q379" i="12"/>
  <c r="Q562" i="12"/>
  <c r="Q509" i="12"/>
  <c r="Q722" i="12"/>
  <c r="Q626" i="12"/>
  <c r="Q701" i="12"/>
  <c r="Q642" i="12"/>
  <c r="Q287" i="12"/>
  <c r="Q246" i="12"/>
  <c r="Q312" i="12"/>
  <c r="Q415" i="12"/>
  <c r="Q490" i="12"/>
  <c r="Q599" i="12"/>
  <c r="Q558" i="12"/>
  <c r="Q361" i="12"/>
  <c r="Q73" i="12"/>
  <c r="Q645" i="12"/>
  <c r="Q501" i="12"/>
  <c r="Q357" i="12"/>
  <c r="Q213" i="12"/>
  <c r="Q69" i="12"/>
  <c r="Q322" i="12"/>
  <c r="Q80" i="12"/>
  <c r="Q341" i="12"/>
  <c r="Q675" i="12"/>
  <c r="Q531" i="12"/>
  <c r="Q451" i="12"/>
  <c r="Q671" i="12"/>
  <c r="Q594" i="12"/>
  <c r="Q97" i="12"/>
  <c r="Q248" i="12"/>
  <c r="Q659" i="12"/>
  <c r="Q31" i="12"/>
  <c r="Q552" i="12"/>
  <c r="Q512" i="12"/>
  <c r="Q29" i="12"/>
  <c r="Q72" i="12"/>
  <c r="Q251" i="12"/>
  <c r="Q420" i="12"/>
  <c r="Q540" i="12"/>
  <c r="Q61" i="12"/>
  <c r="Q17" i="12"/>
  <c r="Q663" i="12"/>
  <c r="Q445" i="12"/>
  <c r="Q307" i="12"/>
  <c r="Q667" i="12"/>
  <c r="Q48" i="12"/>
  <c r="Q331" i="12"/>
  <c r="Q718" i="12"/>
  <c r="Q443" i="12"/>
  <c r="Q574" i="12"/>
  <c r="Q619" i="12"/>
  <c r="Q142" i="12"/>
  <c r="Q130" i="12"/>
  <c r="Q463" i="12"/>
  <c r="Q673" i="12"/>
  <c r="Q383" i="12"/>
  <c r="Q212" i="12"/>
  <c r="Q305" i="12"/>
  <c r="Q36" i="12"/>
  <c r="Q174" i="12"/>
  <c r="Q583" i="12"/>
  <c r="Q22" i="12"/>
  <c r="Q660" i="12"/>
  <c r="Q410" i="12"/>
  <c r="Q122" i="12"/>
  <c r="Q371" i="12"/>
  <c r="Q520" i="12"/>
  <c r="Q266" i="12"/>
  <c r="Q173" i="12"/>
  <c r="Q544" i="12"/>
  <c r="Q590" i="12"/>
  <c r="Q160" i="12"/>
  <c r="Q316" i="12"/>
  <c r="Q691" i="12"/>
  <c r="Q598" i="12"/>
  <c r="Q193" i="12"/>
  <c r="Q592" i="12"/>
  <c r="Q647" i="12"/>
  <c r="Q532" i="12"/>
  <c r="Q204" i="12"/>
  <c r="Q460" i="12"/>
  <c r="Q678" i="12"/>
  <c r="Q168" i="12"/>
  <c r="Q304" i="12"/>
  <c r="Q96" i="12"/>
  <c r="Q491" i="12"/>
  <c r="Q708" i="12"/>
  <c r="Q109" i="12"/>
  <c r="Q214" i="12"/>
  <c r="Q358" i="12"/>
  <c r="Q101" i="12"/>
  <c r="Q42" i="12"/>
  <c r="Q517" i="12"/>
  <c r="Q698" i="12"/>
  <c r="Q624" i="12"/>
  <c r="Q318" i="12"/>
  <c r="Q384" i="12"/>
  <c r="Q492" i="12"/>
  <c r="Q241" i="12"/>
  <c r="Q190" i="12"/>
  <c r="Q346" i="12"/>
  <c r="Q680" i="12"/>
  <c r="Q392" i="12"/>
  <c r="Q377" i="12"/>
  <c r="Q77" i="12"/>
  <c r="Q389" i="12"/>
  <c r="Q89" i="12"/>
  <c r="Q555" i="12"/>
  <c r="Q611" i="12"/>
  <c r="Q709" i="12"/>
  <c r="Q323" i="12"/>
  <c r="Q461" i="12"/>
  <c r="Q67" i="12"/>
  <c r="Q282" i="12"/>
  <c r="Q348" i="12"/>
  <c r="Q455" i="12"/>
  <c r="Q542" i="12"/>
  <c r="Q162" i="12"/>
  <c r="Q649" i="12"/>
  <c r="Q433" i="12"/>
  <c r="Q7" i="12"/>
  <c r="Q474" i="12"/>
  <c r="Q635" i="12"/>
  <c r="Q706" i="12"/>
  <c r="Q576" i="12"/>
  <c r="Q299" i="12"/>
  <c r="Q373" i="12"/>
  <c r="Q229" i="12"/>
  <c r="Q657" i="12"/>
  <c r="Q513" i="12"/>
  <c r="Q369" i="12"/>
  <c r="Q225" i="12"/>
  <c r="Q81" i="12"/>
  <c r="Q334" i="12"/>
  <c r="Q154" i="12"/>
  <c r="Q524" i="12"/>
  <c r="Q380" i="12"/>
  <c r="Q236" i="12"/>
  <c r="Q92" i="12"/>
  <c r="Q365" i="12"/>
  <c r="Q353" i="12"/>
  <c r="Q65" i="12"/>
  <c r="Q687" i="12"/>
  <c r="Q79" i="12"/>
  <c r="Q629" i="12"/>
  <c r="Q597" i="12"/>
  <c r="Q453" i="12"/>
  <c r="Q309" i="12"/>
  <c r="Q165" i="12"/>
  <c r="Q21" i="12"/>
  <c r="Q496" i="12"/>
  <c r="Q403" i="12"/>
  <c r="Q317" i="12"/>
  <c r="Q724" i="12"/>
  <c r="Q456" i="12"/>
  <c r="Q280" i="12"/>
  <c r="Q546" i="12"/>
  <c r="Q105" i="12"/>
  <c r="Q437" i="12"/>
  <c r="Q631" i="12"/>
  <c r="Q423" i="12"/>
  <c r="Q279" i="12"/>
  <c r="Q135" i="12"/>
  <c r="Q550" i="12"/>
  <c r="Q126" i="12"/>
  <c r="Q407" i="12"/>
  <c r="Q227" i="12"/>
  <c r="Q118" i="12"/>
  <c r="Q5" i="12"/>
  <c r="Q328" i="12"/>
  <c r="Q28" i="12"/>
  <c r="Q52" i="12"/>
  <c r="Q172" i="12"/>
  <c r="Q223" i="12"/>
  <c r="Q253" i="12"/>
  <c r="Q516" i="12"/>
  <c r="Q310" i="12"/>
  <c r="Q570" i="12"/>
  <c r="Q623" i="12"/>
  <c r="Q391" i="12"/>
  <c r="Q601" i="12"/>
  <c r="Q730" i="12"/>
  <c r="Q275" i="12"/>
  <c r="Q454" i="12"/>
  <c r="Q298" i="12"/>
  <c r="Q344" i="12"/>
  <c r="Q56" i="12"/>
  <c r="Q507" i="12"/>
  <c r="Q503" i="12"/>
  <c r="Q467" i="12"/>
  <c r="Q683" i="12"/>
  <c r="Q473" i="12"/>
  <c r="Q720" i="12"/>
  <c r="Q325" i="12"/>
  <c r="Q609" i="12"/>
  <c r="Q465" i="12"/>
  <c r="Q321" i="12"/>
  <c r="Q177" i="12"/>
  <c r="Q33" i="12"/>
  <c r="Q286" i="12"/>
  <c r="Q44" i="12"/>
  <c r="Q295" i="12"/>
  <c r="Q697" i="12"/>
  <c r="Q565" i="12"/>
  <c r="Q196" i="12"/>
  <c r="Q40" i="12"/>
  <c r="Q294" i="12"/>
  <c r="Q388" i="12"/>
  <c r="Q76" i="12"/>
  <c r="Q488" i="12"/>
  <c r="Q200" i="12"/>
  <c r="Q534" i="12"/>
  <c r="Q138" i="12"/>
  <c r="Q639" i="12"/>
  <c r="Q522" i="12"/>
  <c r="Q605" i="12"/>
  <c r="Q239" i="12"/>
  <c r="Q376" i="12"/>
  <c r="Q556" i="12"/>
  <c r="Q124" i="12"/>
  <c r="Q424" i="12"/>
  <c r="Q244" i="12"/>
  <c r="Q427" i="12"/>
  <c r="Q554" i="12"/>
  <c r="Q726" i="12"/>
  <c r="Q608" i="12"/>
  <c r="Q568" i="12"/>
  <c r="Q654" i="12"/>
  <c r="Q343" i="12"/>
  <c r="Q13" i="12"/>
  <c r="Q729" i="12"/>
  <c r="Q585" i="12"/>
  <c r="Q441" i="12"/>
  <c r="Q297" i="12"/>
  <c r="Q153" i="12"/>
  <c r="Q9" i="12"/>
  <c r="Q232" i="12"/>
  <c r="Q508" i="12"/>
  <c r="Q352" i="12"/>
  <c r="Q268" i="12"/>
  <c r="Q11" i="12"/>
  <c r="Q705" i="12"/>
  <c r="Q561" i="12"/>
  <c r="Q417" i="12"/>
  <c r="Q273" i="12"/>
  <c r="Q129" i="12"/>
  <c r="Q293" i="12"/>
  <c r="Q149" i="12"/>
  <c r="Q88" i="12"/>
  <c r="Q364" i="12"/>
  <c r="Q527" i="12"/>
  <c r="Q184" i="12"/>
  <c r="Q220" i="12"/>
  <c r="Q400" i="12"/>
  <c r="Q35" i="12"/>
  <c r="Q732" i="12"/>
  <c r="Q617" i="12"/>
  <c r="Q582" i="12"/>
  <c r="Q290" i="12"/>
  <c r="Q146" i="12"/>
  <c r="Q604" i="12"/>
  <c r="Q136" i="12"/>
  <c r="Q208" i="12"/>
  <c r="Q637" i="12"/>
  <c r="Q694" i="12"/>
  <c r="Q486" i="12"/>
  <c r="Q25" i="12"/>
  <c r="Q274" i="12"/>
  <c r="Q176" i="12"/>
  <c r="Q458" i="12"/>
  <c r="Q262" i="12"/>
  <c r="Q653" i="12"/>
  <c r="Q100" i="12"/>
  <c r="Q432" i="12"/>
  <c r="Q412" i="12"/>
  <c r="Q367" i="12"/>
  <c r="Q254" i="12"/>
  <c r="Q411" i="12"/>
  <c r="Q386" i="12"/>
  <c r="Q112" i="12"/>
  <c r="Q399" i="12"/>
  <c r="Q650" i="12"/>
  <c r="Q230" i="12"/>
  <c r="Q217" i="12"/>
  <c r="Q368" i="12"/>
  <c r="Q99" i="12"/>
  <c r="Q518" i="12"/>
  <c r="Q470" i="12"/>
  <c r="Q547" i="12"/>
  <c r="Q349" i="12"/>
  <c r="Q500" i="12"/>
  <c r="Q375" i="12"/>
  <c r="Q215" i="12"/>
  <c r="Q482" i="12"/>
  <c r="Q475" i="12"/>
  <c r="Q191" i="12"/>
  <c r="Q337" i="12"/>
  <c r="Q94" i="12"/>
  <c r="Q281" i="12"/>
  <c r="Q651" i="12"/>
  <c r="Q219" i="12"/>
  <c r="Q115" i="12"/>
  <c r="Q179" i="12"/>
  <c r="Q446" i="12"/>
  <c r="Q203" i="12"/>
  <c r="Q577" i="12"/>
  <c r="Q194" i="12"/>
  <c r="Q181" i="12"/>
  <c r="Q332" i="12"/>
  <c r="Q700" i="12"/>
  <c r="Q63" i="12"/>
  <c r="Q625" i="12"/>
  <c r="Q498" i="12"/>
  <c r="Q408" i="12"/>
  <c r="Q264" i="12"/>
  <c r="Q414" i="12"/>
  <c r="Q326" i="12"/>
  <c r="Q169" i="12"/>
  <c r="Q320" i="12"/>
  <c r="Q339" i="12"/>
  <c r="Q360" i="12"/>
  <c r="Q466" i="12"/>
  <c r="Q107" i="12"/>
  <c r="Q283" i="12"/>
  <c r="Q258" i="12"/>
  <c r="Q674" i="12"/>
  <c r="Q66" i="12"/>
  <c r="Q707" i="12"/>
  <c r="Q55" i="12"/>
  <c r="Q378" i="12"/>
  <c r="Q686" i="12"/>
  <c r="Q541" i="12"/>
  <c r="Q228" i="12"/>
  <c r="Q131" i="12"/>
  <c r="Q684" i="12"/>
  <c r="Q468" i="12"/>
  <c r="Q83" i="12"/>
  <c r="Q314" i="12"/>
  <c r="Q170" i="12"/>
  <c r="Q26" i="12"/>
  <c r="Q301" i="12"/>
  <c r="Q157" i="12"/>
  <c r="Q34" i="12"/>
  <c r="Q596" i="12"/>
  <c r="Q452" i="12"/>
  <c r="Q308" i="12"/>
  <c r="Q164" i="12"/>
  <c r="Q20" i="12"/>
  <c r="Q197" i="12"/>
  <c r="Q640" i="12"/>
  <c r="Q209" i="12"/>
  <c r="Q652" i="12"/>
  <c r="Q615" i="12"/>
  <c r="Q471" i="12"/>
  <c r="Q327" i="12"/>
  <c r="Q183" i="12"/>
  <c r="Q39" i="12"/>
  <c r="Q510" i="12"/>
  <c r="Q385" i="12"/>
  <c r="Q536" i="12"/>
  <c r="Q123" i="12"/>
  <c r="Q98" i="12"/>
  <c r="Q85" i="12"/>
  <c r="Q668" i="12"/>
  <c r="Q111" i="12"/>
  <c r="Q438" i="12"/>
  <c r="Q86" i="12"/>
  <c r="Q387" i="12"/>
  <c r="Q372" i="12"/>
  <c r="Q563" i="12"/>
  <c r="Q362" i="12"/>
  <c r="Q106" i="12"/>
  <c r="Q87" i="12"/>
  <c r="Q557" i="12"/>
  <c r="Q336" i="12"/>
  <c r="Q206" i="12"/>
  <c r="Q49" i="12"/>
  <c r="Q82" i="12"/>
  <c r="Q269" i="12"/>
  <c r="Q355" i="12"/>
  <c r="Q494" i="12"/>
  <c r="Q235" i="12"/>
  <c r="Q155" i="12"/>
  <c r="Q58" i="12"/>
  <c r="Q476" i="12"/>
  <c r="Q64" i="12"/>
  <c r="Q207" i="12"/>
  <c r="Q587" i="12"/>
  <c r="Q439" i="12"/>
  <c r="Q91" i="12"/>
  <c r="Q167" i="12"/>
  <c r="Q182" i="12"/>
  <c r="Q32" i="12"/>
  <c r="Q484" i="12"/>
  <c r="Q233" i="12"/>
  <c r="Q627" i="12"/>
  <c r="Q195" i="12"/>
  <c r="Q43" i="12"/>
  <c r="Q607" i="12"/>
  <c r="Q719" i="12"/>
  <c r="Q480" i="12"/>
  <c r="Q569" i="12"/>
  <c r="Q575" i="12"/>
  <c r="Q727" i="12"/>
  <c r="Q682" i="12"/>
  <c r="Q589" i="12"/>
  <c r="Q324" i="12"/>
  <c r="Q665" i="12"/>
  <c r="Q462" i="12"/>
  <c r="Q71" i="12"/>
  <c r="Q551" i="12"/>
  <c r="Q247" i="12"/>
  <c r="Q539" i="12"/>
  <c r="Q78" i="12"/>
  <c r="Q658" i="12"/>
  <c r="Q442" i="12"/>
  <c r="Q30" i="12"/>
  <c r="Q672" i="12"/>
  <c r="Q670" i="12"/>
  <c r="Q342" i="12"/>
  <c r="Q506" i="12"/>
  <c r="Q523" i="12"/>
  <c r="Q192" i="12"/>
  <c r="Q618" i="12"/>
  <c r="Q95" i="12"/>
  <c r="Q271" i="12"/>
  <c r="Q666" i="12"/>
  <c r="Q450" i="12"/>
  <c r="Q47" i="12"/>
  <c r="Q302" i="12"/>
  <c r="Q158" i="12"/>
  <c r="Q14" i="12"/>
  <c r="Q289" i="12"/>
  <c r="Q145" i="12"/>
  <c r="Q12" i="12"/>
  <c r="Q717" i="12"/>
  <c r="Q573" i="12"/>
  <c r="Q429" i="12"/>
  <c r="Q285" i="12"/>
  <c r="Q141" i="12"/>
  <c r="Q394" i="12"/>
  <c r="Q250" i="12"/>
  <c r="Q728" i="12"/>
  <c r="Q584" i="12"/>
  <c r="Q440" i="12"/>
  <c r="Q296" i="12"/>
  <c r="Q152" i="12"/>
  <c r="Q8" i="12"/>
  <c r="Q616" i="12"/>
  <c r="Q185" i="12"/>
  <c r="Q628" i="12"/>
  <c r="Q603" i="12"/>
  <c r="Q459" i="12"/>
  <c r="Q315" i="12"/>
  <c r="Q171" i="12"/>
  <c r="Q27" i="12"/>
  <c r="Q714" i="12"/>
  <c r="Q398" i="12"/>
  <c r="Q566" i="12"/>
  <c r="Q493" i="12"/>
  <c r="Q256" i="12"/>
  <c r="Q543" i="12"/>
  <c r="Q374" i="12"/>
  <c r="Q224" i="12"/>
  <c r="Q187" i="12"/>
  <c r="Q90" i="12"/>
  <c r="Q74" i="12"/>
  <c r="Q68" i="12"/>
  <c r="Q519" i="12"/>
  <c r="Q661" i="12"/>
  <c r="Q514" i="12"/>
  <c r="Q595" i="12"/>
  <c r="Q62" i="12"/>
  <c r="Q632" i="12"/>
  <c r="Q712" i="12"/>
  <c r="Q75" i="12"/>
  <c r="Q710" i="12"/>
  <c r="Q529" i="12"/>
  <c r="Q434" i="12"/>
  <c r="Q300" i="12"/>
  <c r="Q338" i="12"/>
  <c r="Q37" i="12"/>
  <c r="Q70" i="12"/>
  <c r="Q495" i="12"/>
  <c r="Q396" i="12"/>
  <c r="Q143" i="12"/>
  <c r="Q402" i="12"/>
  <c r="Q102" i="12"/>
  <c r="Q163" i="12"/>
  <c r="Q690" i="12"/>
  <c r="Q702" i="12"/>
  <c r="Q119" i="12"/>
  <c r="Q313" i="12"/>
  <c r="Q483" i="12"/>
  <c r="Q662" i="12"/>
  <c r="Q571" i="12"/>
  <c r="Q288" i="12"/>
  <c r="Q330" i="12"/>
  <c r="Q211" i="12"/>
  <c r="Q419" i="12"/>
  <c r="Q511" i="12"/>
  <c r="Q636" i="12"/>
  <c r="Q634" i="12"/>
  <c r="Q306" i="12"/>
  <c r="Q721" i="12"/>
  <c r="Q505" i="12"/>
  <c r="Q156" i="12"/>
  <c r="Q23" i="12"/>
  <c r="Q648" i="12"/>
  <c r="Q6" i="12"/>
  <c r="Q421" i="12"/>
  <c r="Q277" i="12"/>
  <c r="Q133" i="12"/>
  <c r="Q382" i="12"/>
  <c r="Q238" i="12"/>
  <c r="Q716" i="12"/>
  <c r="Q572" i="12"/>
  <c r="Q428" i="12"/>
  <c r="Q284" i="12"/>
  <c r="Q140" i="12"/>
  <c r="Q161" i="12"/>
  <c r="Q591" i="12"/>
  <c r="Q447" i="12"/>
  <c r="Q303" i="12"/>
  <c r="Q159" i="12"/>
  <c r="Q15" i="12"/>
  <c r="Q359" i="12"/>
  <c r="Q110" i="12"/>
  <c r="Q104" i="12"/>
  <c r="Q699" i="12"/>
  <c r="Q267" i="12"/>
  <c r="Q715" i="12"/>
  <c r="Q242" i="12"/>
  <c r="Q255" i="12"/>
  <c r="Q656" i="12"/>
  <c r="Q243" i="12"/>
  <c r="Q679" i="12"/>
  <c r="Q646" i="12"/>
  <c r="Q347" i="12"/>
  <c r="Q613" i="12"/>
  <c r="Q218" i="12"/>
  <c r="Q231" i="12"/>
  <c r="Q151" i="12"/>
  <c r="Q54" i="12"/>
  <c r="Q311" i="12"/>
  <c r="Q526" i="12"/>
  <c r="Q350" i="12"/>
  <c r="Q363" i="12"/>
  <c r="Q643" i="12"/>
  <c r="Q18" i="12"/>
  <c r="Q504" i="12"/>
  <c r="Q50" i="12"/>
  <c r="Q620" i="12"/>
  <c r="Q188" i="12"/>
  <c r="Q257" i="12"/>
  <c r="Q245" i="12"/>
  <c r="Q688" i="12"/>
  <c r="Q351" i="12"/>
  <c r="Q502" i="12"/>
  <c r="Q319" i="12"/>
  <c r="Q478" i="12"/>
  <c r="Q59" i="12"/>
  <c r="Q559" i="12"/>
  <c r="Q38" i="12"/>
  <c r="Q46" i="12"/>
  <c r="Q464" i="12"/>
  <c r="Q221" i="12"/>
  <c r="Q664" i="12"/>
  <c r="Q340" i="12"/>
  <c r="Q676" i="12"/>
  <c r="Q51" i="12"/>
  <c r="Q610" i="12"/>
  <c r="Q444" i="12"/>
  <c r="Q533" i="12"/>
  <c r="Q485" i="12"/>
  <c r="Q638" i="12"/>
  <c r="Q60" i="12"/>
  <c r="Q199" i="12"/>
  <c r="Q538" i="12"/>
  <c r="Q553" i="12"/>
  <c r="Q252" i="12"/>
  <c r="Q521" i="12"/>
  <c r="Q222" i="12"/>
  <c r="Q731" i="12"/>
  <c r="Q515" i="12"/>
  <c r="Q175" i="12"/>
  <c r="Q431" i="12"/>
  <c r="Q696" i="12"/>
  <c r="Q622" i="12"/>
  <c r="Q390" i="12"/>
  <c r="Q457" i="12"/>
  <c r="Q24" i="12"/>
  <c r="Q600" i="12"/>
  <c r="Q614" i="12"/>
  <c r="Q270" i="12"/>
  <c r="Q703" i="12"/>
  <c r="Q487" i="12"/>
  <c r="Q120" i="12"/>
  <c r="Q564" i="12"/>
  <c r="Q725" i="12"/>
  <c r="Q127" i="12"/>
  <c r="Q630" i="12"/>
  <c r="Q422" i="12"/>
  <c r="Q278" i="12"/>
  <c r="Q134" i="12"/>
  <c r="Q409" i="12"/>
  <c r="Q265" i="12"/>
  <c r="Q121" i="12"/>
  <c r="Q10" i="12"/>
  <c r="Q693" i="12"/>
  <c r="Q549" i="12"/>
  <c r="Q405" i="12"/>
  <c r="Q261" i="12"/>
  <c r="Q117" i="12"/>
  <c r="Q370" i="12"/>
  <c r="Q226" i="12"/>
  <c r="Q704" i="12"/>
  <c r="Q560" i="12"/>
  <c r="Q416" i="12"/>
  <c r="Q272" i="12"/>
  <c r="Q128" i="12"/>
  <c r="Q425" i="12"/>
  <c r="Q125" i="12"/>
  <c r="Q137" i="12"/>
  <c r="Q723" i="12"/>
  <c r="Q579" i="12"/>
  <c r="Q435" i="12"/>
  <c r="Q291" i="12"/>
  <c r="Q147" i="12"/>
  <c r="O732" i="12"/>
  <c r="P732" i="12" s="1"/>
  <c r="O722" i="12"/>
  <c r="P722" i="12" s="1"/>
  <c r="O714" i="12"/>
  <c r="P714" i="12" s="1"/>
  <c r="O150" i="12"/>
  <c r="P150" i="12" s="1"/>
  <c r="O535" i="12"/>
  <c r="P535" i="12" s="1"/>
  <c r="O713" i="12"/>
  <c r="P713" i="12" s="1"/>
  <c r="O512" i="12"/>
  <c r="P512" i="12" s="1"/>
  <c r="O87" i="12"/>
  <c r="P87" i="12" s="1"/>
  <c r="O123" i="12"/>
  <c r="P123" i="12" s="1"/>
  <c r="O99" i="12"/>
  <c r="P99" i="12" s="1"/>
  <c r="O355" i="12"/>
  <c r="P355" i="12" s="1"/>
  <c r="O546" i="12"/>
  <c r="P546" i="12" s="1"/>
  <c r="O135" i="12"/>
  <c r="P135" i="12" s="1"/>
  <c r="O111" i="12"/>
  <c r="P111" i="12" s="1"/>
  <c r="O729" i="12"/>
  <c r="P729" i="12" s="1"/>
  <c r="O727" i="12"/>
  <c r="P727" i="12" s="1"/>
  <c r="O728" i="12"/>
  <c r="P728" i="12" s="1"/>
  <c r="O731" i="12"/>
  <c r="P731" i="12" s="1"/>
  <c r="O449" i="12"/>
  <c r="P449" i="12" s="1"/>
  <c r="O497" i="12"/>
  <c r="P497" i="12" s="1"/>
  <c r="O354" i="12"/>
  <c r="P354" i="12" s="1"/>
  <c r="O578" i="12"/>
  <c r="P578" i="12" s="1"/>
  <c r="O689" i="12"/>
  <c r="P689" i="12" s="1"/>
  <c r="O122" i="12"/>
  <c r="P122" i="12" s="1"/>
  <c r="O249" i="12"/>
  <c r="P249" i="12" s="1"/>
  <c r="O404" i="12"/>
  <c r="P404" i="12" s="1"/>
  <c r="O101" i="12"/>
  <c r="P101" i="12" s="1"/>
  <c r="O711" i="12"/>
  <c r="P711" i="12" s="1"/>
  <c r="O42" i="12"/>
  <c r="P42" i="12" s="1"/>
  <c r="O695" i="12"/>
  <c r="P695" i="12" s="1"/>
  <c r="O318" i="12"/>
  <c r="P318" i="12" s="1"/>
  <c r="O667" i="12"/>
  <c r="P667" i="12" s="1"/>
  <c r="O335" i="12"/>
  <c r="P335" i="12" s="1"/>
  <c r="O97" i="12"/>
  <c r="P97" i="12" s="1"/>
  <c r="O237" i="12"/>
  <c r="P237" i="12" s="1"/>
  <c r="O392" i="12"/>
  <c r="P392" i="12" s="1"/>
  <c r="O77" i="12"/>
  <c r="P77" i="12" s="1"/>
  <c r="O268" i="12"/>
  <c r="P268" i="12" s="1"/>
  <c r="O411" i="12"/>
  <c r="P411" i="12" s="1"/>
  <c r="O611" i="12"/>
  <c r="P611" i="12" s="1"/>
  <c r="O626" i="12"/>
  <c r="P626" i="12" s="1"/>
  <c r="O7" i="12"/>
  <c r="P7" i="12" s="1"/>
  <c r="O229" i="12"/>
  <c r="P229" i="12" s="1"/>
  <c r="O130" i="12"/>
  <c r="P130" i="12" s="1"/>
  <c r="O223" i="12"/>
  <c r="P223" i="12" s="1"/>
  <c r="O418" i="12"/>
  <c r="P418" i="12" s="1"/>
  <c r="O685" i="12"/>
  <c r="P685" i="12" s="1"/>
  <c r="O612" i="12"/>
  <c r="P612" i="12" s="1"/>
  <c r="O109" i="12"/>
  <c r="P109" i="12" s="1"/>
  <c r="O692" i="12"/>
  <c r="P692" i="12" s="1"/>
  <c r="O424" i="12"/>
  <c r="P424" i="12" s="1"/>
  <c r="O567" i="12"/>
  <c r="P567" i="12" s="1"/>
  <c r="O186" i="12"/>
  <c r="P186" i="12" s="1"/>
  <c r="O359" i="12"/>
  <c r="P359" i="12" s="1"/>
  <c r="O586" i="12"/>
  <c r="P586" i="12" s="1"/>
  <c r="O48" i="12"/>
  <c r="P48" i="12" s="1"/>
  <c r="O385" i="12"/>
  <c r="P385" i="12" s="1"/>
  <c r="O329" i="12"/>
  <c r="P329" i="12" s="1"/>
  <c r="O366" i="12"/>
  <c r="P366" i="12" s="1"/>
  <c r="O114" i="12"/>
  <c r="P114" i="12" s="1"/>
  <c r="O139" i="12"/>
  <c r="P139" i="12" s="1"/>
  <c r="O602" i="12"/>
  <c r="P602" i="12" s="1"/>
  <c r="O655" i="12"/>
  <c r="P655" i="12" s="1"/>
  <c r="O545" i="12"/>
  <c r="P545" i="12" s="1"/>
  <c r="O469" i="12"/>
  <c r="P469" i="12" s="1"/>
  <c r="O528" i="12"/>
  <c r="P528" i="12" s="1"/>
  <c r="O266" i="12"/>
  <c r="P266" i="12" s="1"/>
  <c r="O253" i="12"/>
  <c r="P253" i="12" s="1"/>
  <c r="O681" i="12"/>
  <c r="P681" i="12" s="1"/>
  <c r="O393" i="12"/>
  <c r="P393" i="12" s="1"/>
  <c r="O358" i="12"/>
  <c r="P358" i="12" s="1"/>
  <c r="O260" i="12"/>
  <c r="P260" i="12" s="1"/>
  <c r="O280" i="12"/>
  <c r="P280" i="12" s="1"/>
  <c r="O413" i="12"/>
  <c r="P413" i="12" s="1"/>
  <c r="O279" i="12"/>
  <c r="P279" i="12" s="1"/>
  <c r="O517" i="12"/>
  <c r="P517" i="12" s="1"/>
  <c r="O367" i="12"/>
  <c r="P367" i="12" s="1"/>
  <c r="O479" i="12"/>
  <c r="P479" i="12" s="1"/>
  <c r="O698" i="12"/>
  <c r="P698" i="12" s="1"/>
  <c r="O384" i="12"/>
  <c r="P384" i="12" s="1"/>
  <c r="O492" i="12"/>
  <c r="P492" i="12" s="1"/>
  <c r="O562" i="12"/>
  <c r="P562" i="12" s="1"/>
  <c r="O451" i="12"/>
  <c r="P451" i="12" s="1"/>
  <c r="O671" i="12"/>
  <c r="P671" i="12" s="1"/>
  <c r="O594" i="12"/>
  <c r="P594" i="12" s="1"/>
  <c r="O398" i="12"/>
  <c r="P398" i="12" s="1"/>
  <c r="O110" i="12"/>
  <c r="P110" i="12" s="1"/>
  <c r="O190" i="12"/>
  <c r="P190" i="12" s="1"/>
  <c r="O669" i="12"/>
  <c r="P669" i="12" s="1"/>
  <c r="O525" i="12"/>
  <c r="P525" i="12" s="1"/>
  <c r="O381" i="12"/>
  <c r="P381" i="12" s="1"/>
  <c r="O93" i="12"/>
  <c r="P93" i="12" s="1"/>
  <c r="O178" i="12"/>
  <c r="P178" i="12" s="1"/>
  <c r="O680" i="12"/>
  <c r="P680" i="12" s="1"/>
  <c r="O536" i="12"/>
  <c r="P536" i="12" s="1"/>
  <c r="O248" i="12"/>
  <c r="P248" i="12" s="1"/>
  <c r="O104" i="12"/>
  <c r="P104" i="12" s="1"/>
  <c r="O377" i="12"/>
  <c r="P377" i="12" s="1"/>
  <c r="O556" i="12"/>
  <c r="P556" i="12" s="1"/>
  <c r="O412" i="12"/>
  <c r="P412" i="12" s="1"/>
  <c r="O124" i="12"/>
  <c r="P124" i="12" s="1"/>
  <c r="O389" i="12"/>
  <c r="P389" i="12" s="1"/>
  <c r="O89" i="12"/>
  <c r="P89" i="12" s="1"/>
  <c r="O699" i="12"/>
  <c r="P699" i="12" s="1"/>
  <c r="O555" i="12"/>
  <c r="P555" i="12" s="1"/>
  <c r="O267" i="12"/>
  <c r="P267" i="12" s="1"/>
  <c r="O709" i="12"/>
  <c r="P709" i="12" s="1"/>
  <c r="O715" i="12"/>
  <c r="P715" i="12" s="1"/>
  <c r="O499" i="12"/>
  <c r="P499" i="12" s="1"/>
  <c r="O144" i="12"/>
  <c r="P144" i="12" s="1"/>
  <c r="O295" i="12"/>
  <c r="P295" i="12" s="1"/>
  <c r="O678" i="12"/>
  <c r="P678" i="12" s="1"/>
  <c r="O323" i="12"/>
  <c r="P323" i="12" s="1"/>
  <c r="O677" i="12"/>
  <c r="P677" i="12" s="1"/>
  <c r="O461" i="12"/>
  <c r="P461" i="12" s="1"/>
  <c r="O67" i="12"/>
  <c r="P67" i="12" s="1"/>
  <c r="O588" i="12"/>
  <c r="P588" i="12" s="1"/>
  <c r="O566" i="12"/>
  <c r="P566" i="12" s="1"/>
  <c r="O282" i="12"/>
  <c r="P282" i="12" s="1"/>
  <c r="O348" i="12"/>
  <c r="P348" i="12" s="1"/>
  <c r="O493" i="12"/>
  <c r="P493" i="12" s="1"/>
  <c r="O456" i="12"/>
  <c r="P456" i="12" s="1"/>
  <c r="O455" i="12"/>
  <c r="P455" i="12" s="1"/>
  <c r="O542" i="12"/>
  <c r="P542" i="12" s="1"/>
  <c r="O162" i="12"/>
  <c r="P162" i="12" s="1"/>
  <c r="O649" i="12"/>
  <c r="P649" i="12" s="1"/>
  <c r="O433" i="12"/>
  <c r="P433" i="12" s="1"/>
  <c r="O474" i="12"/>
  <c r="P474" i="12" s="1"/>
  <c r="O635" i="12"/>
  <c r="P635" i="12" s="1"/>
  <c r="O706" i="12"/>
  <c r="P706" i="12" s="1"/>
  <c r="O576" i="12"/>
  <c r="P576" i="12" s="1"/>
  <c r="O299" i="12"/>
  <c r="P299" i="12" s="1"/>
  <c r="O386" i="12"/>
  <c r="P386" i="12" s="1"/>
  <c r="O242" i="12"/>
  <c r="P242" i="12" s="1"/>
  <c r="O98" i="12"/>
  <c r="P98" i="12" s="1"/>
  <c r="O373" i="12"/>
  <c r="P373" i="12" s="1"/>
  <c r="O85" i="12"/>
  <c r="P85" i="12" s="1"/>
  <c r="O166" i="12"/>
  <c r="P166" i="12" s="1"/>
  <c r="O657" i="12"/>
  <c r="P657" i="12" s="1"/>
  <c r="O513" i="12"/>
  <c r="P513" i="12" s="1"/>
  <c r="O369" i="12"/>
  <c r="P369" i="12" s="1"/>
  <c r="O225" i="12"/>
  <c r="P225" i="12" s="1"/>
  <c r="O81" i="12"/>
  <c r="P81" i="12" s="1"/>
  <c r="O334" i="12"/>
  <c r="P334" i="12" s="1"/>
  <c r="O154" i="12"/>
  <c r="P154" i="12" s="1"/>
  <c r="O668" i="12"/>
  <c r="P668" i="12" s="1"/>
  <c r="O524" i="12"/>
  <c r="P524" i="12" s="1"/>
  <c r="O380" i="12"/>
  <c r="P380" i="12" s="1"/>
  <c r="O236" i="12"/>
  <c r="P236" i="12" s="1"/>
  <c r="O92" i="12"/>
  <c r="P92" i="12" s="1"/>
  <c r="O365" i="12"/>
  <c r="P365" i="12" s="1"/>
  <c r="O53" i="12"/>
  <c r="P53" i="12" s="1"/>
  <c r="O544" i="12"/>
  <c r="P544" i="12" s="1"/>
  <c r="O400" i="12"/>
  <c r="P400" i="12" s="1"/>
  <c r="O256" i="12"/>
  <c r="P256" i="12" s="1"/>
  <c r="O112" i="12"/>
  <c r="P112" i="12" s="1"/>
  <c r="O353" i="12"/>
  <c r="P353" i="12" s="1"/>
  <c r="O65" i="12"/>
  <c r="P65" i="12" s="1"/>
  <c r="O687" i="12"/>
  <c r="P687" i="12" s="1"/>
  <c r="O543" i="12"/>
  <c r="P543" i="12" s="1"/>
  <c r="O399" i="12"/>
  <c r="P399" i="12" s="1"/>
  <c r="O255" i="12"/>
  <c r="P255" i="12" s="1"/>
  <c r="O331" i="12"/>
  <c r="P331" i="12" s="1"/>
  <c r="O701" i="12"/>
  <c r="P701" i="12" s="1"/>
  <c r="O697" i="12"/>
  <c r="P697" i="12" s="1"/>
  <c r="O481" i="12"/>
  <c r="P481" i="12" s="1"/>
  <c r="O108" i="12"/>
  <c r="P108" i="12" s="1"/>
  <c r="O718" i="12"/>
  <c r="P718" i="12" s="1"/>
  <c r="O642" i="12"/>
  <c r="P642" i="12" s="1"/>
  <c r="O287" i="12"/>
  <c r="P287" i="12" s="1"/>
  <c r="O659" i="12"/>
  <c r="P659" i="12" s="1"/>
  <c r="O443" i="12"/>
  <c r="P443" i="12" s="1"/>
  <c r="O31" i="12"/>
  <c r="P31" i="12" s="1"/>
  <c r="O574" i="12"/>
  <c r="P574" i="12" s="1"/>
  <c r="O552" i="12"/>
  <c r="P552" i="12" s="1"/>
  <c r="O550" i="12"/>
  <c r="P550" i="12" s="1"/>
  <c r="O246" i="12"/>
  <c r="P246" i="12" s="1"/>
  <c r="O312" i="12"/>
  <c r="P312" i="12" s="1"/>
  <c r="O491" i="12"/>
  <c r="P491" i="12" s="1"/>
  <c r="O415" i="12"/>
  <c r="P415" i="12" s="1"/>
  <c r="O437" i="12"/>
  <c r="P437" i="12" s="1"/>
  <c r="O490" i="12"/>
  <c r="P490" i="12" s="1"/>
  <c r="O126" i="12"/>
  <c r="P126" i="12" s="1"/>
  <c r="O631" i="12"/>
  <c r="P631" i="12" s="1"/>
  <c r="O407" i="12"/>
  <c r="P407" i="12" s="1"/>
  <c r="O619" i="12"/>
  <c r="P619" i="12" s="1"/>
  <c r="O438" i="12"/>
  <c r="P438" i="12" s="1"/>
  <c r="O599" i="12"/>
  <c r="P599" i="12" s="1"/>
  <c r="O650" i="12"/>
  <c r="P650" i="12" s="1"/>
  <c r="O558" i="12"/>
  <c r="P558" i="12" s="1"/>
  <c r="O263" i="12"/>
  <c r="P263" i="12" s="1"/>
  <c r="O374" i="12"/>
  <c r="P374" i="12" s="1"/>
  <c r="O230" i="12"/>
  <c r="P230" i="12" s="1"/>
  <c r="O86" i="12"/>
  <c r="P86" i="12" s="1"/>
  <c r="O361" i="12"/>
  <c r="P361" i="12" s="1"/>
  <c r="O217" i="12"/>
  <c r="P217" i="12" s="1"/>
  <c r="O73" i="12"/>
  <c r="P73" i="12" s="1"/>
  <c r="O142" i="12"/>
  <c r="P142" i="12" s="1"/>
  <c r="O645" i="12"/>
  <c r="P645" i="12" s="1"/>
  <c r="O501" i="12"/>
  <c r="P501" i="12" s="1"/>
  <c r="O357" i="12"/>
  <c r="P357" i="12" s="1"/>
  <c r="O213" i="12"/>
  <c r="P213" i="12" s="1"/>
  <c r="O69" i="12"/>
  <c r="P69" i="12" s="1"/>
  <c r="O216" i="12"/>
  <c r="P216" i="12" s="1"/>
  <c r="O84" i="12"/>
  <c r="P84" i="12" s="1"/>
  <c r="O371" i="12"/>
  <c r="P371" i="12" s="1"/>
  <c r="O214" i="12"/>
  <c r="P214" i="12" s="1"/>
  <c r="O202" i="12"/>
  <c r="P202" i="12" s="1"/>
  <c r="O401" i="12"/>
  <c r="P401" i="12" s="1"/>
  <c r="O113" i="12"/>
  <c r="P113" i="12" s="1"/>
  <c r="O656" i="12"/>
  <c r="P656" i="12" s="1"/>
  <c r="O395" i="12"/>
  <c r="P395" i="12" s="1"/>
  <c r="O660" i="12"/>
  <c r="P660" i="12" s="1"/>
  <c r="O234" i="12"/>
  <c r="P234" i="12" s="1"/>
  <c r="O19" i="12"/>
  <c r="P19" i="12" s="1"/>
  <c r="O410" i="12"/>
  <c r="P410" i="12" s="1"/>
  <c r="O397" i="12"/>
  <c r="P397" i="12" s="1"/>
  <c r="O537" i="12"/>
  <c r="P537" i="12" s="1"/>
  <c r="O105" i="12"/>
  <c r="P105" i="12" s="1"/>
  <c r="O548" i="12"/>
  <c r="P548" i="12" s="1"/>
  <c r="O116" i="12"/>
  <c r="P116" i="12" s="1"/>
  <c r="O568" i="12"/>
  <c r="P568" i="12" s="1"/>
  <c r="O136" i="12"/>
  <c r="P136" i="12" s="1"/>
  <c r="O423" i="12"/>
  <c r="P423" i="12" s="1"/>
  <c r="O180" i="12"/>
  <c r="P180" i="12" s="1"/>
  <c r="O103" i="12"/>
  <c r="P103" i="12" s="1"/>
  <c r="O624" i="12"/>
  <c r="P624" i="12" s="1"/>
  <c r="O565" i="12"/>
  <c r="P565" i="12" s="1"/>
  <c r="O509" i="12"/>
  <c r="P509" i="12" s="1"/>
  <c r="O198" i="12"/>
  <c r="P198" i="12" s="1"/>
  <c r="O510" i="12"/>
  <c r="P510" i="12" s="1"/>
  <c r="O254" i="12"/>
  <c r="P254" i="12" s="1"/>
  <c r="O241" i="12"/>
  <c r="P241" i="12" s="1"/>
  <c r="O346" i="12"/>
  <c r="P346" i="12" s="1"/>
  <c r="O322" i="12"/>
  <c r="P322" i="12" s="1"/>
  <c r="O29" i="12"/>
  <c r="P29" i="12" s="1"/>
  <c r="O675" i="12"/>
  <c r="P675" i="12" s="1"/>
  <c r="O463" i="12"/>
  <c r="P463" i="12" s="1"/>
  <c r="O420" i="12"/>
  <c r="P420" i="12" s="1"/>
  <c r="O530" i="12"/>
  <c r="P530" i="12" s="1"/>
  <c r="O347" i="12"/>
  <c r="P347" i="12" s="1"/>
  <c r="O90" i="12"/>
  <c r="P90" i="12" s="1"/>
  <c r="O383" i="12"/>
  <c r="P383" i="12" s="1"/>
  <c r="O227" i="12"/>
  <c r="P227" i="12" s="1"/>
  <c r="O74" i="12"/>
  <c r="P74" i="12" s="1"/>
  <c r="O633" i="12"/>
  <c r="P633" i="12" s="1"/>
  <c r="O57" i="12"/>
  <c r="P57" i="12" s="1"/>
  <c r="O500" i="12"/>
  <c r="P500" i="12" s="1"/>
  <c r="O317" i="12"/>
  <c r="P317" i="12" s="1"/>
  <c r="O376" i="12"/>
  <c r="P376" i="12" s="1"/>
  <c r="O305" i="12"/>
  <c r="P305" i="12" s="1"/>
  <c r="O5" i="12"/>
  <c r="P5" i="12" s="1"/>
  <c r="O663" i="12"/>
  <c r="P663" i="12" s="1"/>
  <c r="O375" i="12"/>
  <c r="P375" i="12" s="1"/>
  <c r="O661" i="12"/>
  <c r="P661" i="12" s="1"/>
  <c r="O590" i="12"/>
  <c r="P590" i="12" s="1"/>
  <c r="O276" i="12"/>
  <c r="P276" i="12" s="1"/>
  <c r="O349" i="12"/>
  <c r="P349" i="12" s="1"/>
  <c r="O231" i="12"/>
  <c r="P231" i="12" s="1"/>
  <c r="O151" i="12"/>
  <c r="P151" i="12" s="1"/>
  <c r="O557" i="12"/>
  <c r="P557" i="12" s="1"/>
  <c r="O445" i="12"/>
  <c r="P445" i="12" s="1"/>
  <c r="O36" i="12"/>
  <c r="P36" i="12" s="1"/>
  <c r="O115" i="12"/>
  <c r="P115" i="12" s="1"/>
  <c r="O503" i="12"/>
  <c r="P503" i="12" s="1"/>
  <c r="O643" i="12"/>
  <c r="P643" i="12" s="1"/>
  <c r="O427" i="12"/>
  <c r="P427" i="12" s="1"/>
  <c r="O467" i="12"/>
  <c r="P467" i="12" s="1"/>
  <c r="O554" i="12"/>
  <c r="P554" i="12" s="1"/>
  <c r="O534" i="12"/>
  <c r="P534" i="12" s="1"/>
  <c r="O179" i="12"/>
  <c r="P179" i="12" s="1"/>
  <c r="O605" i="12"/>
  <c r="P605" i="12" s="1"/>
  <c r="O224" i="12"/>
  <c r="P224" i="12" s="1"/>
  <c r="O341" i="12"/>
  <c r="P341" i="12" s="1"/>
  <c r="O388" i="12"/>
  <c r="P388" i="12" s="1"/>
  <c r="O100" i="12"/>
  <c r="P100" i="12" s="1"/>
  <c r="O41" i="12"/>
  <c r="P41" i="12" s="1"/>
  <c r="O387" i="12"/>
  <c r="P387" i="12" s="1"/>
  <c r="O647" i="12"/>
  <c r="P647" i="12" s="1"/>
  <c r="O72" i="12"/>
  <c r="P72" i="12" s="1"/>
  <c r="O251" i="12"/>
  <c r="P251" i="12" s="1"/>
  <c r="O641" i="12"/>
  <c r="P641" i="12" s="1"/>
  <c r="O673" i="12"/>
  <c r="P673" i="12" s="1"/>
  <c r="O210" i="12"/>
  <c r="P210" i="12" s="1"/>
  <c r="O691" i="12"/>
  <c r="P691" i="12" s="1"/>
  <c r="O379" i="12"/>
  <c r="P379" i="12" s="1"/>
  <c r="O470" i="12"/>
  <c r="P470" i="12" s="1"/>
  <c r="O613" i="12"/>
  <c r="P613" i="12" s="1"/>
  <c r="O372" i="12"/>
  <c r="P372" i="12" s="1"/>
  <c r="O547" i="12"/>
  <c r="P547" i="12" s="1"/>
  <c r="O563" i="12"/>
  <c r="P563" i="12" s="1"/>
  <c r="O598" i="12"/>
  <c r="P598" i="12" s="1"/>
  <c r="O540" i="12"/>
  <c r="P540" i="12" s="1"/>
  <c r="O362" i="12"/>
  <c r="P362" i="12" s="1"/>
  <c r="O218" i="12"/>
  <c r="P218" i="12" s="1"/>
  <c r="O205" i="12"/>
  <c r="P205" i="12" s="1"/>
  <c r="O61" i="12"/>
  <c r="P61" i="12" s="1"/>
  <c r="O118" i="12"/>
  <c r="P118" i="12" s="1"/>
  <c r="O489" i="12"/>
  <c r="P489" i="12" s="1"/>
  <c r="O345" i="12"/>
  <c r="P345" i="12" s="1"/>
  <c r="O201" i="12"/>
  <c r="P201" i="12" s="1"/>
  <c r="O310" i="12"/>
  <c r="P310" i="12" s="1"/>
  <c r="O106" i="12"/>
  <c r="P106" i="12" s="1"/>
  <c r="O644" i="12"/>
  <c r="P644" i="12" s="1"/>
  <c r="O356" i="12"/>
  <c r="P356" i="12" s="1"/>
  <c r="O212" i="12"/>
  <c r="P212" i="12" s="1"/>
  <c r="O68" i="12"/>
  <c r="P68" i="12" s="1"/>
  <c r="O17" i="12"/>
  <c r="P17" i="12" s="1"/>
  <c r="O520" i="12"/>
  <c r="P520" i="12" s="1"/>
  <c r="O232" i="12"/>
  <c r="P232" i="12" s="1"/>
  <c r="O88" i="12"/>
  <c r="P88" i="12" s="1"/>
  <c r="O519" i="12"/>
  <c r="P519" i="12" s="1"/>
  <c r="O43" i="12"/>
  <c r="P43" i="12" s="1"/>
  <c r="O259" i="12"/>
  <c r="P259" i="12" s="1"/>
  <c r="O607" i="12"/>
  <c r="P607" i="12" s="1"/>
  <c r="O360" i="12"/>
  <c r="P360" i="12" s="1"/>
  <c r="O719" i="12"/>
  <c r="P719" i="12" s="1"/>
  <c r="O466" i="12"/>
  <c r="P466" i="12" s="1"/>
  <c r="O480" i="12"/>
  <c r="P480" i="12" s="1"/>
  <c r="O107" i="12"/>
  <c r="P107" i="12" s="1"/>
  <c r="O569" i="12"/>
  <c r="P569" i="12" s="1"/>
  <c r="O283" i="12"/>
  <c r="P283" i="12" s="1"/>
  <c r="O575" i="12"/>
  <c r="P575" i="12" s="1"/>
  <c r="O258" i="12"/>
  <c r="P258" i="12" s="1"/>
  <c r="O674" i="12"/>
  <c r="P674" i="12" s="1"/>
  <c r="O458" i="12"/>
  <c r="P458" i="12" s="1"/>
  <c r="O66" i="12"/>
  <c r="P66" i="12" s="1"/>
  <c r="O132" i="12"/>
  <c r="P132" i="12" s="1"/>
  <c r="O708" i="12"/>
  <c r="P708" i="12" s="1"/>
  <c r="O707" i="12"/>
  <c r="P707" i="12" s="1"/>
  <c r="O55" i="12"/>
  <c r="P55" i="12" s="1"/>
  <c r="O378" i="12"/>
  <c r="P378" i="12" s="1"/>
  <c r="O686" i="12"/>
  <c r="P686" i="12" s="1"/>
  <c r="O541" i="12"/>
  <c r="P541" i="12" s="1"/>
  <c r="O228" i="12"/>
  <c r="P228" i="12" s="1"/>
  <c r="O654" i="12"/>
  <c r="P654" i="12" s="1"/>
  <c r="O131" i="12"/>
  <c r="P131" i="12" s="1"/>
  <c r="O343" i="12"/>
  <c r="P343" i="12" s="1"/>
  <c r="O684" i="12"/>
  <c r="P684" i="12" s="1"/>
  <c r="O468" i="12"/>
  <c r="P468" i="12" s="1"/>
  <c r="O83" i="12"/>
  <c r="P83" i="12" s="1"/>
  <c r="O314" i="12"/>
  <c r="P314" i="12" s="1"/>
  <c r="O170" i="12"/>
  <c r="P170" i="12" s="1"/>
  <c r="O26" i="12"/>
  <c r="P26" i="12" s="1"/>
  <c r="O301" i="12"/>
  <c r="P301" i="12" s="1"/>
  <c r="O157" i="12"/>
  <c r="P157" i="12" s="1"/>
  <c r="O13" i="12"/>
  <c r="P13" i="12" s="1"/>
  <c r="O585" i="12"/>
  <c r="P585" i="12" s="1"/>
  <c r="O441" i="12"/>
  <c r="P441" i="12" s="1"/>
  <c r="O297" i="12"/>
  <c r="P297" i="12" s="1"/>
  <c r="O153" i="12"/>
  <c r="P153" i="12" s="1"/>
  <c r="O9" i="12"/>
  <c r="P9" i="12" s="1"/>
  <c r="O262" i="12"/>
  <c r="P262" i="12" s="1"/>
  <c r="O34" i="12"/>
  <c r="P34" i="12" s="1"/>
  <c r="O596" i="12"/>
  <c r="P596" i="12" s="1"/>
  <c r="O452" i="12"/>
  <c r="P452" i="12" s="1"/>
  <c r="O308" i="12"/>
  <c r="P308" i="12" s="1"/>
  <c r="O27" i="12"/>
  <c r="P27" i="12" s="1"/>
  <c r="O532" i="12"/>
  <c r="P532" i="12" s="1"/>
  <c r="O531" i="12"/>
  <c r="P531" i="12" s="1"/>
  <c r="O187" i="12"/>
  <c r="P187" i="12" s="1"/>
  <c r="O646" i="12"/>
  <c r="P646" i="12" s="1"/>
  <c r="O518" i="12"/>
  <c r="P518" i="12" s="1"/>
  <c r="O589" i="12"/>
  <c r="P589" i="12" s="1"/>
  <c r="O71" i="12"/>
  <c r="P71" i="12" s="1"/>
  <c r="O658" i="12"/>
  <c r="P658" i="12" s="1"/>
  <c r="O506" i="12"/>
  <c r="P506" i="12" s="1"/>
  <c r="O523" i="12"/>
  <c r="P523" i="12" s="1"/>
  <c r="O192" i="12"/>
  <c r="P192" i="12" s="1"/>
  <c r="O618" i="12"/>
  <c r="P618" i="12" s="1"/>
  <c r="O95" i="12"/>
  <c r="P95" i="12" s="1"/>
  <c r="O271" i="12"/>
  <c r="P271" i="12" s="1"/>
  <c r="O666" i="12"/>
  <c r="P666" i="12" s="1"/>
  <c r="O450" i="12"/>
  <c r="P450" i="12" s="1"/>
  <c r="O47" i="12"/>
  <c r="P47" i="12" s="1"/>
  <c r="O302" i="12"/>
  <c r="P302" i="12" s="1"/>
  <c r="O158" i="12"/>
  <c r="P158" i="12" s="1"/>
  <c r="O14" i="12"/>
  <c r="P14" i="12" s="1"/>
  <c r="O289" i="12"/>
  <c r="P289" i="12" s="1"/>
  <c r="O145" i="12"/>
  <c r="P145" i="12" s="1"/>
  <c r="O12" i="12"/>
  <c r="P12" i="12" s="1"/>
  <c r="O717" i="12"/>
  <c r="P717" i="12" s="1"/>
  <c r="O573" i="12"/>
  <c r="P573" i="12" s="1"/>
  <c r="O429" i="12"/>
  <c r="P429" i="12" s="1"/>
  <c r="O285" i="12"/>
  <c r="P285" i="12" s="1"/>
  <c r="O141" i="12"/>
  <c r="P141" i="12" s="1"/>
  <c r="O394" i="12"/>
  <c r="P394" i="12" s="1"/>
  <c r="O250" i="12"/>
  <c r="P250" i="12" s="1"/>
  <c r="O584" i="12"/>
  <c r="P584" i="12" s="1"/>
  <c r="O440" i="12"/>
  <c r="P440" i="12" s="1"/>
  <c r="O296" i="12"/>
  <c r="P296" i="12" s="1"/>
  <c r="O152" i="12"/>
  <c r="P152" i="12" s="1"/>
  <c r="O8" i="12"/>
  <c r="P8" i="12" s="1"/>
  <c r="O173" i="12"/>
  <c r="P173" i="12" s="1"/>
  <c r="O616" i="12"/>
  <c r="P616" i="12" s="1"/>
  <c r="O460" i="12"/>
  <c r="P460" i="12" s="1"/>
  <c r="O316" i="12"/>
  <c r="P316" i="12" s="1"/>
  <c r="O172" i="12"/>
  <c r="P172" i="12" s="1"/>
  <c r="O28" i="12"/>
  <c r="P28" i="12" s="1"/>
  <c r="O185" i="12"/>
  <c r="P185" i="12" s="1"/>
  <c r="O628" i="12"/>
  <c r="P628" i="12" s="1"/>
  <c r="O603" i="12"/>
  <c r="P603" i="12" s="1"/>
  <c r="O459" i="12"/>
  <c r="P459" i="12" s="1"/>
  <c r="O315" i="12"/>
  <c r="P315" i="12" s="1"/>
  <c r="O171" i="12"/>
  <c r="P171" i="12" s="1"/>
  <c r="O662" i="12"/>
  <c r="P662" i="12" s="1"/>
  <c r="O610" i="12"/>
  <c r="P610" i="12" s="1"/>
  <c r="O368" i="12"/>
  <c r="P368" i="12" s="1"/>
  <c r="O80" i="12"/>
  <c r="P80" i="12" s="1"/>
  <c r="O244" i="12"/>
  <c r="P244" i="12" s="1"/>
  <c r="O243" i="12"/>
  <c r="P243" i="12" s="1"/>
  <c r="O679" i="12"/>
  <c r="P679" i="12" s="1"/>
  <c r="O606" i="12"/>
  <c r="P606" i="12" s="1"/>
  <c r="O516" i="12"/>
  <c r="P516" i="12" s="1"/>
  <c r="O682" i="12"/>
  <c r="P682" i="12" s="1"/>
  <c r="O324" i="12"/>
  <c r="P324" i="12" s="1"/>
  <c r="O665" i="12"/>
  <c r="P665" i="12" s="1"/>
  <c r="O430" i="12"/>
  <c r="P430" i="12" s="1"/>
  <c r="O462" i="12"/>
  <c r="P462" i="12" s="1"/>
  <c r="O551" i="12"/>
  <c r="P551" i="12" s="1"/>
  <c r="O247" i="12"/>
  <c r="P247" i="12" s="1"/>
  <c r="O539" i="12"/>
  <c r="P539" i="12" s="1"/>
  <c r="O78" i="12"/>
  <c r="P78" i="12" s="1"/>
  <c r="O442" i="12"/>
  <c r="P442" i="12" s="1"/>
  <c r="O30" i="12"/>
  <c r="P30" i="12" s="1"/>
  <c r="O96" i="12"/>
  <c r="P96" i="12" s="1"/>
  <c r="O672" i="12"/>
  <c r="P672" i="12" s="1"/>
  <c r="O653" i="12"/>
  <c r="P653" i="12" s="1"/>
  <c r="O670" i="12"/>
  <c r="P670" i="12" s="1"/>
  <c r="O342" i="12"/>
  <c r="P342" i="12" s="1"/>
  <c r="O571" i="12"/>
  <c r="P571" i="12" s="1"/>
  <c r="O570" i="12"/>
  <c r="P570" i="12" s="1"/>
  <c r="O215" i="12"/>
  <c r="P215" i="12" s="1"/>
  <c r="O623" i="12"/>
  <c r="P623" i="12" s="1"/>
  <c r="O391" i="12"/>
  <c r="P391" i="12" s="1"/>
  <c r="O601" i="12"/>
  <c r="P601" i="12" s="1"/>
  <c r="O482" i="12"/>
  <c r="P482" i="12" s="1"/>
  <c r="O730" i="12"/>
  <c r="P730" i="12" s="1"/>
  <c r="O514" i="12"/>
  <c r="P514" i="12" s="1"/>
  <c r="O174" i="12"/>
  <c r="P174" i="12" s="1"/>
  <c r="O240" i="12"/>
  <c r="P240" i="12" s="1"/>
  <c r="O583" i="12"/>
  <c r="P583" i="12" s="1"/>
  <c r="O275" i="12"/>
  <c r="P275" i="12" s="1"/>
  <c r="O307" i="12"/>
  <c r="P307" i="12" s="1"/>
  <c r="O454" i="12"/>
  <c r="P454" i="12" s="1"/>
  <c r="O54" i="12"/>
  <c r="P54" i="12" s="1"/>
  <c r="O595" i="12"/>
  <c r="P595" i="12" s="1"/>
  <c r="O336" i="12"/>
  <c r="P336" i="12" s="1"/>
  <c r="O475" i="12"/>
  <c r="P475" i="12" s="1"/>
  <c r="O311" i="12"/>
  <c r="P311" i="12" s="1"/>
  <c r="O527" i="12"/>
  <c r="P527" i="12" s="1"/>
  <c r="O526" i="12"/>
  <c r="P526" i="12" s="1"/>
  <c r="O522" i="12"/>
  <c r="P522" i="12" s="1"/>
  <c r="O191" i="12"/>
  <c r="P191" i="12" s="1"/>
  <c r="O350" i="12"/>
  <c r="P350" i="12" s="1"/>
  <c r="O206" i="12"/>
  <c r="P206" i="12" s="1"/>
  <c r="O62" i="12"/>
  <c r="P62" i="12" s="1"/>
  <c r="O337" i="12"/>
  <c r="P337" i="12" s="1"/>
  <c r="O193" i="12"/>
  <c r="P193" i="12" s="1"/>
  <c r="O49" i="12"/>
  <c r="P49" i="12" s="1"/>
  <c r="O94" i="12"/>
  <c r="P94" i="12" s="1"/>
  <c r="O621" i="12"/>
  <c r="P621" i="12" s="1"/>
  <c r="O477" i="12"/>
  <c r="P477" i="12" s="1"/>
  <c r="O333" i="12"/>
  <c r="P333" i="12" s="1"/>
  <c r="O189" i="12"/>
  <c r="P189" i="12" s="1"/>
  <c r="O45" i="12"/>
  <c r="P45" i="12" s="1"/>
  <c r="O298" i="12"/>
  <c r="P298" i="12" s="1"/>
  <c r="O82" i="12"/>
  <c r="P82" i="12" s="1"/>
  <c r="O632" i="12"/>
  <c r="P632" i="12" s="1"/>
  <c r="O488" i="12"/>
  <c r="P488" i="12" s="1"/>
  <c r="O344" i="12"/>
  <c r="P344" i="12" s="1"/>
  <c r="O200" i="12"/>
  <c r="P200" i="12" s="1"/>
  <c r="O56" i="12"/>
  <c r="P56" i="12" s="1"/>
  <c r="O281" i="12"/>
  <c r="P281" i="12" s="1"/>
  <c r="O724" i="12"/>
  <c r="P724" i="12" s="1"/>
  <c r="O508" i="12"/>
  <c r="P508" i="12" s="1"/>
  <c r="O364" i="12"/>
  <c r="P364" i="12" s="1"/>
  <c r="O220" i="12"/>
  <c r="P220" i="12" s="1"/>
  <c r="O76" i="12"/>
  <c r="P76" i="12" s="1"/>
  <c r="O269" i="12"/>
  <c r="P269" i="12" s="1"/>
  <c r="O712" i="12"/>
  <c r="P712" i="12" s="1"/>
  <c r="O651" i="12"/>
  <c r="P651" i="12" s="1"/>
  <c r="O507" i="12"/>
  <c r="P507" i="12" s="1"/>
  <c r="O363" i="12"/>
  <c r="P363" i="12" s="1"/>
  <c r="O219" i="12"/>
  <c r="P219" i="12" s="1"/>
  <c r="O75" i="12"/>
  <c r="P75" i="12" s="1"/>
  <c r="O710" i="12"/>
  <c r="P710" i="12" s="1"/>
  <c r="O529" i="12"/>
  <c r="P529" i="12" s="1"/>
  <c r="O18" i="12"/>
  <c r="P18" i="12" s="1"/>
  <c r="O239" i="12"/>
  <c r="P239" i="12" s="1"/>
  <c r="O155" i="12"/>
  <c r="P155" i="12" s="1"/>
  <c r="O181" i="12"/>
  <c r="P181" i="12" s="1"/>
  <c r="O609" i="12"/>
  <c r="P609" i="12" s="1"/>
  <c r="O33" i="12"/>
  <c r="P33" i="12" s="1"/>
  <c r="O286" i="12"/>
  <c r="P286" i="12" s="1"/>
  <c r="O70" i="12"/>
  <c r="P70" i="12" s="1"/>
  <c r="O620" i="12"/>
  <c r="P620" i="12" s="1"/>
  <c r="O476" i="12"/>
  <c r="P476" i="12" s="1"/>
  <c r="O188" i="12"/>
  <c r="P188" i="12" s="1"/>
  <c r="O44" i="12"/>
  <c r="P44" i="12" s="1"/>
  <c r="O257" i="12"/>
  <c r="P257" i="12" s="1"/>
  <c r="O700" i="12"/>
  <c r="P700" i="12" s="1"/>
  <c r="O496" i="12"/>
  <c r="P496" i="12" s="1"/>
  <c r="O352" i="12"/>
  <c r="P352" i="12" s="1"/>
  <c r="O208" i="12"/>
  <c r="P208" i="12" s="1"/>
  <c r="O64" i="12"/>
  <c r="P64" i="12" s="1"/>
  <c r="O245" i="12"/>
  <c r="P245" i="12" s="1"/>
  <c r="O688" i="12"/>
  <c r="P688" i="12" s="1"/>
  <c r="O639" i="12"/>
  <c r="P639" i="12" s="1"/>
  <c r="O495" i="12"/>
  <c r="P495" i="12" s="1"/>
  <c r="O351" i="12"/>
  <c r="P351" i="12" s="1"/>
  <c r="O207" i="12"/>
  <c r="P207" i="12" s="1"/>
  <c r="O63" i="12"/>
  <c r="P63" i="12" s="1"/>
  <c r="O683" i="12"/>
  <c r="P683" i="12" s="1"/>
  <c r="O446" i="12"/>
  <c r="P446" i="12" s="1"/>
  <c r="O494" i="12"/>
  <c r="P494" i="12" s="1"/>
  <c r="O138" i="12"/>
  <c r="P138" i="12" s="1"/>
  <c r="O204" i="12"/>
  <c r="P204" i="12" s="1"/>
  <c r="O203" i="12"/>
  <c r="P203" i="12" s="1"/>
  <c r="O235" i="12"/>
  <c r="P235" i="12" s="1"/>
  <c r="O434" i="12"/>
  <c r="P434" i="12" s="1"/>
  <c r="O577" i="12"/>
  <c r="P577" i="12" s="1"/>
  <c r="O300" i="12"/>
  <c r="P300" i="12" s="1"/>
  <c r="O726" i="12"/>
  <c r="P726" i="12" s="1"/>
  <c r="O473" i="12"/>
  <c r="P473" i="12" s="1"/>
  <c r="O720" i="12"/>
  <c r="P720" i="12" s="1"/>
  <c r="O504" i="12"/>
  <c r="P504" i="12" s="1"/>
  <c r="O338" i="12"/>
  <c r="P338" i="12" s="1"/>
  <c r="O194" i="12"/>
  <c r="P194" i="12" s="1"/>
  <c r="O50" i="12"/>
  <c r="P50" i="12" s="1"/>
  <c r="O325" i="12"/>
  <c r="P325" i="12" s="1"/>
  <c r="O37" i="12"/>
  <c r="P37" i="12" s="1"/>
  <c r="O58" i="12"/>
  <c r="P58" i="12" s="1"/>
  <c r="O465" i="12"/>
  <c r="P465" i="12" s="1"/>
  <c r="O321" i="12"/>
  <c r="P321" i="12" s="1"/>
  <c r="O177" i="12"/>
  <c r="P177" i="12" s="1"/>
  <c r="O332" i="12"/>
  <c r="P332" i="12" s="1"/>
  <c r="O79" i="12"/>
  <c r="P79" i="12" s="1"/>
  <c r="O403" i="12"/>
  <c r="P403" i="12" s="1"/>
  <c r="O625" i="12"/>
  <c r="P625" i="12" s="1"/>
  <c r="O396" i="12"/>
  <c r="P396" i="12" s="1"/>
  <c r="O637" i="12"/>
  <c r="P637" i="12" s="1"/>
  <c r="O502" i="12"/>
  <c r="P502" i="12" s="1"/>
  <c r="O498" i="12"/>
  <c r="P498" i="12" s="1"/>
  <c r="O143" i="12"/>
  <c r="P143" i="12" s="1"/>
  <c r="O587" i="12"/>
  <c r="P587" i="12" s="1"/>
  <c r="O319" i="12"/>
  <c r="P319" i="12" s="1"/>
  <c r="O629" i="12"/>
  <c r="P629" i="12" s="1"/>
  <c r="O402" i="12"/>
  <c r="P402" i="12" s="1"/>
  <c r="O694" i="12"/>
  <c r="P694" i="12" s="1"/>
  <c r="O478" i="12"/>
  <c r="P478" i="12" s="1"/>
  <c r="O102" i="12"/>
  <c r="P102" i="12" s="1"/>
  <c r="O168" i="12"/>
  <c r="P168" i="12" s="1"/>
  <c r="O439" i="12"/>
  <c r="P439" i="12" s="1"/>
  <c r="O59" i="12"/>
  <c r="P59" i="12" s="1"/>
  <c r="O163" i="12"/>
  <c r="P163" i="12" s="1"/>
  <c r="O408" i="12"/>
  <c r="P408" i="12" s="1"/>
  <c r="O91" i="12"/>
  <c r="P91" i="12" s="1"/>
  <c r="O559" i="12"/>
  <c r="P559" i="12" s="1"/>
  <c r="O264" i="12"/>
  <c r="P264" i="12" s="1"/>
  <c r="O690" i="12"/>
  <c r="P690" i="12" s="1"/>
  <c r="O167" i="12"/>
  <c r="P167" i="12" s="1"/>
  <c r="O414" i="12"/>
  <c r="P414" i="12" s="1"/>
  <c r="O702" i="12"/>
  <c r="P702" i="12" s="1"/>
  <c r="O486" i="12"/>
  <c r="P486" i="12" s="1"/>
  <c r="O119" i="12"/>
  <c r="P119" i="12" s="1"/>
  <c r="O326" i="12"/>
  <c r="P326" i="12" s="1"/>
  <c r="O182" i="12"/>
  <c r="P182" i="12" s="1"/>
  <c r="O38" i="12"/>
  <c r="P38" i="12" s="1"/>
  <c r="O313" i="12"/>
  <c r="P313" i="12" s="1"/>
  <c r="O169" i="12"/>
  <c r="P169" i="12" s="1"/>
  <c r="O25" i="12"/>
  <c r="P25" i="12" s="1"/>
  <c r="O22" i="12"/>
  <c r="P22" i="12" s="1"/>
  <c r="O597" i="12"/>
  <c r="P597" i="12" s="1"/>
  <c r="O453" i="12"/>
  <c r="P453" i="12" s="1"/>
  <c r="O309" i="12"/>
  <c r="P309" i="12" s="1"/>
  <c r="O165" i="12"/>
  <c r="P165" i="12" s="1"/>
  <c r="O21" i="12"/>
  <c r="P21" i="12" s="1"/>
  <c r="O274" i="12"/>
  <c r="P274" i="12" s="1"/>
  <c r="O46" i="12"/>
  <c r="P46" i="12" s="1"/>
  <c r="O608" i="12"/>
  <c r="P608" i="12" s="1"/>
  <c r="O464" i="12"/>
  <c r="P464" i="12" s="1"/>
  <c r="O320" i="12"/>
  <c r="P320" i="12" s="1"/>
  <c r="O176" i="12"/>
  <c r="P176" i="12" s="1"/>
  <c r="O32" i="12"/>
  <c r="P32" i="12" s="1"/>
  <c r="O221" i="12"/>
  <c r="P221" i="12" s="1"/>
  <c r="O664" i="12"/>
  <c r="P664" i="12" s="1"/>
  <c r="O484" i="12"/>
  <c r="P484" i="12" s="1"/>
  <c r="O340" i="12"/>
  <c r="P340" i="12" s="1"/>
  <c r="O196" i="12"/>
  <c r="P196" i="12" s="1"/>
  <c r="O52" i="12"/>
  <c r="P52" i="12" s="1"/>
  <c r="O233" i="12"/>
  <c r="P233" i="12" s="1"/>
  <c r="O676" i="12"/>
  <c r="P676" i="12" s="1"/>
  <c r="O627" i="12"/>
  <c r="P627" i="12" s="1"/>
  <c r="O483" i="12"/>
  <c r="P483" i="12" s="1"/>
  <c r="O339" i="12"/>
  <c r="P339" i="12" s="1"/>
  <c r="O195" i="12"/>
  <c r="P195" i="12" s="1"/>
  <c r="O51" i="12"/>
  <c r="P51" i="12" s="1"/>
  <c r="O164" i="12"/>
  <c r="P164" i="12" s="1"/>
  <c r="O20" i="12"/>
  <c r="P20" i="12" s="1"/>
  <c r="O197" i="12"/>
  <c r="P197" i="12" s="1"/>
  <c r="O640" i="12"/>
  <c r="P640" i="12" s="1"/>
  <c r="O472" i="12"/>
  <c r="P472" i="12" s="1"/>
  <c r="O328" i="12"/>
  <c r="P328" i="12" s="1"/>
  <c r="O184" i="12"/>
  <c r="P184" i="12" s="1"/>
  <c r="O40" i="12"/>
  <c r="P40" i="12" s="1"/>
  <c r="O209" i="12"/>
  <c r="P209" i="12" s="1"/>
  <c r="O652" i="12"/>
  <c r="P652" i="12" s="1"/>
  <c r="O615" i="12"/>
  <c r="P615" i="12" s="1"/>
  <c r="O471" i="12"/>
  <c r="P471" i="12" s="1"/>
  <c r="O327" i="12"/>
  <c r="P327" i="12" s="1"/>
  <c r="O183" i="12"/>
  <c r="P183" i="12" s="1"/>
  <c r="O39" i="12"/>
  <c r="P39" i="12" s="1"/>
  <c r="O288" i="12"/>
  <c r="P288" i="12" s="1"/>
  <c r="O593" i="12"/>
  <c r="P593" i="12" s="1"/>
  <c r="O330" i="12"/>
  <c r="P330" i="12" s="1"/>
  <c r="O444" i="12"/>
  <c r="P444" i="12" s="1"/>
  <c r="O35" i="12"/>
  <c r="P35" i="12" s="1"/>
  <c r="O533" i="12"/>
  <c r="P533" i="12" s="1"/>
  <c r="O211" i="12"/>
  <c r="P211" i="12" s="1"/>
  <c r="O485" i="12"/>
  <c r="P485" i="12" s="1"/>
  <c r="O638" i="12"/>
  <c r="P638" i="12" s="1"/>
  <c r="O419" i="12"/>
  <c r="P419" i="12" s="1"/>
  <c r="O511" i="12"/>
  <c r="P511" i="12" s="1"/>
  <c r="O60" i="12"/>
  <c r="P60" i="12" s="1"/>
  <c r="O636" i="12"/>
  <c r="P636" i="12" s="1"/>
  <c r="O617" i="12"/>
  <c r="P617" i="12" s="1"/>
  <c r="O634" i="12"/>
  <c r="P634" i="12" s="1"/>
  <c r="O306" i="12"/>
  <c r="P306" i="12" s="1"/>
  <c r="O721" i="12"/>
  <c r="P721" i="12" s="1"/>
  <c r="O505" i="12"/>
  <c r="P505" i="12" s="1"/>
  <c r="O156" i="12"/>
  <c r="P156" i="12" s="1"/>
  <c r="O582" i="12"/>
  <c r="P582" i="12" s="1"/>
  <c r="O23" i="12"/>
  <c r="P23" i="12" s="1"/>
  <c r="O199" i="12"/>
  <c r="P199" i="12" s="1"/>
  <c r="O648" i="12"/>
  <c r="P648" i="12" s="1"/>
  <c r="O432" i="12"/>
  <c r="P432" i="12" s="1"/>
  <c r="O6" i="12"/>
  <c r="P6" i="12" s="1"/>
  <c r="O290" i="12"/>
  <c r="P290" i="12" s="1"/>
  <c r="O146" i="12"/>
  <c r="P146" i="12" s="1"/>
  <c r="O421" i="12"/>
  <c r="P421" i="12" s="1"/>
  <c r="O277" i="12"/>
  <c r="P277" i="12" s="1"/>
  <c r="O133" i="12"/>
  <c r="P133" i="12" s="1"/>
  <c r="O11" i="12"/>
  <c r="P11" i="12" s="1"/>
  <c r="O705" i="12"/>
  <c r="P705" i="12" s="1"/>
  <c r="O561" i="12"/>
  <c r="P561" i="12" s="1"/>
  <c r="O417" i="12"/>
  <c r="P417" i="12" s="1"/>
  <c r="O273" i="12"/>
  <c r="P273" i="12" s="1"/>
  <c r="O129" i="12"/>
  <c r="P129" i="12" s="1"/>
  <c r="O382" i="12"/>
  <c r="P382" i="12" s="1"/>
  <c r="O238" i="12"/>
  <c r="P238" i="12" s="1"/>
  <c r="O716" i="12"/>
  <c r="P716" i="12" s="1"/>
  <c r="O572" i="12"/>
  <c r="P572" i="12" s="1"/>
  <c r="O428" i="12"/>
  <c r="P428" i="12" s="1"/>
  <c r="O284" i="12"/>
  <c r="P284" i="12" s="1"/>
  <c r="O140" i="12"/>
  <c r="P140" i="12" s="1"/>
  <c r="O293" i="12"/>
  <c r="P293" i="12" s="1"/>
  <c r="O149" i="12"/>
  <c r="P149" i="12" s="1"/>
  <c r="O604" i="12"/>
  <c r="P604" i="12" s="1"/>
  <c r="O448" i="12"/>
  <c r="P448" i="12" s="1"/>
  <c r="O304" i="12"/>
  <c r="P304" i="12" s="1"/>
  <c r="O160" i="12"/>
  <c r="P160" i="12" s="1"/>
  <c r="O16" i="12"/>
  <c r="P16" i="12" s="1"/>
  <c r="O161" i="12"/>
  <c r="P161" i="12" s="1"/>
  <c r="O592" i="12"/>
  <c r="P592" i="12" s="1"/>
  <c r="O591" i="12"/>
  <c r="P591" i="12" s="1"/>
  <c r="O447" i="12"/>
  <c r="P447" i="12" s="1"/>
  <c r="O303" i="12"/>
  <c r="P303" i="12" s="1"/>
  <c r="O159" i="12"/>
  <c r="P159" i="12" s="1"/>
  <c r="O15" i="12"/>
  <c r="P15" i="12" s="1"/>
  <c r="O294" i="12"/>
  <c r="P294" i="12" s="1"/>
  <c r="O538" i="12"/>
  <c r="P538" i="12" s="1"/>
  <c r="O553" i="12"/>
  <c r="P553" i="12" s="1"/>
  <c r="O252" i="12"/>
  <c r="P252" i="12" s="1"/>
  <c r="O521" i="12"/>
  <c r="P521" i="12" s="1"/>
  <c r="O222" i="12"/>
  <c r="P222" i="12" s="1"/>
  <c r="O426" i="12"/>
  <c r="P426" i="12" s="1"/>
  <c r="O515" i="12"/>
  <c r="P515" i="12" s="1"/>
  <c r="O175" i="12"/>
  <c r="P175" i="12" s="1"/>
  <c r="O431" i="12"/>
  <c r="P431" i="12" s="1"/>
  <c r="O696" i="12"/>
  <c r="P696" i="12" s="1"/>
  <c r="O622" i="12"/>
  <c r="P622" i="12" s="1"/>
  <c r="O390" i="12"/>
  <c r="P390" i="12" s="1"/>
  <c r="O457" i="12"/>
  <c r="P457" i="12" s="1"/>
  <c r="O24" i="12"/>
  <c r="P24" i="12" s="1"/>
  <c r="O600" i="12"/>
  <c r="P600" i="12" s="1"/>
  <c r="O581" i="12"/>
  <c r="P581" i="12" s="1"/>
  <c r="O614" i="12"/>
  <c r="P614" i="12" s="1"/>
  <c r="O270" i="12"/>
  <c r="P270" i="12" s="1"/>
  <c r="O703" i="12"/>
  <c r="P703" i="12" s="1"/>
  <c r="O487" i="12"/>
  <c r="P487" i="12" s="1"/>
  <c r="O120" i="12"/>
  <c r="P120" i="12" s="1"/>
  <c r="O564" i="12"/>
  <c r="P564" i="12" s="1"/>
  <c r="O725" i="12"/>
  <c r="P725" i="12" s="1"/>
  <c r="O127" i="12"/>
  <c r="P127" i="12" s="1"/>
  <c r="O630" i="12"/>
  <c r="P630" i="12" s="1"/>
  <c r="O406" i="12"/>
  <c r="P406" i="12" s="1"/>
  <c r="O422" i="12"/>
  <c r="P422" i="12" s="1"/>
  <c r="O278" i="12"/>
  <c r="P278" i="12" s="1"/>
  <c r="O134" i="12"/>
  <c r="P134" i="12" s="1"/>
  <c r="O409" i="12"/>
  <c r="P409" i="12" s="1"/>
  <c r="O265" i="12"/>
  <c r="P265" i="12" s="1"/>
  <c r="O121" i="12"/>
  <c r="P121" i="12" s="1"/>
  <c r="O10" i="12"/>
  <c r="P10" i="12" s="1"/>
  <c r="O693" i="12"/>
  <c r="P693" i="12" s="1"/>
  <c r="O549" i="12"/>
  <c r="P549" i="12" s="1"/>
  <c r="O405" i="12"/>
  <c r="P405" i="12" s="1"/>
  <c r="O261" i="12"/>
  <c r="P261" i="12" s="1"/>
  <c r="O117" i="12"/>
  <c r="P117" i="12" s="1"/>
  <c r="O370" i="12"/>
  <c r="P370" i="12" s="1"/>
  <c r="O226" i="12"/>
  <c r="P226" i="12" s="1"/>
  <c r="O704" i="12"/>
  <c r="P704" i="12" s="1"/>
  <c r="O560" i="12"/>
  <c r="P560" i="12" s="1"/>
  <c r="O416" i="12"/>
  <c r="P416" i="12" s="1"/>
  <c r="O272" i="12"/>
  <c r="P272" i="12" s="1"/>
  <c r="O128" i="12"/>
  <c r="P128" i="12" s="1"/>
  <c r="O425" i="12"/>
  <c r="P425" i="12" s="1"/>
  <c r="O125" i="12"/>
  <c r="P125" i="12" s="1"/>
  <c r="O580" i="12"/>
  <c r="P580" i="12" s="1"/>
  <c r="O436" i="12"/>
  <c r="P436" i="12" s="1"/>
  <c r="O292" i="12"/>
  <c r="P292" i="12" s="1"/>
  <c r="O148" i="12"/>
  <c r="P148" i="12" s="1"/>
  <c r="O4" i="12"/>
  <c r="P4" i="12" s="1"/>
  <c r="O137" i="12"/>
  <c r="P137" i="12" s="1"/>
  <c r="O723" i="12"/>
  <c r="P723" i="12" s="1"/>
  <c r="O579" i="12"/>
  <c r="P579" i="12" s="1"/>
  <c r="O435" i="12"/>
  <c r="P435" i="12" s="1"/>
  <c r="O291" i="12"/>
  <c r="P291" i="12" s="1"/>
  <c r="O147" i="12"/>
  <c r="P147" i="12" s="1"/>
  <c r="O3" i="12"/>
  <c r="P3" i="12" s="1"/>
  <c r="O2" i="12"/>
  <c r="P2" i="12" s="1"/>
  <c r="F1" i="8" a="1"/>
  <c r="E1" i="8" a="1"/>
  <c r="D1" i="8" a="1"/>
  <c r="D1" i="8" s="1"/>
  <c r="C1" i="8" a="1"/>
  <c r="B1" i="8" a="1"/>
  <c r="B1" i="8" s="1"/>
  <c r="C14" i="12"/>
  <c r="C12" i="12" l="1"/>
  <c r="C11" i="12"/>
  <c r="AK22" i="8"/>
  <c r="AK34" i="8"/>
  <c r="AK46" i="8"/>
  <c r="AK58" i="8"/>
  <c r="AK70" i="8"/>
  <c r="AK82" i="8"/>
  <c r="AK94" i="8"/>
  <c r="AK106" i="8"/>
  <c r="AK118" i="8"/>
  <c r="AK130" i="8"/>
  <c r="AK142" i="8"/>
  <c r="AK154" i="8"/>
  <c r="AK166" i="8"/>
  <c r="AK178" i="8"/>
  <c r="AK190" i="8"/>
  <c r="AK202" i="8"/>
  <c r="AK214" i="8"/>
  <c r="AK226" i="8"/>
  <c r="AK238" i="8"/>
  <c r="AK250" i="8"/>
  <c r="AK262" i="8"/>
  <c r="AK274" i="8"/>
  <c r="AK286" i="8"/>
  <c r="AK298" i="8"/>
  <c r="AK310" i="8"/>
  <c r="AK322" i="8"/>
  <c r="AK334" i="8"/>
  <c r="AK346" i="8"/>
  <c r="AK358" i="8"/>
  <c r="AK370" i="8"/>
  <c r="AK382" i="8"/>
  <c r="AK394" i="8"/>
  <c r="AK406" i="8"/>
  <c r="AK418" i="8"/>
  <c r="AK430" i="8"/>
  <c r="AK442" i="8"/>
  <c r="AK454" i="8"/>
  <c r="AK466" i="8"/>
  <c r="AK478" i="8"/>
  <c r="AK490" i="8"/>
  <c r="AK275" i="8"/>
  <c r="AK299" i="8"/>
  <c r="AK323" i="8"/>
  <c r="AK347" i="8"/>
  <c r="AK359" i="8"/>
  <c r="AK383" i="8"/>
  <c r="AK395" i="8"/>
  <c r="AK419" i="8"/>
  <c r="AK431" i="8"/>
  <c r="AK443" i="8"/>
  <c r="AK467" i="8"/>
  <c r="AK491" i="8"/>
  <c r="AK480" i="8"/>
  <c r="AK25" i="8"/>
  <c r="AK73" i="8"/>
  <c r="AK97" i="8"/>
  <c r="AK121" i="8"/>
  <c r="AK145" i="8"/>
  <c r="AK169" i="8"/>
  <c r="AK217" i="8"/>
  <c r="AK241" i="8"/>
  <c r="AK265" i="8"/>
  <c r="AK301" i="8"/>
  <c r="AK313" i="8"/>
  <c r="AK325" i="8"/>
  <c r="AK361" i="8"/>
  <c r="AK397" i="8"/>
  <c r="AK433" i="8"/>
  <c r="AK469" i="8"/>
  <c r="AK493" i="8"/>
  <c r="AK38" i="8"/>
  <c r="AK62" i="8"/>
  <c r="AK98" i="8"/>
  <c r="AK134" i="8"/>
  <c r="AK170" i="8"/>
  <c r="AK218" i="8"/>
  <c r="AK254" i="8"/>
  <c r="AK290" i="8"/>
  <c r="AK314" i="8"/>
  <c r="AK350" i="8"/>
  <c r="AK386" i="8"/>
  <c r="AK422" i="8"/>
  <c r="AK446" i="8"/>
  <c r="AK482" i="8"/>
  <c r="AK27" i="8"/>
  <c r="AK23" i="8"/>
  <c r="AK35" i="8"/>
  <c r="AK47" i="8"/>
  <c r="AK59" i="8"/>
  <c r="AK71" i="8"/>
  <c r="AK83" i="8"/>
  <c r="AK95" i="8"/>
  <c r="AK107" i="8"/>
  <c r="AK119" i="8"/>
  <c r="AK131" i="8"/>
  <c r="AK143" i="8"/>
  <c r="AK155" i="8"/>
  <c r="AK167" i="8"/>
  <c r="AK179" i="8"/>
  <c r="AK191" i="8"/>
  <c r="AK203" i="8"/>
  <c r="AK215" i="8"/>
  <c r="AK227" i="8"/>
  <c r="AK239" i="8"/>
  <c r="AK251" i="8"/>
  <c r="AK263" i="8"/>
  <c r="AK287" i="8"/>
  <c r="AK311" i="8"/>
  <c r="AK335" i="8"/>
  <c r="AK371" i="8"/>
  <c r="AK407" i="8"/>
  <c r="AK455" i="8"/>
  <c r="AK479" i="8"/>
  <c r="AK49" i="8"/>
  <c r="AK205" i="8"/>
  <c r="AK277" i="8"/>
  <c r="AK349" i="8"/>
  <c r="AK409" i="8"/>
  <c r="AK445" i="8"/>
  <c r="AK481" i="8"/>
  <c r="AK50" i="8"/>
  <c r="AK86" i="8"/>
  <c r="AK122" i="8"/>
  <c r="AK158" i="8"/>
  <c r="AK194" i="8"/>
  <c r="AK230" i="8"/>
  <c r="AK266" i="8"/>
  <c r="AK302" i="8"/>
  <c r="AK338" i="8"/>
  <c r="AK410" i="8"/>
  <c r="AK470" i="8"/>
  <c r="AK51" i="8"/>
  <c r="AK87" i="8"/>
  <c r="AK24" i="8"/>
  <c r="AK36" i="8"/>
  <c r="AK48" i="8"/>
  <c r="AK60" i="8"/>
  <c r="AK72" i="8"/>
  <c r="AK84" i="8"/>
  <c r="AK96" i="8"/>
  <c r="AK108" i="8"/>
  <c r="AK120" i="8"/>
  <c r="AK132" i="8"/>
  <c r="AK144" i="8"/>
  <c r="AK156" i="8"/>
  <c r="AK168" i="8"/>
  <c r="AK180" i="8"/>
  <c r="AK192" i="8"/>
  <c r="AK204" i="8"/>
  <c r="AK216" i="8"/>
  <c r="AK228" i="8"/>
  <c r="AK240" i="8"/>
  <c r="AK252" i="8"/>
  <c r="AK264" i="8"/>
  <c r="AK276" i="8"/>
  <c r="AK288" i="8"/>
  <c r="AK300" i="8"/>
  <c r="AK312" i="8"/>
  <c r="AK324" i="8"/>
  <c r="AK336" i="8"/>
  <c r="AK348" i="8"/>
  <c r="AK360" i="8"/>
  <c r="AK372" i="8"/>
  <c r="AK384" i="8"/>
  <c r="AK396" i="8"/>
  <c r="AK408" i="8"/>
  <c r="AK420" i="8"/>
  <c r="AK432" i="8"/>
  <c r="AK444" i="8"/>
  <c r="AK456" i="8"/>
  <c r="AK468" i="8"/>
  <c r="AK492" i="8"/>
  <c r="AK37" i="8"/>
  <c r="AK61" i="8"/>
  <c r="AK85" i="8"/>
  <c r="AK109" i="8"/>
  <c r="AK133" i="8"/>
  <c r="AK157" i="8"/>
  <c r="AK181" i="8"/>
  <c r="AK193" i="8"/>
  <c r="AK229" i="8"/>
  <c r="AK253" i="8"/>
  <c r="AK289" i="8"/>
  <c r="AK337" i="8"/>
  <c r="AK373" i="8"/>
  <c r="AK385" i="8"/>
  <c r="AK421" i="8"/>
  <c r="AK457" i="8"/>
  <c r="AK26" i="8"/>
  <c r="AK74" i="8"/>
  <c r="AK110" i="8"/>
  <c r="AK146" i="8"/>
  <c r="AK182" i="8"/>
  <c r="AK206" i="8"/>
  <c r="AK242" i="8"/>
  <c r="AK278" i="8"/>
  <c r="AK326" i="8"/>
  <c r="AK362" i="8"/>
  <c r="AK374" i="8"/>
  <c r="AK398" i="8"/>
  <c r="AK434" i="8"/>
  <c r="AK458" i="8"/>
  <c r="AK494" i="8"/>
  <c r="AK39" i="8"/>
  <c r="AK63" i="8"/>
  <c r="AK28" i="8"/>
  <c r="AK52" i="8"/>
  <c r="AK75" i="8"/>
  <c r="AK93" i="8"/>
  <c r="AK115" i="8"/>
  <c r="AK137" i="8"/>
  <c r="AK159" i="8"/>
  <c r="AK176" i="8"/>
  <c r="AK198" i="8"/>
  <c r="AK220" i="8"/>
  <c r="AK237" i="8"/>
  <c r="AK259" i="8"/>
  <c r="AK281" i="8"/>
  <c r="AK303" i="8"/>
  <c r="AK320" i="8"/>
  <c r="AK342" i="8"/>
  <c r="AK364" i="8"/>
  <c r="AK381" i="8"/>
  <c r="AK403" i="8"/>
  <c r="AK425" i="8"/>
  <c r="AK447" i="8"/>
  <c r="AK464" i="8"/>
  <c r="AK486" i="8"/>
  <c r="AK404" i="8"/>
  <c r="AK448" i="8"/>
  <c r="AK487" i="8"/>
  <c r="AK244" i="8"/>
  <c r="AK327" i="8"/>
  <c r="AK405" i="8"/>
  <c r="AK471" i="8"/>
  <c r="AK488" i="8"/>
  <c r="AK31" i="8"/>
  <c r="AK101" i="8"/>
  <c r="AK123" i="8"/>
  <c r="AK162" i="8"/>
  <c r="AK201" i="8"/>
  <c r="AK267" i="8"/>
  <c r="AK328" i="8"/>
  <c r="AK367" i="8"/>
  <c r="AK428" i="8"/>
  <c r="AK489" i="8"/>
  <c r="AK32" i="8"/>
  <c r="AK141" i="8"/>
  <c r="AK207" i="8"/>
  <c r="AK268" i="8"/>
  <c r="AK329" i="8"/>
  <c r="AK412" i="8"/>
  <c r="AK473" i="8"/>
  <c r="AK33" i="8"/>
  <c r="AK208" i="8"/>
  <c r="AK247" i="8"/>
  <c r="AK308" i="8"/>
  <c r="AK352" i="8"/>
  <c r="AK413" i="8"/>
  <c r="AK474" i="8"/>
  <c r="AK64" i="8"/>
  <c r="AK126" i="8"/>
  <c r="AK148" i="8"/>
  <c r="AK209" i="8"/>
  <c r="AK270" i="8"/>
  <c r="AK309" i="8"/>
  <c r="AK375" i="8"/>
  <c r="AK453" i="8"/>
  <c r="AK65" i="8"/>
  <c r="AK105" i="8"/>
  <c r="AK149" i="8"/>
  <c r="AK210" i="8"/>
  <c r="AK249" i="8"/>
  <c r="AK332" i="8"/>
  <c r="AK376" i="8"/>
  <c r="AK415" i="8"/>
  <c r="AK476" i="8"/>
  <c r="AK42" i="8"/>
  <c r="AK172" i="8"/>
  <c r="AK211" i="8"/>
  <c r="AK255" i="8"/>
  <c r="AK316" i="8"/>
  <c r="AK399" i="8"/>
  <c r="AK438" i="8"/>
  <c r="AK499" i="8"/>
  <c r="AK67" i="8"/>
  <c r="AK112" i="8"/>
  <c r="AK173" i="8"/>
  <c r="AK234" i="8"/>
  <c r="AK317" i="8"/>
  <c r="AK356" i="8"/>
  <c r="AK417" i="8"/>
  <c r="AK439" i="8"/>
  <c r="AK483" i="8"/>
  <c r="AK44" i="8"/>
  <c r="AK135" i="8"/>
  <c r="AK196" i="8"/>
  <c r="AK257" i="8"/>
  <c r="AK279" i="8"/>
  <c r="AK340" i="8"/>
  <c r="AK379" i="8"/>
  <c r="AK440" i="8"/>
  <c r="AK484" i="8"/>
  <c r="AK45" i="8"/>
  <c r="AK136" i="8"/>
  <c r="AK197" i="8"/>
  <c r="AK236" i="8"/>
  <c r="AK29" i="8"/>
  <c r="AK53" i="8"/>
  <c r="AK76" i="8"/>
  <c r="AK99" i="8"/>
  <c r="AK116" i="8"/>
  <c r="AK138" i="8"/>
  <c r="AK160" i="8"/>
  <c r="AK177" i="8"/>
  <c r="AK199" i="8"/>
  <c r="AK221" i="8"/>
  <c r="AK243" i="8"/>
  <c r="AK260" i="8"/>
  <c r="AK282" i="8"/>
  <c r="AK304" i="8"/>
  <c r="AK321" i="8"/>
  <c r="AK343" i="8"/>
  <c r="AK365" i="8"/>
  <c r="AK387" i="8"/>
  <c r="AK426" i="8"/>
  <c r="AK465" i="8"/>
  <c r="AK283" i="8"/>
  <c r="AK366" i="8"/>
  <c r="AK449" i="8"/>
  <c r="AK55" i="8"/>
  <c r="AK140" i="8"/>
  <c r="AK245" i="8"/>
  <c r="AK306" i="8"/>
  <c r="AK389" i="8"/>
  <c r="AK472" i="8"/>
  <c r="AK79" i="8"/>
  <c r="AK124" i="8"/>
  <c r="AK185" i="8"/>
  <c r="AK246" i="8"/>
  <c r="AK307" i="8"/>
  <c r="AK368" i="8"/>
  <c r="AK451" i="8"/>
  <c r="AK80" i="8"/>
  <c r="AK103" i="8"/>
  <c r="AK125" i="8"/>
  <c r="AK147" i="8"/>
  <c r="AK164" i="8"/>
  <c r="AK225" i="8"/>
  <c r="AK291" i="8"/>
  <c r="AK391" i="8"/>
  <c r="AK496" i="8"/>
  <c r="AK81" i="8"/>
  <c r="AK187" i="8"/>
  <c r="AK248" i="8"/>
  <c r="AK331" i="8"/>
  <c r="AK414" i="8"/>
  <c r="AK497" i="8"/>
  <c r="AK88" i="8"/>
  <c r="AK188" i="8"/>
  <c r="AK315" i="8"/>
  <c r="AK437" i="8"/>
  <c r="AK89" i="8"/>
  <c r="AK111" i="8"/>
  <c r="AK128" i="8"/>
  <c r="AK189" i="8"/>
  <c r="AK272" i="8"/>
  <c r="AK355" i="8"/>
  <c r="AK460" i="8"/>
  <c r="AK90" i="8"/>
  <c r="AK129" i="8"/>
  <c r="AK195" i="8"/>
  <c r="AK273" i="8"/>
  <c r="AK378" i="8"/>
  <c r="AK500" i="8"/>
  <c r="AK91" i="8"/>
  <c r="AK152" i="8"/>
  <c r="AK213" i="8"/>
  <c r="AK296" i="8"/>
  <c r="AK423" i="8"/>
  <c r="AK92" i="8"/>
  <c r="AK114" i="8"/>
  <c r="AK175" i="8"/>
  <c r="AK30" i="8"/>
  <c r="AK54" i="8"/>
  <c r="AK77" i="8"/>
  <c r="AK100" i="8"/>
  <c r="AK117" i="8"/>
  <c r="AK139" i="8"/>
  <c r="AK161" i="8"/>
  <c r="AK183" i="8"/>
  <c r="AK200" i="8"/>
  <c r="AK222" i="8"/>
  <c r="AK261" i="8"/>
  <c r="AK305" i="8"/>
  <c r="AK344" i="8"/>
  <c r="AK388" i="8"/>
  <c r="AK427" i="8"/>
  <c r="AK78" i="8"/>
  <c r="AK184" i="8"/>
  <c r="AK223" i="8"/>
  <c r="AK284" i="8"/>
  <c r="AK345" i="8"/>
  <c r="AK411" i="8"/>
  <c r="AK450" i="8"/>
  <c r="AK56" i="8"/>
  <c r="AK102" i="8"/>
  <c r="AK163" i="8"/>
  <c r="AK224" i="8"/>
  <c r="AK285" i="8"/>
  <c r="AK351" i="8"/>
  <c r="AK390" i="8"/>
  <c r="AK429" i="8"/>
  <c r="AK495" i="8"/>
  <c r="AK57" i="8"/>
  <c r="AK186" i="8"/>
  <c r="AK269" i="8"/>
  <c r="AK330" i="8"/>
  <c r="AK369" i="8"/>
  <c r="AK435" i="8"/>
  <c r="AK452" i="8"/>
  <c r="AK40" i="8"/>
  <c r="AK104" i="8"/>
  <c r="AK165" i="8"/>
  <c r="AK231" i="8"/>
  <c r="AK292" i="8"/>
  <c r="AK353" i="8"/>
  <c r="AK392" i="8"/>
  <c r="AK436" i="8"/>
  <c r="AK475" i="8"/>
  <c r="AK41" i="8"/>
  <c r="AK127" i="8"/>
  <c r="AK171" i="8"/>
  <c r="AK232" i="8"/>
  <c r="AK271" i="8"/>
  <c r="AK293" i="8"/>
  <c r="AK354" i="8"/>
  <c r="AK393" i="8"/>
  <c r="AK459" i="8"/>
  <c r="AK498" i="8"/>
  <c r="AK66" i="8"/>
  <c r="AK150" i="8"/>
  <c r="AK233" i="8"/>
  <c r="AK294" i="8"/>
  <c r="AK333" i="8"/>
  <c r="AK377" i="8"/>
  <c r="AK416" i="8"/>
  <c r="AK477" i="8"/>
  <c r="AK43" i="8"/>
  <c r="AK151" i="8"/>
  <c r="AK212" i="8"/>
  <c r="AK256" i="8"/>
  <c r="AK295" i="8"/>
  <c r="AK339" i="8"/>
  <c r="AK400" i="8"/>
  <c r="AK461" i="8"/>
  <c r="AK68" i="8"/>
  <c r="AK113" i="8"/>
  <c r="AK174" i="8"/>
  <c r="AK235" i="8"/>
  <c r="AK318" i="8"/>
  <c r="AK357" i="8"/>
  <c r="AK401" i="8"/>
  <c r="AK462" i="8"/>
  <c r="AK501" i="8"/>
  <c r="AK69" i="8"/>
  <c r="AK153" i="8"/>
  <c r="AK219" i="8"/>
  <c r="AK258" i="8"/>
  <c r="AK297" i="8"/>
  <c r="AK319" i="8"/>
  <c r="AK341" i="8"/>
  <c r="AK380" i="8"/>
  <c r="AK424" i="8"/>
  <c r="AK441" i="8"/>
  <c r="AK485" i="8"/>
  <c r="AK280" i="8"/>
  <c r="AK363" i="8"/>
  <c r="AK402" i="8"/>
  <c r="AK463" i="8"/>
  <c r="F1" i="8"/>
  <c r="AK21" i="8"/>
  <c r="AI2" i="8"/>
  <c r="AI3" i="8" s="1"/>
  <c r="AI4" i="8" s="1"/>
  <c r="AH3" i="8"/>
  <c r="AH4" i="8"/>
  <c r="AH16" i="8"/>
  <c r="AH28" i="8"/>
  <c r="AH40" i="8"/>
  <c r="AH52" i="8"/>
  <c r="AH64" i="8"/>
  <c r="AH76" i="8"/>
  <c r="AH88" i="8"/>
  <c r="AH100" i="8"/>
  <c r="AH112" i="8"/>
  <c r="AH124" i="8"/>
  <c r="AH136" i="8"/>
  <c r="AH148" i="8"/>
  <c r="AH160" i="8"/>
  <c r="AH172" i="8"/>
  <c r="AH184" i="8"/>
  <c r="AH196" i="8"/>
  <c r="AH208" i="8"/>
  <c r="AH220" i="8"/>
  <c r="AH232" i="8"/>
  <c r="AH244" i="8"/>
  <c r="AH256" i="8"/>
  <c r="AH268" i="8"/>
  <c r="AH280" i="8"/>
  <c r="AH292" i="8"/>
  <c r="AH304" i="8"/>
  <c r="AH316" i="8"/>
  <c r="AH328" i="8"/>
  <c r="AH340" i="8"/>
  <c r="AH352" i="8"/>
  <c r="AH364" i="8"/>
  <c r="AH376" i="8"/>
  <c r="AH388" i="8"/>
  <c r="AH400" i="8"/>
  <c r="AH412" i="8"/>
  <c r="AH424" i="8"/>
  <c r="AH436" i="8"/>
  <c r="AH448" i="8"/>
  <c r="AH460" i="8"/>
  <c r="AH472" i="8"/>
  <c r="AH484" i="8"/>
  <c r="AH496" i="8"/>
  <c r="AH353" i="8"/>
  <c r="AH389" i="8"/>
  <c r="AH413" i="8"/>
  <c r="AH437" i="8"/>
  <c r="AH461" i="8"/>
  <c r="AH485" i="8"/>
  <c r="AH6" i="8"/>
  <c r="AH30" i="8"/>
  <c r="AH54" i="8"/>
  <c r="AH78" i="8"/>
  <c r="AH102" i="8"/>
  <c r="AH126" i="8"/>
  <c r="AH150" i="8"/>
  <c r="AH174" i="8"/>
  <c r="AH198" i="8"/>
  <c r="AH222" i="8"/>
  <c r="AH246" i="8"/>
  <c r="AH270" i="8"/>
  <c r="AH294" i="8"/>
  <c r="AH318" i="8"/>
  <c r="AH342" i="8"/>
  <c r="AH366" i="8"/>
  <c r="AH390" i="8"/>
  <c r="AH414" i="8"/>
  <c r="AH438" i="8"/>
  <c r="AH462" i="8"/>
  <c r="AH486" i="8"/>
  <c r="AH7" i="8"/>
  <c r="AH43" i="8"/>
  <c r="AH67" i="8"/>
  <c r="AH91" i="8"/>
  <c r="AH103" i="8"/>
  <c r="AH127" i="8"/>
  <c r="AH151" i="8"/>
  <c r="AH175" i="8"/>
  <c r="AH199" i="8"/>
  <c r="AH223" i="8"/>
  <c r="AH247" i="8"/>
  <c r="AH271" i="8"/>
  <c r="AH295" i="8"/>
  <c r="AH319" i="8"/>
  <c r="AH343" i="8"/>
  <c r="AH379" i="8"/>
  <c r="AH5" i="8"/>
  <c r="AH17" i="8"/>
  <c r="AH29" i="8"/>
  <c r="AH41" i="8"/>
  <c r="AH53" i="8"/>
  <c r="AH65" i="8"/>
  <c r="AH77" i="8"/>
  <c r="AH89" i="8"/>
  <c r="AH101" i="8"/>
  <c r="AH113" i="8"/>
  <c r="AH125" i="8"/>
  <c r="AH137" i="8"/>
  <c r="AH149" i="8"/>
  <c r="AH161" i="8"/>
  <c r="AH173" i="8"/>
  <c r="AH185" i="8"/>
  <c r="AH197" i="8"/>
  <c r="AH209" i="8"/>
  <c r="AH221" i="8"/>
  <c r="AH233" i="8"/>
  <c r="AH245" i="8"/>
  <c r="AH257" i="8"/>
  <c r="AH269" i="8"/>
  <c r="AH281" i="8"/>
  <c r="AH293" i="8"/>
  <c r="AH305" i="8"/>
  <c r="AH317" i="8"/>
  <c r="AH329" i="8"/>
  <c r="AH341" i="8"/>
  <c r="AH365" i="8"/>
  <c r="AH377" i="8"/>
  <c r="AH401" i="8"/>
  <c r="AH425" i="8"/>
  <c r="AH449" i="8"/>
  <c r="AH473" i="8"/>
  <c r="AH497" i="8"/>
  <c r="AH18" i="8"/>
  <c r="AH42" i="8"/>
  <c r="AH66" i="8"/>
  <c r="AH90" i="8"/>
  <c r="AH114" i="8"/>
  <c r="AH138" i="8"/>
  <c r="AH162" i="8"/>
  <c r="AH186" i="8"/>
  <c r="AH210" i="8"/>
  <c r="AH234" i="8"/>
  <c r="AH258" i="8"/>
  <c r="AH282" i="8"/>
  <c r="AH306" i="8"/>
  <c r="AH330" i="8"/>
  <c r="AH354" i="8"/>
  <c r="AH378" i="8"/>
  <c r="AH402" i="8"/>
  <c r="AH426" i="8"/>
  <c r="AH450" i="8"/>
  <c r="AH474" i="8"/>
  <c r="AH498" i="8"/>
  <c r="AH19" i="8"/>
  <c r="AH31" i="8"/>
  <c r="AH55" i="8"/>
  <c r="AH79" i="8"/>
  <c r="AH115" i="8"/>
  <c r="AH139" i="8"/>
  <c r="AH163" i="8"/>
  <c r="AH187" i="8"/>
  <c r="AH211" i="8"/>
  <c r="AH235" i="8"/>
  <c r="AH259" i="8"/>
  <c r="AH283" i="8"/>
  <c r="AH307" i="8"/>
  <c r="AH331" i="8"/>
  <c r="AH355" i="8"/>
  <c r="AH367" i="8"/>
  <c r="AH391" i="8"/>
  <c r="AH415" i="8"/>
  <c r="AH427" i="8"/>
  <c r="AH8" i="8"/>
  <c r="AH24" i="8"/>
  <c r="AH44" i="8"/>
  <c r="AH60" i="8"/>
  <c r="AH80" i="8"/>
  <c r="AH96" i="8"/>
  <c r="AH116" i="8"/>
  <c r="AH132" i="8"/>
  <c r="AH152" i="8"/>
  <c r="AH168" i="8"/>
  <c r="AH188" i="8"/>
  <c r="AH204" i="8"/>
  <c r="AH224" i="8"/>
  <c r="AH240" i="8"/>
  <c r="AH260" i="8"/>
  <c r="AH276" i="8"/>
  <c r="AH296" i="8"/>
  <c r="AH312" i="8"/>
  <c r="AH332" i="8"/>
  <c r="AH348" i="8"/>
  <c r="AH368" i="8"/>
  <c r="AH384" i="8"/>
  <c r="AH403" i="8"/>
  <c r="AH419" i="8"/>
  <c r="AH435" i="8"/>
  <c r="AH453" i="8"/>
  <c r="AH468" i="8"/>
  <c r="AH483" i="8"/>
  <c r="AH501" i="8"/>
  <c r="AH242" i="8"/>
  <c r="AH298" i="8"/>
  <c r="AH334" i="8"/>
  <c r="AH370" i="8"/>
  <c r="AH405" i="8"/>
  <c r="AH440" i="8"/>
  <c r="AH470" i="8"/>
  <c r="AH11" i="8"/>
  <c r="AH47" i="8"/>
  <c r="AH99" i="8"/>
  <c r="AH135" i="8"/>
  <c r="AH171" i="8"/>
  <c r="AH207" i="8"/>
  <c r="AH227" i="8"/>
  <c r="AH263" i="8"/>
  <c r="AH279" i="8"/>
  <c r="AH315" i="8"/>
  <c r="AH351" i="8"/>
  <c r="AH387" i="8"/>
  <c r="AH422" i="8"/>
  <c r="AH456" i="8"/>
  <c r="AH489" i="8"/>
  <c r="AH32" i="8"/>
  <c r="AH48" i="8"/>
  <c r="AH84" i="8"/>
  <c r="AH120" i="8"/>
  <c r="AH156" i="8"/>
  <c r="AH192" i="8"/>
  <c r="AH228" i="8"/>
  <c r="AH264" i="8"/>
  <c r="AH300" i="8"/>
  <c r="AH336" i="8"/>
  <c r="AH372" i="8"/>
  <c r="AH407" i="8"/>
  <c r="AH442" i="8"/>
  <c r="AH490" i="8"/>
  <c r="AH33" i="8"/>
  <c r="AH49" i="8"/>
  <c r="AH85" i="8"/>
  <c r="AH121" i="8"/>
  <c r="AH141" i="8"/>
  <c r="AH193" i="8"/>
  <c r="AH229" i="8"/>
  <c r="AH265" i="8"/>
  <c r="AH321" i="8"/>
  <c r="AH357" i="8"/>
  <c r="AH9" i="8"/>
  <c r="AH25" i="8"/>
  <c r="AH45" i="8"/>
  <c r="AH61" i="8"/>
  <c r="AH81" i="8"/>
  <c r="AH97" i="8"/>
  <c r="AH117" i="8"/>
  <c r="AH133" i="8"/>
  <c r="AH153" i="8"/>
  <c r="AH169" i="8"/>
  <c r="AH189" i="8"/>
  <c r="AH205" i="8"/>
  <c r="AH225" i="8"/>
  <c r="AH241" i="8"/>
  <c r="AH261" i="8"/>
  <c r="AH277" i="8"/>
  <c r="AH297" i="8"/>
  <c r="AH313" i="8"/>
  <c r="AH333" i="8"/>
  <c r="AH349" i="8"/>
  <c r="AH369" i="8"/>
  <c r="AH385" i="8"/>
  <c r="AH404" i="8"/>
  <c r="AH420" i="8"/>
  <c r="AH439" i="8"/>
  <c r="AH454" i="8"/>
  <c r="AH469" i="8"/>
  <c r="AH487" i="8"/>
  <c r="AH10" i="8"/>
  <c r="AH26" i="8"/>
  <c r="AH46" i="8"/>
  <c r="AH62" i="8"/>
  <c r="AH82" i="8"/>
  <c r="AH98" i="8"/>
  <c r="AH118" i="8"/>
  <c r="AH134" i="8"/>
  <c r="AH154" i="8"/>
  <c r="AH170" i="8"/>
  <c r="AH190" i="8"/>
  <c r="AH206" i="8"/>
  <c r="AH226" i="8"/>
  <c r="AH262" i="8"/>
  <c r="AH278" i="8"/>
  <c r="AH314" i="8"/>
  <c r="AH350" i="8"/>
  <c r="AH386" i="8"/>
  <c r="AH421" i="8"/>
  <c r="AH455" i="8"/>
  <c r="AH488" i="8"/>
  <c r="AH27" i="8"/>
  <c r="AH63" i="8"/>
  <c r="AH83" i="8"/>
  <c r="AH119" i="8"/>
  <c r="AH155" i="8"/>
  <c r="AH191" i="8"/>
  <c r="AH243" i="8"/>
  <c r="AH299" i="8"/>
  <c r="AH335" i="8"/>
  <c r="AH371" i="8"/>
  <c r="AH406" i="8"/>
  <c r="AH441" i="8"/>
  <c r="AH471" i="8"/>
  <c r="AH12" i="8"/>
  <c r="AH68" i="8"/>
  <c r="AH104" i="8"/>
  <c r="AH140" i="8"/>
  <c r="AH176" i="8"/>
  <c r="AH212" i="8"/>
  <c r="AH248" i="8"/>
  <c r="AH284" i="8"/>
  <c r="AH320" i="8"/>
  <c r="AH356" i="8"/>
  <c r="AH392" i="8"/>
  <c r="AH423" i="8"/>
  <c r="AH457" i="8"/>
  <c r="AH475" i="8"/>
  <c r="AH13" i="8"/>
  <c r="AH69" i="8"/>
  <c r="AH105" i="8"/>
  <c r="AH157" i="8"/>
  <c r="AH177" i="8"/>
  <c r="AH213" i="8"/>
  <c r="AH249" i="8"/>
  <c r="AH285" i="8"/>
  <c r="AH301" i="8"/>
  <c r="AH14" i="8"/>
  <c r="AH50" i="8"/>
  <c r="AH86" i="8"/>
  <c r="AH122" i="8"/>
  <c r="AH158" i="8"/>
  <c r="AH194" i="8"/>
  <c r="AH230" i="8"/>
  <c r="AH266" i="8"/>
  <c r="AH302" i="8"/>
  <c r="AH337" i="8"/>
  <c r="AH363" i="8"/>
  <c r="AH397" i="8"/>
  <c r="AH430" i="8"/>
  <c r="AH458" i="8"/>
  <c r="AH481" i="8"/>
  <c r="AH344" i="8"/>
  <c r="AH433" i="8"/>
  <c r="AH492" i="8"/>
  <c r="AH58" i="8"/>
  <c r="AH94" i="8"/>
  <c r="AH166" i="8"/>
  <c r="AH238" i="8"/>
  <c r="AH274" i="8"/>
  <c r="AH345" i="8"/>
  <c r="AH380" i="8"/>
  <c r="AH434" i="8"/>
  <c r="AH493" i="8"/>
  <c r="AH59" i="8"/>
  <c r="AH131" i="8"/>
  <c r="AH203" i="8"/>
  <c r="AH275" i="8"/>
  <c r="AH346" i="8"/>
  <c r="AH410" i="8"/>
  <c r="AH466" i="8"/>
  <c r="AH34" i="8"/>
  <c r="AH106" i="8"/>
  <c r="AH178" i="8"/>
  <c r="AH250" i="8"/>
  <c r="AH322" i="8"/>
  <c r="AH382" i="8"/>
  <c r="AH444" i="8"/>
  <c r="AH495" i="8"/>
  <c r="AH71" i="8"/>
  <c r="AH143" i="8"/>
  <c r="AH215" i="8"/>
  <c r="AH287" i="8"/>
  <c r="AH358" i="8"/>
  <c r="AH416" i="8"/>
  <c r="AH476" i="8"/>
  <c r="AH499" i="8"/>
  <c r="AH72" i="8"/>
  <c r="AH180" i="8"/>
  <c r="AH252" i="8"/>
  <c r="AH324" i="8"/>
  <c r="AH393" i="8"/>
  <c r="AH446" i="8"/>
  <c r="AH500" i="8"/>
  <c r="AH73" i="8"/>
  <c r="AH145" i="8"/>
  <c r="AH181" i="8"/>
  <c r="AH253" i="8"/>
  <c r="AH289" i="8"/>
  <c r="AH360" i="8"/>
  <c r="AH394" i="8"/>
  <c r="AH447" i="8"/>
  <c r="AH38" i="8"/>
  <c r="AH146" i="8"/>
  <c r="AH182" i="8"/>
  <c r="AH254" i="8"/>
  <c r="AH326" i="8"/>
  <c r="AH395" i="8"/>
  <c r="AH451" i="8"/>
  <c r="AH39" i="8"/>
  <c r="AH111" i="8"/>
  <c r="AH183" i="8"/>
  <c r="AH255" i="8"/>
  <c r="AH327" i="8"/>
  <c r="AH362" i="8"/>
  <c r="AH429" i="8"/>
  <c r="AH480" i="8"/>
  <c r="AH15" i="8"/>
  <c r="AH51" i="8"/>
  <c r="AH87" i="8"/>
  <c r="AH123" i="8"/>
  <c r="AH159" i="8"/>
  <c r="AH195" i="8"/>
  <c r="AH231" i="8"/>
  <c r="AH267" i="8"/>
  <c r="AH303" i="8"/>
  <c r="AH338" i="8"/>
  <c r="AH373" i="8"/>
  <c r="AH398" i="8"/>
  <c r="AH431" i="8"/>
  <c r="AH459" i="8"/>
  <c r="AH482" i="8"/>
  <c r="AH20" i="8"/>
  <c r="AH56" i="8"/>
  <c r="AH92" i="8"/>
  <c r="AH128" i="8"/>
  <c r="AH164" i="8"/>
  <c r="AH200" i="8"/>
  <c r="AH236" i="8"/>
  <c r="AH272" i="8"/>
  <c r="AH308" i="8"/>
  <c r="AH339" i="8"/>
  <c r="AH374" i="8"/>
  <c r="AH399" i="8"/>
  <c r="AH432" i="8"/>
  <c r="AH463" i="8"/>
  <c r="AH491" i="8"/>
  <c r="AH21" i="8"/>
  <c r="AH57" i="8"/>
  <c r="AH93" i="8"/>
  <c r="AH129" i="8"/>
  <c r="AH165" i="8"/>
  <c r="AH201" i="8"/>
  <c r="AH237" i="8"/>
  <c r="AH273" i="8"/>
  <c r="AH309" i="8"/>
  <c r="AH375" i="8"/>
  <c r="AH408" i="8"/>
  <c r="AH464" i="8"/>
  <c r="AH22" i="8"/>
  <c r="AH130" i="8"/>
  <c r="AH202" i="8"/>
  <c r="AH310" i="8"/>
  <c r="AH409" i="8"/>
  <c r="AH465" i="8"/>
  <c r="AH23" i="8"/>
  <c r="AH95" i="8"/>
  <c r="AH167" i="8"/>
  <c r="AH239" i="8"/>
  <c r="AH311" i="8"/>
  <c r="AH381" i="8"/>
  <c r="AH443" i="8"/>
  <c r="AH494" i="8"/>
  <c r="AH70" i="8"/>
  <c r="AH142" i="8"/>
  <c r="AH214" i="8"/>
  <c r="AH286" i="8"/>
  <c r="AH347" i="8"/>
  <c r="AH411" i="8"/>
  <c r="AH467" i="8"/>
  <c r="AH35" i="8"/>
  <c r="AH107" i="8"/>
  <c r="AH179" i="8"/>
  <c r="AH251" i="8"/>
  <c r="AH323" i="8"/>
  <c r="AH383" i="8"/>
  <c r="AH445" i="8"/>
  <c r="AH36" i="8"/>
  <c r="AH108" i="8"/>
  <c r="AH144" i="8"/>
  <c r="AH216" i="8"/>
  <c r="AH288" i="8"/>
  <c r="AH359" i="8"/>
  <c r="AH417" i="8"/>
  <c r="AH477" i="8"/>
  <c r="AH37" i="8"/>
  <c r="AH109" i="8"/>
  <c r="AH217" i="8"/>
  <c r="AH325" i="8"/>
  <c r="AH418" i="8"/>
  <c r="AH478" i="8"/>
  <c r="AH74" i="8"/>
  <c r="AH110" i="8"/>
  <c r="AH218" i="8"/>
  <c r="AH290" i="8"/>
  <c r="AH361" i="8"/>
  <c r="AH428" i="8"/>
  <c r="AH479" i="8"/>
  <c r="AH75" i="8"/>
  <c r="AH147" i="8"/>
  <c r="AH219" i="8"/>
  <c r="AH291" i="8"/>
  <c r="AH396" i="8"/>
  <c r="AH452" i="8"/>
  <c r="AE2" i="8"/>
  <c r="AF2" i="8" s="1"/>
  <c r="AG2" i="8" s="1"/>
  <c r="AE3" i="8"/>
  <c r="AE15" i="8"/>
  <c r="AE27" i="8"/>
  <c r="AE39" i="8"/>
  <c r="AE51" i="8"/>
  <c r="AE63" i="8"/>
  <c r="AE75" i="8"/>
  <c r="AE87" i="8"/>
  <c r="AE99" i="8"/>
  <c r="AE111" i="8"/>
  <c r="AE123" i="8"/>
  <c r="AE135" i="8"/>
  <c r="AE147" i="8"/>
  <c r="AE159" i="8"/>
  <c r="AE171" i="8"/>
  <c r="AE183" i="8"/>
  <c r="AE195" i="8"/>
  <c r="AE207" i="8"/>
  <c r="AE219" i="8"/>
  <c r="AE231" i="8"/>
  <c r="AE243" i="8"/>
  <c r="AE255" i="8"/>
  <c r="AE267" i="8"/>
  <c r="AE279" i="8"/>
  <c r="AE291" i="8"/>
  <c r="AE303" i="8"/>
  <c r="AE315" i="8"/>
  <c r="AE327" i="8"/>
  <c r="AE339" i="8"/>
  <c r="AE351" i="8"/>
  <c r="AE363" i="8"/>
  <c r="AE375" i="8"/>
  <c r="AE387" i="8"/>
  <c r="AE399" i="8"/>
  <c r="AE411" i="8"/>
  <c r="AE423" i="8"/>
  <c r="AE435" i="8"/>
  <c r="AE447" i="8"/>
  <c r="AE459" i="8"/>
  <c r="AE471" i="8"/>
  <c r="AE483" i="8"/>
  <c r="AE495" i="8"/>
  <c r="AE4" i="8"/>
  <c r="AE16" i="8"/>
  <c r="AE28" i="8"/>
  <c r="AE40" i="8"/>
  <c r="AE52" i="8"/>
  <c r="AE64" i="8"/>
  <c r="AE76" i="8"/>
  <c r="AE88" i="8"/>
  <c r="AE100" i="8"/>
  <c r="AE112" i="8"/>
  <c r="AE124" i="8"/>
  <c r="AE136" i="8"/>
  <c r="AE148" i="8"/>
  <c r="AE160" i="8"/>
  <c r="AE172" i="8"/>
  <c r="AE184" i="8"/>
  <c r="AE196" i="8"/>
  <c r="AE208" i="8"/>
  <c r="AE220" i="8"/>
  <c r="AE232" i="8"/>
  <c r="AE244" i="8"/>
  <c r="AE256" i="8"/>
  <c r="AE268" i="8"/>
  <c r="AE280" i="8"/>
  <c r="AE292" i="8"/>
  <c r="AE304" i="8"/>
  <c r="AE316" i="8"/>
  <c r="AE328" i="8"/>
  <c r="AE340" i="8"/>
  <c r="AE352" i="8"/>
  <c r="AE364" i="8"/>
  <c r="AE376" i="8"/>
  <c r="AE388" i="8"/>
  <c r="AE400" i="8"/>
  <c r="AE412" i="8"/>
  <c r="AE424" i="8"/>
  <c r="AE436" i="8"/>
  <c r="AE448" i="8"/>
  <c r="AE460" i="8"/>
  <c r="AE472" i="8"/>
  <c r="AE484" i="8"/>
  <c r="AE496" i="8"/>
  <c r="AE5" i="8"/>
  <c r="AE6" i="8"/>
  <c r="AE20" i="8"/>
  <c r="AE34" i="8"/>
  <c r="AE48" i="8"/>
  <c r="AE62" i="8"/>
  <c r="AE78" i="8"/>
  <c r="AE92" i="8"/>
  <c r="AE106" i="8"/>
  <c r="AE120" i="8"/>
  <c r="AE134" i="8"/>
  <c r="AE150" i="8"/>
  <c r="AE164" i="8"/>
  <c r="AE178" i="8"/>
  <c r="AE192" i="8"/>
  <c r="AE206" i="8"/>
  <c r="AE222" i="8"/>
  <c r="AE236" i="8"/>
  <c r="AE250" i="8"/>
  <c r="AE264" i="8"/>
  <c r="AE278" i="8"/>
  <c r="AE294" i="8"/>
  <c r="AE308" i="8"/>
  <c r="AE322" i="8"/>
  <c r="AE336" i="8"/>
  <c r="AE350" i="8"/>
  <c r="AE366" i="8"/>
  <c r="AE380" i="8"/>
  <c r="AE394" i="8"/>
  <c r="AE408" i="8"/>
  <c r="AE422" i="8"/>
  <c r="AE438" i="8"/>
  <c r="AE452" i="8"/>
  <c r="AE466" i="8"/>
  <c r="AE480" i="8"/>
  <c r="AE494" i="8"/>
  <c r="AE7" i="8"/>
  <c r="AE21" i="8"/>
  <c r="AE35" i="8"/>
  <c r="AE49" i="8"/>
  <c r="AE65" i="8"/>
  <c r="AE79" i="8"/>
  <c r="AE93" i="8"/>
  <c r="AE107" i="8"/>
  <c r="AE121" i="8"/>
  <c r="AE137" i="8"/>
  <c r="AE151" i="8"/>
  <c r="AE165" i="8"/>
  <c r="AE179" i="8"/>
  <c r="AE193" i="8"/>
  <c r="AE209" i="8"/>
  <c r="AE223" i="8"/>
  <c r="AE237" i="8"/>
  <c r="AE251" i="8"/>
  <c r="AE265" i="8"/>
  <c r="AE281" i="8"/>
  <c r="AE295" i="8"/>
  <c r="AE309" i="8"/>
  <c r="AE323" i="8"/>
  <c r="AE337" i="8"/>
  <c r="AE353" i="8"/>
  <c r="AE367" i="8"/>
  <c r="AE381" i="8"/>
  <c r="AE395" i="8"/>
  <c r="AE409" i="8"/>
  <c r="AE425" i="8"/>
  <c r="AE439" i="8"/>
  <c r="AE453" i="8"/>
  <c r="AE467" i="8"/>
  <c r="AE481" i="8"/>
  <c r="AE497" i="8"/>
  <c r="AE8" i="8"/>
  <c r="AE22" i="8"/>
  <c r="AE36" i="8"/>
  <c r="AE50" i="8"/>
  <c r="AE66" i="8"/>
  <c r="AE80" i="8"/>
  <c r="AE94" i="8"/>
  <c r="AE108" i="8"/>
  <c r="AE122" i="8"/>
  <c r="AE138" i="8"/>
  <c r="AE152" i="8"/>
  <c r="AE166" i="8"/>
  <c r="AE180" i="8"/>
  <c r="AE194" i="8"/>
  <c r="AE210" i="8"/>
  <c r="AE224" i="8"/>
  <c r="AE238" i="8"/>
  <c r="AE252" i="8"/>
  <c r="AE266" i="8"/>
  <c r="AE282" i="8"/>
  <c r="AE296" i="8"/>
  <c r="AE310" i="8"/>
  <c r="AE324" i="8"/>
  <c r="AE338" i="8"/>
  <c r="AE354" i="8"/>
  <c r="AE368" i="8"/>
  <c r="AE382" i="8"/>
  <c r="AE396" i="8"/>
  <c r="AE410" i="8"/>
  <c r="AE426" i="8"/>
  <c r="AE440" i="8"/>
  <c r="AE454" i="8"/>
  <c r="AE468" i="8"/>
  <c r="AE482" i="8"/>
  <c r="AE498" i="8"/>
  <c r="AE9" i="8"/>
  <c r="AE23" i="8"/>
  <c r="AE37" i="8"/>
  <c r="AE53" i="8"/>
  <c r="AE67" i="8"/>
  <c r="AE81" i="8"/>
  <c r="AE95" i="8"/>
  <c r="AE109" i="8"/>
  <c r="AE125" i="8"/>
  <c r="AE139" i="8"/>
  <c r="AE153" i="8"/>
  <c r="AE167" i="8"/>
  <c r="AE181" i="8"/>
  <c r="AE197" i="8"/>
  <c r="AE211" i="8"/>
  <c r="AE225" i="8"/>
  <c r="AE239" i="8"/>
  <c r="AE253" i="8"/>
  <c r="AE269" i="8"/>
  <c r="AE283" i="8"/>
  <c r="AE297" i="8"/>
  <c r="AE311" i="8"/>
  <c r="AE325" i="8"/>
  <c r="AE341" i="8"/>
  <c r="AE355" i="8"/>
  <c r="AE369" i="8"/>
  <c r="AE383" i="8"/>
  <c r="AE397" i="8"/>
  <c r="AE413" i="8"/>
  <c r="AE427" i="8"/>
  <c r="AE441" i="8"/>
  <c r="AE455" i="8"/>
  <c r="AE469" i="8"/>
  <c r="AE485" i="8"/>
  <c r="AE499" i="8"/>
  <c r="AE10" i="8"/>
  <c r="AE24" i="8"/>
  <c r="AE38" i="8"/>
  <c r="AE54" i="8"/>
  <c r="AE68" i="8"/>
  <c r="AE82" i="8"/>
  <c r="AE96" i="8"/>
  <c r="AE110" i="8"/>
  <c r="AE126" i="8"/>
  <c r="AE140" i="8"/>
  <c r="AE154" i="8"/>
  <c r="AE168" i="8"/>
  <c r="AE182" i="8"/>
  <c r="AE198" i="8"/>
  <c r="AE212" i="8"/>
  <c r="AE226" i="8"/>
  <c r="AE240" i="8"/>
  <c r="AE254" i="8"/>
  <c r="AE270" i="8"/>
  <c r="AE284" i="8"/>
  <c r="AE298" i="8"/>
  <c r="AE312" i="8"/>
  <c r="AE326" i="8"/>
  <c r="AE342" i="8"/>
  <c r="AE356" i="8"/>
  <c r="AE370" i="8"/>
  <c r="AE384" i="8"/>
  <c r="AE398" i="8"/>
  <c r="AE414" i="8"/>
  <c r="AE428" i="8"/>
  <c r="AE11" i="8"/>
  <c r="AE32" i="8"/>
  <c r="AE58" i="8"/>
  <c r="AE84" i="8"/>
  <c r="AE105" i="8"/>
  <c r="AE131" i="8"/>
  <c r="AE157" i="8"/>
  <c r="AE185" i="8"/>
  <c r="AE204" i="8"/>
  <c r="AE230" i="8"/>
  <c r="AE258" i="8"/>
  <c r="AE277" i="8"/>
  <c r="AE305" i="8"/>
  <c r="AE331" i="8"/>
  <c r="AE357" i="8"/>
  <c r="AE378" i="8"/>
  <c r="AE404" i="8"/>
  <c r="AE430" i="8"/>
  <c r="AE450" i="8"/>
  <c r="AE474" i="8"/>
  <c r="AE492" i="8"/>
  <c r="AE12" i="8"/>
  <c r="AE33" i="8"/>
  <c r="AE59" i="8"/>
  <c r="AE85" i="8"/>
  <c r="AE113" i="8"/>
  <c r="AE132" i="8"/>
  <c r="AE158" i="8"/>
  <c r="AE186" i="8"/>
  <c r="AE205" i="8"/>
  <c r="AE233" i="8"/>
  <c r="AE259" i="8"/>
  <c r="AE285" i="8"/>
  <c r="AE306" i="8"/>
  <c r="AE332" i="8"/>
  <c r="AE358" i="8"/>
  <c r="AE379" i="8"/>
  <c r="AE405" i="8"/>
  <c r="AE431" i="8"/>
  <c r="AE451" i="8"/>
  <c r="AE475" i="8"/>
  <c r="AE493" i="8"/>
  <c r="AE13" i="8"/>
  <c r="AE41" i="8"/>
  <c r="AE60" i="8"/>
  <c r="AE86" i="8"/>
  <c r="AE114" i="8"/>
  <c r="AE133" i="8"/>
  <c r="AE161" i="8"/>
  <c r="AE187" i="8"/>
  <c r="AE213" i="8"/>
  <c r="AE234" i="8"/>
  <c r="AE260" i="8"/>
  <c r="AE286" i="8"/>
  <c r="AE307" i="8"/>
  <c r="AE333" i="8"/>
  <c r="AE359" i="8"/>
  <c r="AE385" i="8"/>
  <c r="AE406" i="8"/>
  <c r="AE432" i="8"/>
  <c r="AE456" i="8"/>
  <c r="AE476" i="8"/>
  <c r="AE500" i="8"/>
  <c r="AE14" i="8"/>
  <c r="AE42" i="8"/>
  <c r="AE61" i="8"/>
  <c r="AE89" i="8"/>
  <c r="AE115" i="8"/>
  <c r="AE141" i="8"/>
  <c r="AE162" i="8"/>
  <c r="AE188" i="8"/>
  <c r="AE214" i="8"/>
  <c r="AE235" i="8"/>
  <c r="AE261" i="8"/>
  <c r="AE287" i="8"/>
  <c r="AE313" i="8"/>
  <c r="AE334" i="8"/>
  <c r="AE360" i="8"/>
  <c r="AE386" i="8"/>
  <c r="AE407" i="8"/>
  <c r="AE433" i="8"/>
  <c r="AE457" i="8"/>
  <c r="AE477" i="8"/>
  <c r="AE501" i="8"/>
  <c r="AE17" i="8"/>
  <c r="AE43" i="8"/>
  <c r="AE69" i="8"/>
  <c r="AE90" i="8"/>
  <c r="AE116" i="8"/>
  <c r="AE142" i="8"/>
  <c r="AE163" i="8"/>
  <c r="AE189" i="8"/>
  <c r="AE215" i="8"/>
  <c r="AE241" i="8"/>
  <c r="AE262" i="8"/>
  <c r="AE288" i="8"/>
  <c r="AE314" i="8"/>
  <c r="AE335" i="8"/>
  <c r="AE361" i="8"/>
  <c r="AE389" i="8"/>
  <c r="AE415" i="8"/>
  <c r="AE434" i="8"/>
  <c r="AE458" i="8"/>
  <c r="AE478" i="8"/>
  <c r="AE18" i="8"/>
  <c r="AE44" i="8"/>
  <c r="AE70" i="8"/>
  <c r="AE91" i="8"/>
  <c r="AE117" i="8"/>
  <c r="AE143" i="8"/>
  <c r="AE169" i="8"/>
  <c r="AE190" i="8"/>
  <c r="AE216" i="8"/>
  <c r="AE242" i="8"/>
  <c r="AE263" i="8"/>
  <c r="AE289" i="8"/>
  <c r="AE317" i="8"/>
  <c r="AE343" i="8"/>
  <c r="AE362" i="8"/>
  <c r="AE390" i="8"/>
  <c r="AE416" i="8"/>
  <c r="AE437" i="8"/>
  <c r="AE461" i="8"/>
  <c r="AE479" i="8"/>
  <c r="AE19" i="8"/>
  <c r="AE45" i="8"/>
  <c r="AE71" i="8"/>
  <c r="AE97" i="8"/>
  <c r="AE118" i="8"/>
  <c r="AE144" i="8"/>
  <c r="AE170" i="8"/>
  <c r="AE191" i="8"/>
  <c r="AE217" i="8"/>
  <c r="AE245" i="8"/>
  <c r="AE271" i="8"/>
  <c r="AE290" i="8"/>
  <c r="AE318" i="8"/>
  <c r="AE344" i="8"/>
  <c r="AE365" i="8"/>
  <c r="AE391" i="8"/>
  <c r="AE417" i="8"/>
  <c r="AE442" i="8"/>
  <c r="AE462" i="8"/>
  <c r="AE486" i="8"/>
  <c r="AE25" i="8"/>
  <c r="AE46" i="8"/>
  <c r="AE72" i="8"/>
  <c r="AE98" i="8"/>
  <c r="AE119" i="8"/>
  <c r="AE145" i="8"/>
  <c r="AE173" i="8"/>
  <c r="AE199" i="8"/>
  <c r="AE218" i="8"/>
  <c r="AE246" i="8"/>
  <c r="AE272" i="8"/>
  <c r="AE293" i="8"/>
  <c r="AE319" i="8"/>
  <c r="AE345" i="8"/>
  <c r="AE371" i="8"/>
  <c r="AE392" i="8"/>
  <c r="AE418" i="8"/>
  <c r="AE443" i="8"/>
  <c r="AE463" i="8"/>
  <c r="AE487" i="8"/>
  <c r="AE26" i="8"/>
  <c r="AE47" i="8"/>
  <c r="AE73" i="8"/>
  <c r="AE101" i="8"/>
  <c r="AE127" i="8"/>
  <c r="AE146" i="8"/>
  <c r="AE174" i="8"/>
  <c r="AE200" i="8"/>
  <c r="AE221" i="8"/>
  <c r="AE247" i="8"/>
  <c r="AE273" i="8"/>
  <c r="AE299" i="8"/>
  <c r="AE320" i="8"/>
  <c r="AE346" i="8"/>
  <c r="AE372" i="8"/>
  <c r="AE393" i="8"/>
  <c r="AE419" i="8"/>
  <c r="AE444" i="8"/>
  <c r="AE464" i="8"/>
  <c r="AE488" i="8"/>
  <c r="AE29" i="8"/>
  <c r="AE55" i="8"/>
  <c r="AE74" i="8"/>
  <c r="AE102" i="8"/>
  <c r="AE128" i="8"/>
  <c r="AE149" i="8"/>
  <c r="AE175" i="8"/>
  <c r="AE201" i="8"/>
  <c r="AE227" i="8"/>
  <c r="AE248" i="8"/>
  <c r="AE274" i="8"/>
  <c r="AE300" i="8"/>
  <c r="AE321" i="8"/>
  <c r="AE347" i="8"/>
  <c r="AE373" i="8"/>
  <c r="AE401" i="8"/>
  <c r="AE420" i="8"/>
  <c r="AE445" i="8"/>
  <c r="AE465" i="8"/>
  <c r="AE489" i="8"/>
  <c r="AE30" i="8"/>
  <c r="AE56" i="8"/>
  <c r="AE77" i="8"/>
  <c r="AE103" i="8"/>
  <c r="AE129" i="8"/>
  <c r="AE155" i="8"/>
  <c r="AE176" i="8"/>
  <c r="AE202" i="8"/>
  <c r="AE228" i="8"/>
  <c r="AE249" i="8"/>
  <c r="AE275" i="8"/>
  <c r="AE301" i="8"/>
  <c r="AE329" i="8"/>
  <c r="AE348" i="8"/>
  <c r="AE374" i="8"/>
  <c r="AE402" i="8"/>
  <c r="AE421" i="8"/>
  <c r="AE446" i="8"/>
  <c r="AE470" i="8"/>
  <c r="AE490" i="8"/>
  <c r="AE31" i="8"/>
  <c r="AE57" i="8"/>
  <c r="AE83" i="8"/>
  <c r="AE104" i="8"/>
  <c r="AE130" i="8"/>
  <c r="AE156" i="8"/>
  <c r="AE177" i="8"/>
  <c r="AE203" i="8"/>
  <c r="AE229" i="8"/>
  <c r="AE257" i="8"/>
  <c r="AE276" i="8"/>
  <c r="AE302" i="8"/>
  <c r="AE330" i="8"/>
  <c r="AE349" i="8"/>
  <c r="AE377" i="8"/>
  <c r="AE403" i="8"/>
  <c r="AE429" i="8"/>
  <c r="AE449" i="8"/>
  <c r="AE473" i="8"/>
  <c r="AE491" i="8"/>
  <c r="AD3" i="8"/>
  <c r="AD4" i="8" s="1"/>
  <c r="AD5" i="8" s="1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D131" i="8" s="1"/>
  <c r="AD132" i="8" s="1"/>
  <c r="AD133" i="8" s="1"/>
  <c r="AD134" i="8" s="1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D145" i="8" s="1"/>
  <c r="AD146" i="8" s="1"/>
  <c r="AD147" i="8" s="1"/>
  <c r="AD148" i="8" s="1"/>
  <c r="AD149" i="8" s="1"/>
  <c r="AD150" i="8" s="1"/>
  <c r="AD151" i="8" s="1"/>
  <c r="AD152" i="8" s="1"/>
  <c r="AD153" i="8" s="1"/>
  <c r="AD154" i="8" s="1"/>
  <c r="AD155" i="8" s="1"/>
  <c r="AD156" i="8" s="1"/>
  <c r="AD157" i="8" s="1"/>
  <c r="AD158" i="8" s="1"/>
  <c r="AD159" i="8" s="1"/>
  <c r="AD160" i="8" s="1"/>
  <c r="AD161" i="8" s="1"/>
  <c r="AD162" i="8" s="1"/>
  <c r="AD163" i="8" s="1"/>
  <c r="AD164" i="8" s="1"/>
  <c r="AD165" i="8" s="1"/>
  <c r="AD166" i="8" s="1"/>
  <c r="AD167" i="8" s="1"/>
  <c r="AD168" i="8" s="1"/>
  <c r="AD169" i="8" s="1"/>
  <c r="AD170" i="8" s="1"/>
  <c r="AD171" i="8" s="1"/>
  <c r="AD172" i="8" s="1"/>
  <c r="AD173" i="8" s="1"/>
  <c r="AD174" i="8" s="1"/>
  <c r="AD175" i="8" s="1"/>
  <c r="AD176" i="8" s="1"/>
  <c r="AD177" i="8" s="1"/>
  <c r="AD178" i="8" s="1"/>
  <c r="AD179" i="8" s="1"/>
  <c r="AD180" i="8" s="1"/>
  <c r="AD181" i="8" s="1"/>
  <c r="AD182" i="8" s="1"/>
  <c r="AD183" i="8" s="1"/>
  <c r="AD184" i="8" s="1"/>
  <c r="AD185" i="8" s="1"/>
  <c r="AD186" i="8" s="1"/>
  <c r="AD187" i="8" s="1"/>
  <c r="AD188" i="8" s="1"/>
  <c r="AD189" i="8" s="1"/>
  <c r="AD190" i="8" s="1"/>
  <c r="AD191" i="8" s="1"/>
  <c r="AD192" i="8" s="1"/>
  <c r="AD193" i="8" s="1"/>
  <c r="AD194" i="8" s="1"/>
  <c r="AD195" i="8" s="1"/>
  <c r="AD196" i="8" s="1"/>
  <c r="AD197" i="8" s="1"/>
  <c r="AD198" i="8" s="1"/>
  <c r="AD199" i="8" s="1"/>
  <c r="AD200" i="8" s="1"/>
  <c r="AD201" i="8" s="1"/>
  <c r="AD202" i="8" s="1"/>
  <c r="AD203" i="8" s="1"/>
  <c r="AD204" i="8" s="1"/>
  <c r="AD205" i="8" s="1"/>
  <c r="AD206" i="8" s="1"/>
  <c r="AD207" i="8" s="1"/>
  <c r="AD208" i="8" s="1"/>
  <c r="AD209" i="8" s="1"/>
  <c r="AD210" i="8" s="1"/>
  <c r="AD211" i="8" s="1"/>
  <c r="AD212" i="8" s="1"/>
  <c r="AD213" i="8" s="1"/>
  <c r="AD214" i="8" s="1"/>
  <c r="AD215" i="8" s="1"/>
  <c r="AD216" i="8" s="1"/>
  <c r="AD217" i="8" s="1"/>
  <c r="AD218" i="8" s="1"/>
  <c r="AD219" i="8" s="1"/>
  <c r="AD220" i="8" s="1"/>
  <c r="AD221" i="8" s="1"/>
  <c r="AD222" i="8" s="1"/>
  <c r="AD223" i="8" s="1"/>
  <c r="AD224" i="8" s="1"/>
  <c r="AD225" i="8" s="1"/>
  <c r="AD226" i="8" s="1"/>
  <c r="AD227" i="8" s="1"/>
  <c r="AD228" i="8" s="1"/>
  <c r="AD229" i="8" s="1"/>
  <c r="AD230" i="8" s="1"/>
  <c r="AD231" i="8" s="1"/>
  <c r="AD232" i="8" s="1"/>
  <c r="AD233" i="8" s="1"/>
  <c r="AD234" i="8" s="1"/>
  <c r="AD235" i="8" s="1"/>
  <c r="AD236" i="8" s="1"/>
  <c r="AD237" i="8" s="1"/>
  <c r="AD238" i="8" s="1"/>
  <c r="AD239" i="8" s="1"/>
  <c r="AD240" i="8" s="1"/>
  <c r="AD241" i="8" s="1"/>
  <c r="AD242" i="8" s="1"/>
  <c r="AD243" i="8" s="1"/>
  <c r="AD244" i="8" s="1"/>
  <c r="AD245" i="8" s="1"/>
  <c r="AD246" i="8" s="1"/>
  <c r="AD247" i="8" s="1"/>
  <c r="AD248" i="8" s="1"/>
  <c r="AD249" i="8" s="1"/>
  <c r="AD250" i="8" s="1"/>
  <c r="AD251" i="8" s="1"/>
  <c r="AD252" i="8" s="1"/>
  <c r="AD253" i="8" s="1"/>
  <c r="AD254" i="8" s="1"/>
  <c r="AD255" i="8" s="1"/>
  <c r="AD256" i="8" s="1"/>
  <c r="AD257" i="8" s="1"/>
  <c r="AD258" i="8" s="1"/>
  <c r="AD259" i="8" s="1"/>
  <c r="AD260" i="8" s="1"/>
  <c r="AD261" i="8" s="1"/>
  <c r="AD262" i="8" s="1"/>
  <c r="AD263" i="8" s="1"/>
  <c r="AD264" i="8" s="1"/>
  <c r="AD265" i="8" s="1"/>
  <c r="AD266" i="8" s="1"/>
  <c r="AD267" i="8" s="1"/>
  <c r="AD268" i="8" s="1"/>
  <c r="AD269" i="8" s="1"/>
  <c r="AD270" i="8" s="1"/>
  <c r="AD271" i="8" s="1"/>
  <c r="AD272" i="8" s="1"/>
  <c r="AD273" i="8" s="1"/>
  <c r="AD274" i="8" s="1"/>
  <c r="AD275" i="8" s="1"/>
  <c r="AD276" i="8" s="1"/>
  <c r="AD277" i="8" s="1"/>
  <c r="AD278" i="8" s="1"/>
  <c r="AD279" i="8" s="1"/>
  <c r="AD280" i="8" s="1"/>
  <c r="AD281" i="8" s="1"/>
  <c r="AD282" i="8" s="1"/>
  <c r="AD283" i="8" s="1"/>
  <c r="AD284" i="8" s="1"/>
  <c r="AD285" i="8" s="1"/>
  <c r="AD286" i="8" s="1"/>
  <c r="AD287" i="8" s="1"/>
  <c r="AD288" i="8" s="1"/>
  <c r="AD289" i="8" s="1"/>
  <c r="AD290" i="8" s="1"/>
  <c r="AD291" i="8" s="1"/>
  <c r="AD292" i="8" s="1"/>
  <c r="AD293" i="8" s="1"/>
  <c r="AD294" i="8" s="1"/>
  <c r="AD295" i="8" s="1"/>
  <c r="AD296" i="8" s="1"/>
  <c r="AD297" i="8" s="1"/>
  <c r="AD298" i="8" s="1"/>
  <c r="AD299" i="8" s="1"/>
  <c r="AD300" i="8" s="1"/>
  <c r="AD301" i="8" s="1"/>
  <c r="AD302" i="8" s="1"/>
  <c r="AD303" i="8" s="1"/>
  <c r="AD304" i="8" s="1"/>
  <c r="AD305" i="8" s="1"/>
  <c r="AD306" i="8" s="1"/>
  <c r="AD307" i="8" s="1"/>
  <c r="AD308" i="8" s="1"/>
  <c r="AD309" i="8" s="1"/>
  <c r="AD310" i="8" s="1"/>
  <c r="AD311" i="8" s="1"/>
  <c r="AD312" i="8" s="1"/>
  <c r="AD313" i="8" s="1"/>
  <c r="AD314" i="8" s="1"/>
  <c r="AD315" i="8" s="1"/>
  <c r="AD316" i="8" s="1"/>
  <c r="AD317" i="8" s="1"/>
  <c r="AD318" i="8" s="1"/>
  <c r="AD319" i="8" s="1"/>
  <c r="AD320" i="8" s="1"/>
  <c r="AD321" i="8" s="1"/>
  <c r="AD322" i="8" s="1"/>
  <c r="AD323" i="8" s="1"/>
  <c r="AD324" i="8" s="1"/>
  <c r="AD325" i="8" s="1"/>
  <c r="AD326" i="8" s="1"/>
  <c r="AD327" i="8" s="1"/>
  <c r="AD328" i="8" s="1"/>
  <c r="AD329" i="8" s="1"/>
  <c r="AD330" i="8" s="1"/>
  <c r="AD331" i="8" s="1"/>
  <c r="AD332" i="8" s="1"/>
  <c r="AD333" i="8" s="1"/>
  <c r="AD334" i="8" s="1"/>
  <c r="AD335" i="8" s="1"/>
  <c r="AD336" i="8" s="1"/>
  <c r="AD337" i="8" s="1"/>
  <c r="AD338" i="8" s="1"/>
  <c r="AD339" i="8" s="1"/>
  <c r="AD340" i="8" s="1"/>
  <c r="AD341" i="8" s="1"/>
  <c r="AD342" i="8" s="1"/>
  <c r="AD343" i="8" s="1"/>
  <c r="AD344" i="8" s="1"/>
  <c r="AD345" i="8" s="1"/>
  <c r="AD346" i="8" s="1"/>
  <c r="AD347" i="8" s="1"/>
  <c r="AD348" i="8" s="1"/>
  <c r="AD349" i="8" s="1"/>
  <c r="AD350" i="8" s="1"/>
  <c r="AD351" i="8" s="1"/>
  <c r="AD352" i="8" s="1"/>
  <c r="AD353" i="8" s="1"/>
  <c r="AD354" i="8" s="1"/>
  <c r="AD355" i="8" s="1"/>
  <c r="AD356" i="8" s="1"/>
  <c r="AD357" i="8" s="1"/>
  <c r="AD358" i="8" s="1"/>
  <c r="AD359" i="8" s="1"/>
  <c r="AD360" i="8" s="1"/>
  <c r="AD361" i="8" s="1"/>
  <c r="AD362" i="8" s="1"/>
  <c r="AD363" i="8" s="1"/>
  <c r="AD364" i="8" s="1"/>
  <c r="AD365" i="8" s="1"/>
  <c r="AD366" i="8" s="1"/>
  <c r="AD367" i="8" s="1"/>
  <c r="AD368" i="8" s="1"/>
  <c r="AD369" i="8" s="1"/>
  <c r="AD370" i="8" s="1"/>
  <c r="AD371" i="8" s="1"/>
  <c r="AD372" i="8" s="1"/>
  <c r="AD373" i="8" s="1"/>
  <c r="AD374" i="8" s="1"/>
  <c r="AD375" i="8" s="1"/>
  <c r="AD376" i="8" s="1"/>
  <c r="AD377" i="8" s="1"/>
  <c r="AD378" i="8" s="1"/>
  <c r="AD379" i="8" s="1"/>
  <c r="AD380" i="8" s="1"/>
  <c r="AD381" i="8" s="1"/>
  <c r="AD382" i="8" s="1"/>
  <c r="AD383" i="8" s="1"/>
  <c r="AD384" i="8" s="1"/>
  <c r="AD385" i="8" s="1"/>
  <c r="AD386" i="8" s="1"/>
  <c r="AD387" i="8" s="1"/>
  <c r="AD388" i="8" s="1"/>
  <c r="AD389" i="8" s="1"/>
  <c r="AD390" i="8" s="1"/>
  <c r="AD391" i="8" s="1"/>
  <c r="AD392" i="8" s="1"/>
  <c r="AD393" i="8" s="1"/>
  <c r="AD394" i="8" s="1"/>
  <c r="AD395" i="8" s="1"/>
  <c r="AD396" i="8" s="1"/>
  <c r="AD397" i="8" s="1"/>
  <c r="AD398" i="8" s="1"/>
  <c r="AD399" i="8" s="1"/>
  <c r="AD400" i="8" s="1"/>
  <c r="AD401" i="8" s="1"/>
  <c r="AD402" i="8" s="1"/>
  <c r="AD403" i="8" s="1"/>
  <c r="AD404" i="8" s="1"/>
  <c r="AD405" i="8" s="1"/>
  <c r="AD406" i="8" s="1"/>
  <c r="AD407" i="8" s="1"/>
  <c r="AD408" i="8" s="1"/>
  <c r="AD409" i="8" s="1"/>
  <c r="AD410" i="8" s="1"/>
  <c r="AD411" i="8" s="1"/>
  <c r="AD412" i="8" s="1"/>
  <c r="AD413" i="8" s="1"/>
  <c r="AD414" i="8" s="1"/>
  <c r="AD415" i="8" s="1"/>
  <c r="AD416" i="8" s="1"/>
  <c r="AD417" i="8" s="1"/>
  <c r="AD418" i="8" s="1"/>
  <c r="AD419" i="8" s="1"/>
  <c r="AD420" i="8" s="1"/>
  <c r="AD421" i="8" s="1"/>
  <c r="AD422" i="8" s="1"/>
  <c r="AD423" i="8" s="1"/>
  <c r="AD424" i="8" s="1"/>
  <c r="AD425" i="8" s="1"/>
  <c r="AD426" i="8" s="1"/>
  <c r="AD427" i="8" s="1"/>
  <c r="AD428" i="8" s="1"/>
  <c r="AD429" i="8" s="1"/>
  <c r="AD430" i="8" s="1"/>
  <c r="AD431" i="8" s="1"/>
  <c r="AD432" i="8" s="1"/>
  <c r="AD433" i="8" s="1"/>
  <c r="AD434" i="8" s="1"/>
  <c r="AD435" i="8" s="1"/>
  <c r="AD436" i="8" s="1"/>
  <c r="AD437" i="8" s="1"/>
  <c r="AD438" i="8" s="1"/>
  <c r="AD439" i="8" s="1"/>
  <c r="AD440" i="8" s="1"/>
  <c r="AD441" i="8" s="1"/>
  <c r="AD442" i="8" s="1"/>
  <c r="AD443" i="8" s="1"/>
  <c r="AD444" i="8" s="1"/>
  <c r="AD445" i="8" s="1"/>
  <c r="AD446" i="8" s="1"/>
  <c r="AD447" i="8" s="1"/>
  <c r="AD448" i="8" s="1"/>
  <c r="AD449" i="8" s="1"/>
  <c r="AD450" i="8" s="1"/>
  <c r="AD451" i="8" s="1"/>
  <c r="AD452" i="8" s="1"/>
  <c r="AD453" i="8" s="1"/>
  <c r="AD454" i="8" s="1"/>
  <c r="AD455" i="8" s="1"/>
  <c r="AD456" i="8" s="1"/>
  <c r="AD457" i="8" s="1"/>
  <c r="AD458" i="8" s="1"/>
  <c r="AD459" i="8" s="1"/>
  <c r="AD460" i="8" s="1"/>
  <c r="AD461" i="8" s="1"/>
  <c r="AD462" i="8" s="1"/>
  <c r="AD463" i="8" s="1"/>
  <c r="AD464" i="8" s="1"/>
  <c r="AD465" i="8" s="1"/>
  <c r="AD466" i="8" s="1"/>
  <c r="AD467" i="8" s="1"/>
  <c r="AD468" i="8" s="1"/>
  <c r="AD469" i="8" s="1"/>
  <c r="AD470" i="8" s="1"/>
  <c r="AD471" i="8" s="1"/>
  <c r="AD472" i="8" s="1"/>
  <c r="AD473" i="8" s="1"/>
  <c r="AD474" i="8" s="1"/>
  <c r="AD475" i="8" s="1"/>
  <c r="AD476" i="8" s="1"/>
  <c r="AD477" i="8" s="1"/>
  <c r="AD478" i="8" s="1"/>
  <c r="AD479" i="8" s="1"/>
  <c r="AD480" i="8" s="1"/>
  <c r="AD481" i="8" s="1"/>
  <c r="AD482" i="8" s="1"/>
  <c r="AD483" i="8" s="1"/>
  <c r="AD484" i="8" s="1"/>
  <c r="AD485" i="8" s="1"/>
  <c r="AD486" i="8" s="1"/>
  <c r="AD487" i="8" s="1"/>
  <c r="AD488" i="8" s="1"/>
  <c r="AD489" i="8" s="1"/>
  <c r="AD490" i="8" s="1"/>
  <c r="AD491" i="8" s="1"/>
  <c r="AD492" i="8" s="1"/>
  <c r="AD493" i="8" s="1"/>
  <c r="AD494" i="8" s="1"/>
  <c r="AD495" i="8" s="1"/>
  <c r="AD496" i="8" s="1"/>
  <c r="AD497" i="8" s="1"/>
  <c r="AD498" i="8" s="1"/>
  <c r="AD499" i="8" s="1"/>
  <c r="AD500" i="8" s="1"/>
  <c r="AD501" i="8" s="1"/>
  <c r="W3" i="8"/>
  <c r="W4" i="8"/>
  <c r="W16" i="8"/>
  <c r="W28" i="8"/>
  <c r="W40" i="8"/>
  <c r="W52" i="8"/>
  <c r="W64" i="8"/>
  <c r="W76" i="8"/>
  <c r="W88" i="8"/>
  <c r="W100" i="8"/>
  <c r="W112" i="8"/>
  <c r="W124" i="8"/>
  <c r="W136" i="8"/>
  <c r="W148" i="8"/>
  <c r="W160" i="8"/>
  <c r="W172" i="8"/>
  <c r="W184" i="8"/>
  <c r="W196" i="8"/>
  <c r="W208" i="8"/>
  <c r="W220" i="8"/>
  <c r="W232" i="8"/>
  <c r="W244" i="8"/>
  <c r="W256" i="8"/>
  <c r="W268" i="8"/>
  <c r="W280" i="8"/>
  <c r="W292" i="8"/>
  <c r="W304" i="8"/>
  <c r="W316" i="8"/>
  <c r="W328" i="8"/>
  <c r="W340" i="8"/>
  <c r="W352" i="8"/>
  <c r="W364" i="8"/>
  <c r="W376" i="8"/>
  <c r="W388" i="8"/>
  <c r="W400" i="8"/>
  <c r="W412" i="8"/>
  <c r="W424" i="8"/>
  <c r="W436" i="8"/>
  <c r="W448" i="8"/>
  <c r="W460" i="8"/>
  <c r="W472" i="8"/>
  <c r="W484" i="8"/>
  <c r="W496" i="8"/>
  <c r="W6" i="8"/>
  <c r="W30" i="8"/>
  <c r="W42" i="8"/>
  <c r="W54" i="8"/>
  <c r="W66" i="8"/>
  <c r="W78" i="8"/>
  <c r="W90" i="8"/>
  <c r="W102" i="8"/>
  <c r="W114" i="8"/>
  <c r="W126" i="8"/>
  <c r="W138" i="8"/>
  <c r="W150" i="8"/>
  <c r="W162" i="8"/>
  <c r="W186" i="8"/>
  <c r="W198" i="8"/>
  <c r="W210" i="8"/>
  <c r="W222" i="8"/>
  <c r="W234" i="8"/>
  <c r="W258" i="8"/>
  <c r="W282" i="8"/>
  <c r="W306" i="8"/>
  <c r="W330" i="8"/>
  <c r="W354" i="8"/>
  <c r="W378" i="8"/>
  <c r="W402" i="8"/>
  <c r="W426" i="8"/>
  <c r="W438" i="8"/>
  <c r="W450" i="8"/>
  <c r="W474" i="8"/>
  <c r="W486" i="8"/>
  <c r="W7" i="8"/>
  <c r="W31" i="8"/>
  <c r="W43" i="8"/>
  <c r="W55" i="8"/>
  <c r="W79" i="8"/>
  <c r="W115" i="8"/>
  <c r="W139" i="8"/>
  <c r="W163" i="8"/>
  <c r="W175" i="8"/>
  <c r="W199" i="8"/>
  <c r="W211" i="8"/>
  <c r="W223" i="8"/>
  <c r="W247" i="8"/>
  <c r="W5" i="8"/>
  <c r="W17" i="8"/>
  <c r="W29" i="8"/>
  <c r="W41" i="8"/>
  <c r="W53" i="8"/>
  <c r="W65" i="8"/>
  <c r="W77" i="8"/>
  <c r="W89" i="8"/>
  <c r="W101" i="8"/>
  <c r="W113" i="8"/>
  <c r="W125" i="8"/>
  <c r="W137" i="8"/>
  <c r="W149" i="8"/>
  <c r="W161" i="8"/>
  <c r="W173" i="8"/>
  <c r="W185" i="8"/>
  <c r="W197" i="8"/>
  <c r="W209" i="8"/>
  <c r="W221" i="8"/>
  <c r="W233" i="8"/>
  <c r="W245" i="8"/>
  <c r="W257" i="8"/>
  <c r="W269" i="8"/>
  <c r="W281" i="8"/>
  <c r="W293" i="8"/>
  <c r="W305" i="8"/>
  <c r="W317" i="8"/>
  <c r="W329" i="8"/>
  <c r="W341" i="8"/>
  <c r="W353" i="8"/>
  <c r="W365" i="8"/>
  <c r="W377" i="8"/>
  <c r="W389" i="8"/>
  <c r="W401" i="8"/>
  <c r="W413" i="8"/>
  <c r="W425" i="8"/>
  <c r="W437" i="8"/>
  <c r="W449" i="8"/>
  <c r="W461" i="8"/>
  <c r="W473" i="8"/>
  <c r="W485" i="8"/>
  <c r="W497" i="8"/>
  <c r="W18" i="8"/>
  <c r="W174" i="8"/>
  <c r="W246" i="8"/>
  <c r="W270" i="8"/>
  <c r="W294" i="8"/>
  <c r="W318" i="8"/>
  <c r="W342" i="8"/>
  <c r="W366" i="8"/>
  <c r="W390" i="8"/>
  <c r="W414" i="8"/>
  <c r="W462" i="8"/>
  <c r="W498" i="8"/>
  <c r="W19" i="8"/>
  <c r="W67" i="8"/>
  <c r="W91" i="8"/>
  <c r="W103" i="8"/>
  <c r="W127" i="8"/>
  <c r="W151" i="8"/>
  <c r="W187" i="8"/>
  <c r="W235" i="8"/>
  <c r="W8" i="8"/>
  <c r="W24" i="8"/>
  <c r="W44" i="8"/>
  <c r="W60" i="8"/>
  <c r="W80" i="8"/>
  <c r="W96" i="8"/>
  <c r="W116" i="8"/>
  <c r="W132" i="8"/>
  <c r="W152" i="8"/>
  <c r="W168" i="8"/>
  <c r="W188" i="8"/>
  <c r="W204" i="8"/>
  <c r="W224" i="8"/>
  <c r="W240" i="8"/>
  <c r="W259" i="8"/>
  <c r="W274" i="8"/>
  <c r="W289" i="8"/>
  <c r="W307" i="8"/>
  <c r="W322" i="8"/>
  <c r="W337" i="8"/>
  <c r="W355" i="8"/>
  <c r="W370" i="8"/>
  <c r="W385" i="8"/>
  <c r="W403" i="8"/>
  <c r="W418" i="8"/>
  <c r="W433" i="8"/>
  <c r="W451" i="8"/>
  <c r="W466" i="8"/>
  <c r="W481" i="8"/>
  <c r="W499" i="8"/>
  <c r="W291" i="8"/>
  <c r="W324" i="8"/>
  <c r="W357" i="8"/>
  <c r="W372" i="8"/>
  <c r="W387" i="8"/>
  <c r="W420" i="8"/>
  <c r="W435" i="8"/>
  <c r="W453" i="8"/>
  <c r="W468" i="8"/>
  <c r="W483" i="8"/>
  <c r="W501" i="8"/>
  <c r="W11" i="8"/>
  <c r="W47" i="8"/>
  <c r="W63" i="8"/>
  <c r="W83" i="8"/>
  <c r="W99" i="8"/>
  <c r="W119" i="8"/>
  <c r="W171" i="8"/>
  <c r="W227" i="8"/>
  <c r="W277" i="8"/>
  <c r="W325" i="8"/>
  <c r="W358" i="8"/>
  <c r="W391" i="8"/>
  <c r="W406" i="8"/>
  <c r="W421" i="8"/>
  <c r="W454" i="8"/>
  <c r="W469" i="8"/>
  <c r="W487" i="8"/>
  <c r="W12" i="8"/>
  <c r="W48" i="8"/>
  <c r="W68" i="8"/>
  <c r="W84" i="8"/>
  <c r="W120" i="8"/>
  <c r="W156" i="8"/>
  <c r="W192" i="8"/>
  <c r="W228" i="8"/>
  <c r="W263" i="8"/>
  <c r="W296" i="8"/>
  <c r="W311" i="8"/>
  <c r="W344" i="8"/>
  <c r="W359" i="8"/>
  <c r="W374" i="8"/>
  <c r="W407" i="8"/>
  <c r="W422" i="8"/>
  <c r="W440" i="8"/>
  <c r="W455" i="8"/>
  <c r="W470" i="8"/>
  <c r="W13" i="8"/>
  <c r="W49" i="8"/>
  <c r="W69" i="8"/>
  <c r="W85" i="8"/>
  <c r="W105" i="8"/>
  <c r="W121" i="8"/>
  <c r="W141" i="8"/>
  <c r="W157" i="8"/>
  <c r="W177" i="8"/>
  <c r="W213" i="8"/>
  <c r="W249" i="8"/>
  <c r="W279" i="8"/>
  <c r="W312" i="8"/>
  <c r="W327" i="8"/>
  <c r="W360" i="8"/>
  <c r="W375" i="8"/>
  <c r="W408" i="8"/>
  <c r="W423" i="8"/>
  <c r="W441" i="8"/>
  <c r="W456" i="8"/>
  <c r="W471" i="8"/>
  <c r="W489" i="8"/>
  <c r="W14" i="8"/>
  <c r="W50" i="8"/>
  <c r="W70" i="8"/>
  <c r="W86" i="8"/>
  <c r="W106" i="8"/>
  <c r="W142" i="8"/>
  <c r="W158" i="8"/>
  <c r="W194" i="8"/>
  <c r="W214" i="8"/>
  <c r="W230" i="8"/>
  <c r="W265" i="8"/>
  <c r="W283" i="8"/>
  <c r="W313" i="8"/>
  <c r="W346" i="8"/>
  <c r="W379" i="8"/>
  <c r="W394" i="8"/>
  <c r="W427" i="8"/>
  <c r="W442" i="8"/>
  <c r="W9" i="8"/>
  <c r="W25" i="8"/>
  <c r="W45" i="8"/>
  <c r="W61" i="8"/>
  <c r="W81" i="8"/>
  <c r="W97" i="8"/>
  <c r="W117" i="8"/>
  <c r="W133" i="8"/>
  <c r="W153" i="8"/>
  <c r="W169" i="8"/>
  <c r="W189" i="8"/>
  <c r="W205" i="8"/>
  <c r="W225" i="8"/>
  <c r="W241" i="8"/>
  <c r="W260" i="8"/>
  <c r="W275" i="8"/>
  <c r="W290" i="8"/>
  <c r="W308" i="8"/>
  <c r="W323" i="8"/>
  <c r="W338" i="8"/>
  <c r="W356" i="8"/>
  <c r="W371" i="8"/>
  <c r="W386" i="8"/>
  <c r="W404" i="8"/>
  <c r="W419" i="8"/>
  <c r="W434" i="8"/>
  <c r="W452" i="8"/>
  <c r="W467" i="8"/>
  <c r="W482" i="8"/>
  <c r="W500" i="8"/>
  <c r="W10" i="8"/>
  <c r="W26" i="8"/>
  <c r="W46" i="8"/>
  <c r="W62" i="8"/>
  <c r="W82" i="8"/>
  <c r="W98" i="8"/>
  <c r="W118" i="8"/>
  <c r="W134" i="8"/>
  <c r="W154" i="8"/>
  <c r="W170" i="8"/>
  <c r="W190" i="8"/>
  <c r="W206" i="8"/>
  <c r="W226" i="8"/>
  <c r="W242" i="8"/>
  <c r="W261" i="8"/>
  <c r="W276" i="8"/>
  <c r="W309" i="8"/>
  <c r="W339" i="8"/>
  <c r="W405" i="8"/>
  <c r="W27" i="8"/>
  <c r="W135" i="8"/>
  <c r="W155" i="8"/>
  <c r="W191" i="8"/>
  <c r="W207" i="8"/>
  <c r="W243" i="8"/>
  <c r="W262" i="8"/>
  <c r="W295" i="8"/>
  <c r="W310" i="8"/>
  <c r="W343" i="8"/>
  <c r="W373" i="8"/>
  <c r="W439" i="8"/>
  <c r="W32" i="8"/>
  <c r="W104" i="8"/>
  <c r="W140" i="8"/>
  <c r="W176" i="8"/>
  <c r="W212" i="8"/>
  <c r="W248" i="8"/>
  <c r="W278" i="8"/>
  <c r="W326" i="8"/>
  <c r="W392" i="8"/>
  <c r="W488" i="8"/>
  <c r="W33" i="8"/>
  <c r="W193" i="8"/>
  <c r="W229" i="8"/>
  <c r="W264" i="8"/>
  <c r="W297" i="8"/>
  <c r="W345" i="8"/>
  <c r="W393" i="8"/>
  <c r="W34" i="8"/>
  <c r="W122" i="8"/>
  <c r="W178" i="8"/>
  <c r="W250" i="8"/>
  <c r="W298" i="8"/>
  <c r="W331" i="8"/>
  <c r="W361" i="8"/>
  <c r="W15" i="8"/>
  <c r="W57" i="8"/>
  <c r="W95" i="8"/>
  <c r="W144" i="8"/>
  <c r="W182" i="8"/>
  <c r="W231" i="8"/>
  <c r="W271" i="8"/>
  <c r="W303" i="8"/>
  <c r="W348" i="8"/>
  <c r="W383" i="8"/>
  <c r="W417" i="8"/>
  <c r="W458" i="8"/>
  <c r="W491" i="8"/>
  <c r="W395" i="8"/>
  <c r="W463" i="8"/>
  <c r="W71" i="8"/>
  <c r="W238" i="8"/>
  <c r="W319" i="8"/>
  <c r="W396" i="8"/>
  <c r="W430" i="8"/>
  <c r="W494" i="8"/>
  <c r="W72" i="8"/>
  <c r="W110" i="8"/>
  <c r="W201" i="8"/>
  <c r="W239" i="8"/>
  <c r="W320" i="8"/>
  <c r="W362" i="8"/>
  <c r="W431" i="8"/>
  <c r="W495" i="8"/>
  <c r="W73" i="8"/>
  <c r="W202" i="8"/>
  <c r="W251" i="8"/>
  <c r="W321" i="8"/>
  <c r="W398" i="8"/>
  <c r="W475" i="8"/>
  <c r="W74" i="8"/>
  <c r="W203" i="8"/>
  <c r="W252" i="8"/>
  <c r="W332" i="8"/>
  <c r="W399" i="8"/>
  <c r="W476" i="8"/>
  <c r="W37" i="8"/>
  <c r="W128" i="8"/>
  <c r="W166" i="8"/>
  <c r="W253" i="8"/>
  <c r="W333" i="8"/>
  <c r="W409" i="8"/>
  <c r="W477" i="8"/>
  <c r="W87" i="8"/>
  <c r="W216" i="8"/>
  <c r="W254" i="8"/>
  <c r="W334" i="8"/>
  <c r="W369" i="8"/>
  <c r="W410" i="8"/>
  <c r="W445" i="8"/>
  <c r="W39" i="8"/>
  <c r="W179" i="8"/>
  <c r="W217" i="8"/>
  <c r="W300" i="8"/>
  <c r="W380" i="8"/>
  <c r="W446" i="8"/>
  <c r="W479" i="8"/>
  <c r="W51" i="8"/>
  <c r="W131" i="8"/>
  <c r="W180" i="8"/>
  <c r="W266" i="8"/>
  <c r="W336" i="8"/>
  <c r="W381" i="8"/>
  <c r="W447" i="8"/>
  <c r="W480" i="8"/>
  <c r="W94" i="8"/>
  <c r="W143" i="8"/>
  <c r="W181" i="8"/>
  <c r="W267" i="8"/>
  <c r="W302" i="8"/>
  <c r="W382" i="8"/>
  <c r="W416" i="8"/>
  <c r="W457" i="8"/>
  <c r="W20" i="8"/>
  <c r="W58" i="8"/>
  <c r="W107" i="8"/>
  <c r="W145" i="8"/>
  <c r="W183" i="8"/>
  <c r="W236" i="8"/>
  <c r="W272" i="8"/>
  <c r="W314" i="8"/>
  <c r="W349" i="8"/>
  <c r="W384" i="8"/>
  <c r="W428" i="8"/>
  <c r="W459" i="8"/>
  <c r="W492" i="8"/>
  <c r="W21" i="8"/>
  <c r="W59" i="8"/>
  <c r="W108" i="8"/>
  <c r="W146" i="8"/>
  <c r="W195" i="8"/>
  <c r="W237" i="8"/>
  <c r="W273" i="8"/>
  <c r="W315" i="8"/>
  <c r="W350" i="8"/>
  <c r="W429" i="8"/>
  <c r="W493" i="8"/>
  <c r="W22" i="8"/>
  <c r="W109" i="8"/>
  <c r="W147" i="8"/>
  <c r="W200" i="8"/>
  <c r="W284" i="8"/>
  <c r="W351" i="8"/>
  <c r="W464" i="8"/>
  <c r="W23" i="8"/>
  <c r="W159" i="8"/>
  <c r="W285" i="8"/>
  <c r="W397" i="8"/>
  <c r="W465" i="8"/>
  <c r="W35" i="8"/>
  <c r="W111" i="8"/>
  <c r="W164" i="8"/>
  <c r="W286" i="8"/>
  <c r="W363" i="8"/>
  <c r="W432" i="8"/>
  <c r="W36" i="8"/>
  <c r="W123" i="8"/>
  <c r="W165" i="8"/>
  <c r="W287" i="8"/>
  <c r="W367" i="8"/>
  <c r="W443" i="8"/>
  <c r="W75" i="8"/>
  <c r="W215" i="8"/>
  <c r="W288" i="8"/>
  <c r="W368" i="8"/>
  <c r="W444" i="8"/>
  <c r="W38" i="8"/>
  <c r="W129" i="8"/>
  <c r="W167" i="8"/>
  <c r="W299" i="8"/>
  <c r="W478" i="8"/>
  <c r="W92" i="8"/>
  <c r="W130" i="8"/>
  <c r="W255" i="8"/>
  <c r="W335" i="8"/>
  <c r="W411" i="8"/>
  <c r="W93" i="8"/>
  <c r="W218" i="8"/>
  <c r="W301" i="8"/>
  <c r="W415" i="8"/>
  <c r="W56" i="8"/>
  <c r="W219" i="8"/>
  <c r="W347" i="8"/>
  <c r="W490" i="8"/>
  <c r="S27" i="8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S258" i="8" s="1"/>
  <c r="S259" i="8" s="1"/>
  <c r="S260" i="8" s="1"/>
  <c r="S261" i="8" s="1"/>
  <c r="S262" i="8" s="1"/>
  <c r="S263" i="8" s="1"/>
  <c r="S264" i="8" s="1"/>
  <c r="S265" i="8" s="1"/>
  <c r="S266" i="8" s="1"/>
  <c r="S267" i="8" s="1"/>
  <c r="S268" i="8" s="1"/>
  <c r="S269" i="8" s="1"/>
  <c r="S270" i="8" s="1"/>
  <c r="S271" i="8" s="1"/>
  <c r="S272" i="8" s="1"/>
  <c r="S273" i="8" s="1"/>
  <c r="S274" i="8" s="1"/>
  <c r="S275" i="8" s="1"/>
  <c r="S276" i="8" s="1"/>
  <c r="S277" i="8" s="1"/>
  <c r="S278" i="8" s="1"/>
  <c r="S279" i="8" s="1"/>
  <c r="S280" i="8" s="1"/>
  <c r="S281" i="8" s="1"/>
  <c r="S282" i="8" s="1"/>
  <c r="S283" i="8" s="1"/>
  <c r="S284" i="8" s="1"/>
  <c r="S285" i="8" s="1"/>
  <c r="S286" i="8" s="1"/>
  <c r="S287" i="8" s="1"/>
  <c r="S288" i="8" s="1"/>
  <c r="S289" i="8" s="1"/>
  <c r="S290" i="8" s="1"/>
  <c r="S291" i="8" s="1"/>
  <c r="S292" i="8" s="1"/>
  <c r="S293" i="8" s="1"/>
  <c r="S294" i="8" s="1"/>
  <c r="S295" i="8" s="1"/>
  <c r="S296" i="8" s="1"/>
  <c r="S297" i="8" s="1"/>
  <c r="S298" i="8" s="1"/>
  <c r="S299" i="8" s="1"/>
  <c r="S300" i="8" s="1"/>
  <c r="S301" i="8" s="1"/>
  <c r="S302" i="8" s="1"/>
  <c r="S303" i="8" s="1"/>
  <c r="S304" i="8" s="1"/>
  <c r="S305" i="8" s="1"/>
  <c r="S306" i="8" s="1"/>
  <c r="S307" i="8" s="1"/>
  <c r="S308" i="8" s="1"/>
  <c r="S309" i="8" s="1"/>
  <c r="S310" i="8" s="1"/>
  <c r="S311" i="8" s="1"/>
  <c r="S312" i="8" s="1"/>
  <c r="S313" i="8" s="1"/>
  <c r="S314" i="8" s="1"/>
  <c r="S315" i="8" s="1"/>
  <c r="S316" i="8" s="1"/>
  <c r="S317" i="8" s="1"/>
  <c r="S318" i="8" s="1"/>
  <c r="S319" i="8" s="1"/>
  <c r="S320" i="8" s="1"/>
  <c r="S321" i="8" s="1"/>
  <c r="S322" i="8" s="1"/>
  <c r="S323" i="8" s="1"/>
  <c r="S324" i="8" s="1"/>
  <c r="S325" i="8" s="1"/>
  <c r="S326" i="8" s="1"/>
  <c r="S327" i="8" s="1"/>
  <c r="S328" i="8" s="1"/>
  <c r="S329" i="8" s="1"/>
  <c r="S330" i="8" s="1"/>
  <c r="S331" i="8" s="1"/>
  <c r="S332" i="8" s="1"/>
  <c r="S333" i="8" s="1"/>
  <c r="S334" i="8" s="1"/>
  <c r="S335" i="8" s="1"/>
  <c r="S336" i="8" s="1"/>
  <c r="S337" i="8" s="1"/>
  <c r="S338" i="8" s="1"/>
  <c r="S339" i="8" s="1"/>
  <c r="S340" i="8" s="1"/>
  <c r="S341" i="8" s="1"/>
  <c r="S342" i="8" s="1"/>
  <c r="S343" i="8" s="1"/>
  <c r="S344" i="8" s="1"/>
  <c r="S345" i="8" s="1"/>
  <c r="S346" i="8" s="1"/>
  <c r="S347" i="8" s="1"/>
  <c r="S348" i="8" s="1"/>
  <c r="S349" i="8" s="1"/>
  <c r="S350" i="8" s="1"/>
  <c r="S351" i="8" s="1"/>
  <c r="S352" i="8" s="1"/>
  <c r="S353" i="8" s="1"/>
  <c r="S354" i="8" s="1"/>
  <c r="S355" i="8" s="1"/>
  <c r="S356" i="8" s="1"/>
  <c r="S357" i="8" s="1"/>
  <c r="S358" i="8" s="1"/>
  <c r="S359" i="8" s="1"/>
  <c r="S360" i="8" s="1"/>
  <c r="S361" i="8" s="1"/>
  <c r="S362" i="8" s="1"/>
  <c r="S363" i="8" s="1"/>
  <c r="S364" i="8" s="1"/>
  <c r="S365" i="8" s="1"/>
  <c r="S366" i="8" s="1"/>
  <c r="S367" i="8" s="1"/>
  <c r="S368" i="8" s="1"/>
  <c r="S369" i="8" s="1"/>
  <c r="S370" i="8" s="1"/>
  <c r="S371" i="8" s="1"/>
  <c r="S372" i="8" s="1"/>
  <c r="S373" i="8" s="1"/>
  <c r="S374" i="8" s="1"/>
  <c r="S375" i="8" s="1"/>
  <c r="S376" i="8" s="1"/>
  <c r="S377" i="8" s="1"/>
  <c r="S378" i="8" s="1"/>
  <c r="S379" i="8" s="1"/>
  <c r="S380" i="8" s="1"/>
  <c r="S381" i="8" s="1"/>
  <c r="S382" i="8" s="1"/>
  <c r="S383" i="8" s="1"/>
  <c r="S384" i="8" s="1"/>
  <c r="S385" i="8" s="1"/>
  <c r="S386" i="8" s="1"/>
  <c r="S387" i="8" s="1"/>
  <c r="S388" i="8" s="1"/>
  <c r="S389" i="8" s="1"/>
  <c r="S390" i="8" s="1"/>
  <c r="S391" i="8" s="1"/>
  <c r="S392" i="8" s="1"/>
  <c r="S393" i="8" s="1"/>
  <c r="S394" i="8" s="1"/>
  <c r="S395" i="8" s="1"/>
  <c r="S396" i="8" s="1"/>
  <c r="S397" i="8" s="1"/>
  <c r="S398" i="8" s="1"/>
  <c r="S399" i="8" s="1"/>
  <c r="S400" i="8" s="1"/>
  <c r="S401" i="8" s="1"/>
  <c r="S402" i="8" s="1"/>
  <c r="S403" i="8" s="1"/>
  <c r="S404" i="8" s="1"/>
  <c r="S405" i="8" s="1"/>
  <c r="S406" i="8" s="1"/>
  <c r="S407" i="8" s="1"/>
  <c r="S408" i="8" s="1"/>
  <c r="S409" i="8" s="1"/>
  <c r="S410" i="8" s="1"/>
  <c r="S411" i="8" s="1"/>
  <c r="S412" i="8" s="1"/>
  <c r="S413" i="8" s="1"/>
  <c r="S414" i="8" s="1"/>
  <c r="S415" i="8" s="1"/>
  <c r="S416" i="8" s="1"/>
  <c r="S417" i="8" s="1"/>
  <c r="S418" i="8" s="1"/>
  <c r="S419" i="8" s="1"/>
  <c r="S420" i="8" s="1"/>
  <c r="S421" i="8" s="1"/>
  <c r="S422" i="8" s="1"/>
  <c r="S423" i="8" s="1"/>
  <c r="S424" i="8" s="1"/>
  <c r="S425" i="8" s="1"/>
  <c r="S426" i="8" s="1"/>
  <c r="S427" i="8" s="1"/>
  <c r="S428" i="8" s="1"/>
  <c r="S429" i="8" s="1"/>
  <c r="S430" i="8" s="1"/>
  <c r="S431" i="8" s="1"/>
  <c r="S432" i="8" s="1"/>
  <c r="S433" i="8" s="1"/>
  <c r="S434" i="8" s="1"/>
  <c r="S435" i="8" s="1"/>
  <c r="S436" i="8" s="1"/>
  <c r="S437" i="8" s="1"/>
  <c r="S438" i="8" s="1"/>
  <c r="S439" i="8" s="1"/>
  <c r="S440" i="8" s="1"/>
  <c r="S441" i="8" s="1"/>
  <c r="S442" i="8" s="1"/>
  <c r="S443" i="8" s="1"/>
  <c r="S444" i="8" s="1"/>
  <c r="S445" i="8" s="1"/>
  <c r="S446" i="8" s="1"/>
  <c r="S447" i="8" s="1"/>
  <c r="S448" i="8" s="1"/>
  <c r="S449" i="8" s="1"/>
  <c r="S450" i="8" s="1"/>
  <c r="S451" i="8" s="1"/>
  <c r="S452" i="8" s="1"/>
  <c r="S453" i="8" s="1"/>
  <c r="S454" i="8" s="1"/>
  <c r="S455" i="8" s="1"/>
  <c r="S456" i="8" s="1"/>
  <c r="S457" i="8" s="1"/>
  <c r="S458" i="8" s="1"/>
  <c r="S459" i="8" s="1"/>
  <c r="S460" i="8" s="1"/>
  <c r="S461" i="8" s="1"/>
  <c r="S462" i="8" s="1"/>
  <c r="S463" i="8" s="1"/>
  <c r="S464" i="8" s="1"/>
  <c r="S465" i="8" s="1"/>
  <c r="S466" i="8" s="1"/>
  <c r="S467" i="8" s="1"/>
  <c r="S468" i="8" s="1"/>
  <c r="S469" i="8" s="1"/>
  <c r="S470" i="8" s="1"/>
  <c r="S471" i="8" s="1"/>
  <c r="S472" i="8" s="1"/>
  <c r="S473" i="8" s="1"/>
  <c r="S474" i="8" s="1"/>
  <c r="S475" i="8" s="1"/>
  <c r="S476" i="8" s="1"/>
  <c r="S477" i="8" s="1"/>
  <c r="S478" i="8" s="1"/>
  <c r="S479" i="8" s="1"/>
  <c r="S480" i="8" s="1"/>
  <c r="S481" i="8" s="1"/>
  <c r="S482" i="8" s="1"/>
  <c r="S483" i="8" s="1"/>
  <c r="S484" i="8" s="1"/>
  <c r="S485" i="8" s="1"/>
  <c r="S486" i="8" s="1"/>
  <c r="S487" i="8" s="1"/>
  <c r="S488" i="8" s="1"/>
  <c r="S489" i="8" s="1"/>
  <c r="S490" i="8" s="1"/>
  <c r="S491" i="8" s="1"/>
  <c r="S492" i="8" s="1"/>
  <c r="S493" i="8" s="1"/>
  <c r="S494" i="8" s="1"/>
  <c r="S495" i="8" s="1"/>
  <c r="S496" i="8" s="1"/>
  <c r="S497" i="8" s="1"/>
  <c r="S498" i="8" s="1"/>
  <c r="S499" i="8" s="1"/>
  <c r="S500" i="8" s="1"/>
  <c r="S501" i="8" s="1"/>
  <c r="Q22" i="8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0" i="8" s="1"/>
  <c r="Q141" i="8" s="1"/>
  <c r="Q142" i="8" s="1"/>
  <c r="Q143" i="8" s="1"/>
  <c r="Q144" i="8" s="1"/>
  <c r="Q145" i="8" s="1"/>
  <c r="Q146" i="8" s="1"/>
  <c r="Q147" i="8" s="1"/>
  <c r="Q148" i="8" s="1"/>
  <c r="Q149" i="8" s="1"/>
  <c r="Q150" i="8" s="1"/>
  <c r="Q151" i="8" s="1"/>
  <c r="Q152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6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Q311" i="8" s="1"/>
  <c r="Q312" i="8" s="1"/>
  <c r="Q313" i="8" s="1"/>
  <c r="Q314" i="8" s="1"/>
  <c r="Q315" i="8" s="1"/>
  <c r="Q316" i="8" s="1"/>
  <c r="Q317" i="8" s="1"/>
  <c r="Q318" i="8" s="1"/>
  <c r="Q319" i="8" s="1"/>
  <c r="Q320" i="8" s="1"/>
  <c r="Q321" i="8" s="1"/>
  <c r="Q322" i="8" s="1"/>
  <c r="Q323" i="8" s="1"/>
  <c r="Q324" i="8" s="1"/>
  <c r="Q325" i="8" s="1"/>
  <c r="Q326" i="8" s="1"/>
  <c r="Q327" i="8" s="1"/>
  <c r="Q328" i="8" s="1"/>
  <c r="Q329" i="8" s="1"/>
  <c r="Q330" i="8" s="1"/>
  <c r="Q331" i="8" s="1"/>
  <c r="Q332" i="8" s="1"/>
  <c r="Q333" i="8" s="1"/>
  <c r="Q334" i="8" s="1"/>
  <c r="Q335" i="8" s="1"/>
  <c r="Q336" i="8" s="1"/>
  <c r="Q337" i="8" s="1"/>
  <c r="Q338" i="8" s="1"/>
  <c r="Q339" i="8" s="1"/>
  <c r="Q340" i="8" s="1"/>
  <c r="Q341" i="8" s="1"/>
  <c r="Q342" i="8" s="1"/>
  <c r="Q343" i="8" s="1"/>
  <c r="Q344" i="8" s="1"/>
  <c r="Q345" i="8" s="1"/>
  <c r="Q346" i="8" s="1"/>
  <c r="Q347" i="8" s="1"/>
  <c r="Q348" i="8" s="1"/>
  <c r="Q349" i="8" s="1"/>
  <c r="Q350" i="8" s="1"/>
  <c r="Q351" i="8" s="1"/>
  <c r="Q352" i="8" s="1"/>
  <c r="Q353" i="8" s="1"/>
  <c r="Q354" i="8" s="1"/>
  <c r="Q355" i="8" s="1"/>
  <c r="Q356" i="8" s="1"/>
  <c r="Q357" i="8" s="1"/>
  <c r="Q358" i="8" s="1"/>
  <c r="Q359" i="8" s="1"/>
  <c r="Q360" i="8" s="1"/>
  <c r="Q361" i="8" s="1"/>
  <c r="Q362" i="8" s="1"/>
  <c r="Q363" i="8" s="1"/>
  <c r="Q364" i="8" s="1"/>
  <c r="Q365" i="8" s="1"/>
  <c r="Q366" i="8" s="1"/>
  <c r="Q367" i="8" s="1"/>
  <c r="Q368" i="8" s="1"/>
  <c r="Q369" i="8" s="1"/>
  <c r="Q370" i="8" s="1"/>
  <c r="Q371" i="8" s="1"/>
  <c r="Q372" i="8" s="1"/>
  <c r="Q373" i="8" s="1"/>
  <c r="Q374" i="8" s="1"/>
  <c r="Q375" i="8" s="1"/>
  <c r="Q376" i="8" s="1"/>
  <c r="Q377" i="8" s="1"/>
  <c r="Q378" i="8" s="1"/>
  <c r="Q379" i="8" s="1"/>
  <c r="Q380" i="8" s="1"/>
  <c r="Q381" i="8" s="1"/>
  <c r="Q382" i="8" s="1"/>
  <c r="Q383" i="8" s="1"/>
  <c r="Q384" i="8" s="1"/>
  <c r="Q385" i="8" s="1"/>
  <c r="Q386" i="8" s="1"/>
  <c r="Q387" i="8" s="1"/>
  <c r="Q388" i="8" s="1"/>
  <c r="Q389" i="8" s="1"/>
  <c r="Q390" i="8" s="1"/>
  <c r="Q391" i="8" s="1"/>
  <c r="Q392" i="8" s="1"/>
  <c r="Q393" i="8" s="1"/>
  <c r="Q394" i="8" s="1"/>
  <c r="Q395" i="8" s="1"/>
  <c r="Q396" i="8" s="1"/>
  <c r="Q397" i="8" s="1"/>
  <c r="Q398" i="8" s="1"/>
  <c r="Q399" i="8" s="1"/>
  <c r="Q400" i="8" s="1"/>
  <c r="Q401" i="8" s="1"/>
  <c r="Q402" i="8" s="1"/>
  <c r="Q403" i="8" s="1"/>
  <c r="Q404" i="8" s="1"/>
  <c r="Q405" i="8" s="1"/>
  <c r="Q406" i="8" s="1"/>
  <c r="Q407" i="8" s="1"/>
  <c r="Q408" i="8" s="1"/>
  <c r="Q409" i="8" s="1"/>
  <c r="Q410" i="8" s="1"/>
  <c r="Q411" i="8" s="1"/>
  <c r="Q412" i="8" s="1"/>
  <c r="Q413" i="8" s="1"/>
  <c r="Q414" i="8" s="1"/>
  <c r="Q415" i="8" s="1"/>
  <c r="Q416" i="8" s="1"/>
  <c r="Q417" i="8" s="1"/>
  <c r="Q418" i="8" s="1"/>
  <c r="Q419" i="8" s="1"/>
  <c r="Q420" i="8" s="1"/>
  <c r="Q421" i="8" s="1"/>
  <c r="Q422" i="8" s="1"/>
  <c r="Q423" i="8" s="1"/>
  <c r="Q424" i="8" s="1"/>
  <c r="Q425" i="8" s="1"/>
  <c r="Q426" i="8" s="1"/>
  <c r="Q427" i="8" s="1"/>
  <c r="Q428" i="8" s="1"/>
  <c r="Q429" i="8" s="1"/>
  <c r="Q430" i="8" s="1"/>
  <c r="Q431" i="8" s="1"/>
  <c r="Q432" i="8" s="1"/>
  <c r="Q433" i="8" s="1"/>
  <c r="Q434" i="8" s="1"/>
  <c r="Q435" i="8" s="1"/>
  <c r="Q436" i="8" s="1"/>
  <c r="Q437" i="8" s="1"/>
  <c r="Q438" i="8" s="1"/>
  <c r="Q439" i="8" s="1"/>
  <c r="Q440" i="8" s="1"/>
  <c r="Q441" i="8" s="1"/>
  <c r="Q442" i="8" s="1"/>
  <c r="Q443" i="8" s="1"/>
  <c r="Q444" i="8" s="1"/>
  <c r="Q445" i="8" s="1"/>
  <c r="Q446" i="8" s="1"/>
  <c r="Q447" i="8" s="1"/>
  <c r="Q448" i="8" s="1"/>
  <c r="Q449" i="8" s="1"/>
  <c r="Q450" i="8" s="1"/>
  <c r="Q451" i="8" s="1"/>
  <c r="Q452" i="8" s="1"/>
  <c r="Q453" i="8" s="1"/>
  <c r="Q454" i="8" s="1"/>
  <c r="Q455" i="8" s="1"/>
  <c r="Q456" i="8" s="1"/>
  <c r="Q457" i="8" s="1"/>
  <c r="Q458" i="8" s="1"/>
  <c r="Q459" i="8" s="1"/>
  <c r="Q460" i="8" s="1"/>
  <c r="Q461" i="8" s="1"/>
  <c r="Q462" i="8" s="1"/>
  <c r="Q463" i="8" s="1"/>
  <c r="Q464" i="8" s="1"/>
  <c r="Q465" i="8" s="1"/>
  <c r="Q466" i="8" s="1"/>
  <c r="Q467" i="8" s="1"/>
  <c r="Q468" i="8" s="1"/>
  <c r="Q469" i="8" s="1"/>
  <c r="Q470" i="8" s="1"/>
  <c r="Q471" i="8" s="1"/>
  <c r="Q472" i="8" s="1"/>
  <c r="Q473" i="8" s="1"/>
  <c r="Q474" i="8" s="1"/>
  <c r="Q475" i="8" s="1"/>
  <c r="Q476" i="8" s="1"/>
  <c r="Q477" i="8" s="1"/>
  <c r="Q478" i="8" s="1"/>
  <c r="Q479" i="8" s="1"/>
  <c r="Q480" i="8" s="1"/>
  <c r="Q481" i="8" s="1"/>
  <c r="Q482" i="8" s="1"/>
  <c r="Q483" i="8" s="1"/>
  <c r="Q484" i="8" s="1"/>
  <c r="Q485" i="8" s="1"/>
  <c r="Q486" i="8" s="1"/>
  <c r="Q487" i="8" s="1"/>
  <c r="Q488" i="8" s="1"/>
  <c r="Q489" i="8" s="1"/>
  <c r="Q490" i="8" s="1"/>
  <c r="Q491" i="8" s="1"/>
  <c r="Q492" i="8" s="1"/>
  <c r="Q493" i="8" s="1"/>
  <c r="Q494" i="8" s="1"/>
  <c r="Q495" i="8" s="1"/>
  <c r="Q496" i="8" s="1"/>
  <c r="Q497" i="8" s="1"/>
  <c r="Q498" i="8" s="1"/>
  <c r="Q499" i="8" s="1"/>
  <c r="Q500" i="8" s="1"/>
  <c r="Q501" i="8" s="1"/>
  <c r="R13" i="8"/>
  <c r="P10" i="8"/>
  <c r="M3" i="8"/>
  <c r="M4" i="8"/>
  <c r="M8" i="8"/>
  <c r="M20" i="8"/>
  <c r="M32" i="8"/>
  <c r="M44" i="8"/>
  <c r="M56" i="8"/>
  <c r="M68" i="8"/>
  <c r="M80" i="8"/>
  <c r="M92" i="8"/>
  <c r="M104" i="8"/>
  <c r="M116" i="8"/>
  <c r="M128" i="8"/>
  <c r="M140" i="8"/>
  <c r="M152" i="8"/>
  <c r="M164" i="8"/>
  <c r="M176" i="8"/>
  <c r="M188" i="8"/>
  <c r="M200" i="8"/>
  <c r="M212" i="8"/>
  <c r="M224" i="8"/>
  <c r="M236" i="8"/>
  <c r="M248" i="8"/>
  <c r="M260" i="8"/>
  <c r="M272" i="8"/>
  <c r="M284" i="8"/>
  <c r="M296" i="8"/>
  <c r="M308" i="8"/>
  <c r="M320" i="8"/>
  <c r="M332" i="8"/>
  <c r="M344" i="8"/>
  <c r="M356" i="8"/>
  <c r="M368" i="8"/>
  <c r="M380" i="8"/>
  <c r="M392" i="8"/>
  <c r="M404" i="8"/>
  <c r="M416" i="8"/>
  <c r="M428" i="8"/>
  <c r="M440" i="8"/>
  <c r="M452" i="8"/>
  <c r="M464" i="8"/>
  <c r="M476" i="8"/>
  <c r="M488" i="8"/>
  <c r="M500" i="8"/>
  <c r="M9" i="8"/>
  <c r="M21" i="8"/>
  <c r="M33" i="8"/>
  <c r="M45" i="8"/>
  <c r="M57" i="8"/>
  <c r="M69" i="8"/>
  <c r="M81" i="8"/>
  <c r="M93" i="8"/>
  <c r="M105" i="8"/>
  <c r="M117" i="8"/>
  <c r="M129" i="8"/>
  <c r="M141" i="8"/>
  <c r="M153" i="8"/>
  <c r="M165" i="8"/>
  <c r="M177" i="8"/>
  <c r="M189" i="8"/>
  <c r="M201" i="8"/>
  <c r="M213" i="8"/>
  <c r="M225" i="8"/>
  <c r="M237" i="8"/>
  <c r="M249" i="8"/>
  <c r="M261" i="8"/>
  <c r="M273" i="8"/>
  <c r="M285" i="8"/>
  <c r="M297" i="8"/>
  <c r="M309" i="8"/>
  <c r="M321" i="8"/>
  <c r="M333" i="8"/>
  <c r="M345" i="8"/>
  <c r="M357" i="8"/>
  <c r="M369" i="8"/>
  <c r="M381" i="8"/>
  <c r="M393" i="8"/>
  <c r="M405" i="8"/>
  <c r="M417" i="8"/>
  <c r="M429" i="8"/>
  <c r="M441" i="8"/>
  <c r="M453" i="8"/>
  <c r="M465" i="8"/>
  <c r="M477" i="8"/>
  <c r="M489" i="8"/>
  <c r="M501" i="8"/>
  <c r="M10" i="8"/>
  <c r="M5" i="8"/>
  <c r="M22" i="8"/>
  <c r="M36" i="8"/>
  <c r="M50" i="8"/>
  <c r="M64" i="8"/>
  <c r="M78" i="8"/>
  <c r="M94" i="8"/>
  <c r="M108" i="8"/>
  <c r="M122" i="8"/>
  <c r="M136" i="8"/>
  <c r="M150" i="8"/>
  <c r="M166" i="8"/>
  <c r="M180" i="8"/>
  <c r="M194" i="8"/>
  <c r="M208" i="8"/>
  <c r="M222" i="8"/>
  <c r="M238" i="8"/>
  <c r="M252" i="8"/>
  <c r="M266" i="8"/>
  <c r="M280" i="8"/>
  <c r="M294" i="8"/>
  <c r="M310" i="8"/>
  <c r="M324" i="8"/>
  <c r="M338" i="8"/>
  <c r="M352" i="8"/>
  <c r="M366" i="8"/>
  <c r="M382" i="8"/>
  <c r="M396" i="8"/>
  <c r="M410" i="8"/>
  <c r="M424" i="8"/>
  <c r="M438" i="8"/>
  <c r="M454" i="8"/>
  <c r="M468" i="8"/>
  <c r="M482" i="8"/>
  <c r="M496" i="8"/>
  <c r="M23" i="8"/>
  <c r="M37" i="8"/>
  <c r="M51" i="8"/>
  <c r="M65" i="8"/>
  <c r="M79" i="8"/>
  <c r="M95" i="8"/>
  <c r="M109" i="8"/>
  <c r="M123" i="8"/>
  <c r="M137" i="8"/>
  <c r="M151" i="8"/>
  <c r="M167" i="8"/>
  <c r="M181" i="8"/>
  <c r="M195" i="8"/>
  <c r="M209" i="8"/>
  <c r="M223" i="8"/>
  <c r="M239" i="8"/>
  <c r="M253" i="8"/>
  <c r="M267" i="8"/>
  <c r="M281" i="8"/>
  <c r="M295" i="8"/>
  <c r="M325" i="8"/>
  <c r="M339" i="8"/>
  <c r="M353" i="8"/>
  <c r="M367" i="8"/>
  <c r="M383" i="8"/>
  <c r="M397" i="8"/>
  <c r="M411" i="8"/>
  <c r="M425" i="8"/>
  <c r="M439" i="8"/>
  <c r="M455" i="8"/>
  <c r="M469" i="8"/>
  <c r="M483" i="8"/>
  <c r="M497" i="8"/>
  <c r="M7" i="8"/>
  <c r="M38" i="8"/>
  <c r="M52" i="8"/>
  <c r="M66" i="8"/>
  <c r="M82" i="8"/>
  <c r="M96" i="8"/>
  <c r="M110" i="8"/>
  <c r="M124" i="8"/>
  <c r="M138" i="8"/>
  <c r="M154" i="8"/>
  <c r="M168" i="8"/>
  <c r="M182" i="8"/>
  <c r="M196" i="8"/>
  <c r="M210" i="8"/>
  <c r="M226" i="8"/>
  <c r="M240" i="8"/>
  <c r="M254" i="8"/>
  <c r="M6" i="8"/>
  <c r="M311" i="8"/>
  <c r="M11" i="8"/>
  <c r="M27" i="8"/>
  <c r="M46" i="8"/>
  <c r="M63" i="8"/>
  <c r="M85" i="8"/>
  <c r="M102" i="8"/>
  <c r="M121" i="8"/>
  <c r="M143" i="8"/>
  <c r="M160" i="8"/>
  <c r="M179" i="8"/>
  <c r="M199" i="8"/>
  <c r="M218" i="8"/>
  <c r="M235" i="8"/>
  <c r="M257" i="8"/>
  <c r="M275" i="8"/>
  <c r="M291" i="8"/>
  <c r="M307" i="8"/>
  <c r="M327" i="8"/>
  <c r="M343" i="8"/>
  <c r="M361" i="8"/>
  <c r="M377" i="8"/>
  <c r="M395" i="8"/>
  <c r="M413" i="8"/>
  <c r="M431" i="8"/>
  <c r="M447" i="8"/>
  <c r="M463" i="8"/>
  <c r="M481" i="8"/>
  <c r="M499" i="8"/>
  <c r="M12" i="8"/>
  <c r="M28" i="8"/>
  <c r="M47" i="8"/>
  <c r="M67" i="8"/>
  <c r="M86" i="8"/>
  <c r="M103" i="8"/>
  <c r="M125" i="8"/>
  <c r="M144" i="8"/>
  <c r="M161" i="8"/>
  <c r="M183" i="8"/>
  <c r="M202" i="8"/>
  <c r="M219" i="8"/>
  <c r="M241" i="8"/>
  <c r="M258" i="8"/>
  <c r="M276" i="8"/>
  <c r="M292" i="8"/>
  <c r="M312" i="8"/>
  <c r="M328" i="8"/>
  <c r="M346" i="8"/>
  <c r="M362" i="8"/>
  <c r="M378" i="8"/>
  <c r="M398" i="8"/>
  <c r="M414" i="8"/>
  <c r="M432" i="8"/>
  <c r="M448" i="8"/>
  <c r="M466" i="8"/>
  <c r="M484" i="8"/>
  <c r="M162" i="8"/>
  <c r="M277" i="8"/>
  <c r="M329" i="8"/>
  <c r="M363" i="8"/>
  <c r="M379" i="8"/>
  <c r="M415" i="8"/>
  <c r="M449" i="8"/>
  <c r="M467" i="8"/>
  <c r="M14" i="8"/>
  <c r="M49" i="8"/>
  <c r="M71" i="8"/>
  <c r="M88" i="8"/>
  <c r="M127" i="8"/>
  <c r="M163" i="8"/>
  <c r="M204" i="8"/>
  <c r="M243" i="8"/>
  <c r="M278" i="8"/>
  <c r="M314" i="8"/>
  <c r="M348" i="8"/>
  <c r="M384" i="8"/>
  <c r="M418" i="8"/>
  <c r="M450" i="8"/>
  <c r="M486" i="8"/>
  <c r="M15" i="8"/>
  <c r="M72" i="8"/>
  <c r="M111" i="8"/>
  <c r="M147" i="8"/>
  <c r="M186" i="8"/>
  <c r="M227" i="8"/>
  <c r="M263" i="8"/>
  <c r="M299" i="8"/>
  <c r="M331" i="8"/>
  <c r="M365" i="8"/>
  <c r="M401" i="8"/>
  <c r="M435" i="8"/>
  <c r="M471" i="8"/>
  <c r="M247" i="8"/>
  <c r="M354" i="8"/>
  <c r="M406" i="8"/>
  <c r="M458" i="8"/>
  <c r="M19" i="8"/>
  <c r="M76" i="8"/>
  <c r="M134" i="8"/>
  <c r="M192" i="8"/>
  <c r="M250" i="8"/>
  <c r="M303" i="8"/>
  <c r="M355" i="8"/>
  <c r="M407" i="8"/>
  <c r="M443" i="8"/>
  <c r="M493" i="8"/>
  <c r="M41" i="8"/>
  <c r="M118" i="8"/>
  <c r="M174" i="8"/>
  <c r="M232" i="8"/>
  <c r="M13" i="8"/>
  <c r="M29" i="8"/>
  <c r="M48" i="8"/>
  <c r="M70" i="8"/>
  <c r="M87" i="8"/>
  <c r="M106" i="8"/>
  <c r="M126" i="8"/>
  <c r="M145" i="8"/>
  <c r="M184" i="8"/>
  <c r="M203" i="8"/>
  <c r="M220" i="8"/>
  <c r="M242" i="8"/>
  <c r="M259" i="8"/>
  <c r="M293" i="8"/>
  <c r="M313" i="8"/>
  <c r="M347" i="8"/>
  <c r="M399" i="8"/>
  <c r="M433" i="8"/>
  <c r="M485" i="8"/>
  <c r="M30" i="8"/>
  <c r="M107" i="8"/>
  <c r="M146" i="8"/>
  <c r="M185" i="8"/>
  <c r="M221" i="8"/>
  <c r="M262" i="8"/>
  <c r="M298" i="8"/>
  <c r="M330" i="8"/>
  <c r="M364" i="8"/>
  <c r="M400" i="8"/>
  <c r="M434" i="8"/>
  <c r="M470" i="8"/>
  <c r="M31" i="8"/>
  <c r="M53" i="8"/>
  <c r="M89" i="8"/>
  <c r="M130" i="8"/>
  <c r="M169" i="8"/>
  <c r="M205" i="8"/>
  <c r="M244" i="8"/>
  <c r="M279" i="8"/>
  <c r="M315" i="8"/>
  <c r="M349" i="8"/>
  <c r="M385" i="8"/>
  <c r="M419" i="8"/>
  <c r="M451" i="8"/>
  <c r="M487" i="8"/>
  <c r="M268" i="8"/>
  <c r="M372" i="8"/>
  <c r="M422" i="8"/>
  <c r="M492" i="8"/>
  <c r="M59" i="8"/>
  <c r="M98" i="8"/>
  <c r="M156" i="8"/>
  <c r="M214" i="8"/>
  <c r="M269" i="8"/>
  <c r="M319" i="8"/>
  <c r="M373" i="8"/>
  <c r="M423" i="8"/>
  <c r="M475" i="8"/>
  <c r="M60" i="8"/>
  <c r="M99" i="8"/>
  <c r="M157" i="8"/>
  <c r="M215" i="8"/>
  <c r="M16" i="8"/>
  <c r="M34" i="8"/>
  <c r="M54" i="8"/>
  <c r="M73" i="8"/>
  <c r="M90" i="8"/>
  <c r="M112" i="8"/>
  <c r="M131" i="8"/>
  <c r="M148" i="8"/>
  <c r="M170" i="8"/>
  <c r="M187" i="8"/>
  <c r="M206" i="8"/>
  <c r="M228" i="8"/>
  <c r="M245" i="8"/>
  <c r="M264" i="8"/>
  <c r="M282" i="8"/>
  <c r="M300" i="8"/>
  <c r="M316" i="8"/>
  <c r="M334" i="8"/>
  <c r="M350" i="8"/>
  <c r="M370" i="8"/>
  <c r="M386" i="8"/>
  <c r="M402" i="8"/>
  <c r="M420" i="8"/>
  <c r="M436" i="8"/>
  <c r="M456" i="8"/>
  <c r="M472" i="8"/>
  <c r="M490" i="8"/>
  <c r="M17" i="8"/>
  <c r="M35" i="8"/>
  <c r="M55" i="8"/>
  <c r="M74" i="8"/>
  <c r="M91" i="8"/>
  <c r="M113" i="8"/>
  <c r="M132" i="8"/>
  <c r="M149" i="8"/>
  <c r="M171" i="8"/>
  <c r="M190" i="8"/>
  <c r="M207" i="8"/>
  <c r="M229" i="8"/>
  <c r="M246" i="8"/>
  <c r="M265" i="8"/>
  <c r="M283" i="8"/>
  <c r="M301" i="8"/>
  <c r="M317" i="8"/>
  <c r="M335" i="8"/>
  <c r="M351" i="8"/>
  <c r="M371" i="8"/>
  <c r="M387" i="8"/>
  <c r="M403" i="8"/>
  <c r="M421" i="8"/>
  <c r="M437" i="8"/>
  <c r="M457" i="8"/>
  <c r="M473" i="8"/>
  <c r="M491" i="8"/>
  <c r="M18" i="8"/>
  <c r="M39" i="8"/>
  <c r="M58" i="8"/>
  <c r="M75" i="8"/>
  <c r="M97" i="8"/>
  <c r="M114" i="8"/>
  <c r="M133" i="8"/>
  <c r="M155" i="8"/>
  <c r="M172" i="8"/>
  <c r="M191" i="8"/>
  <c r="M211" i="8"/>
  <c r="M230" i="8"/>
  <c r="M286" i="8"/>
  <c r="M302" i="8"/>
  <c r="M318" i="8"/>
  <c r="M336" i="8"/>
  <c r="M388" i="8"/>
  <c r="M442" i="8"/>
  <c r="M474" i="8"/>
  <c r="M40" i="8"/>
  <c r="M115" i="8"/>
  <c r="M173" i="8"/>
  <c r="M231" i="8"/>
  <c r="M287" i="8"/>
  <c r="M337" i="8"/>
  <c r="M389" i="8"/>
  <c r="M459" i="8"/>
  <c r="M24" i="8"/>
  <c r="M77" i="8"/>
  <c r="M135" i="8"/>
  <c r="M193" i="8"/>
  <c r="M25" i="8"/>
  <c r="M139" i="8"/>
  <c r="M251" i="8"/>
  <c r="M322" i="8"/>
  <c r="M390" i="8"/>
  <c r="M460" i="8"/>
  <c r="M26" i="8"/>
  <c r="M142" i="8"/>
  <c r="M255" i="8"/>
  <c r="M323" i="8"/>
  <c r="M391" i="8"/>
  <c r="M461" i="8"/>
  <c r="M42" i="8"/>
  <c r="M158" i="8"/>
  <c r="M256" i="8"/>
  <c r="M326" i="8"/>
  <c r="M394" i="8"/>
  <c r="M462" i="8"/>
  <c r="M159" i="8"/>
  <c r="M270" i="8"/>
  <c r="M340" i="8"/>
  <c r="M408" i="8"/>
  <c r="M478" i="8"/>
  <c r="M61" i="8"/>
  <c r="M175" i="8"/>
  <c r="M271" i="8"/>
  <c r="M341" i="8"/>
  <c r="M409" i="8"/>
  <c r="M479" i="8"/>
  <c r="M289" i="8"/>
  <c r="M427" i="8"/>
  <c r="M216" i="8"/>
  <c r="M498" i="8"/>
  <c r="M217" i="8"/>
  <c r="M444" i="8"/>
  <c r="M305" i="8"/>
  <c r="M234" i="8"/>
  <c r="M446" i="8"/>
  <c r="M43" i="8"/>
  <c r="M84" i="8"/>
  <c r="M100" i="8"/>
  <c r="M360" i="8"/>
  <c r="M101" i="8"/>
  <c r="M374" i="8"/>
  <c r="M119" i="8"/>
  <c r="M375" i="8"/>
  <c r="M120" i="8"/>
  <c r="M376" i="8"/>
  <c r="M62" i="8"/>
  <c r="M178" i="8"/>
  <c r="M274" i="8"/>
  <c r="M342" i="8"/>
  <c r="M412" i="8"/>
  <c r="M480" i="8"/>
  <c r="M83" i="8"/>
  <c r="M197" i="8"/>
  <c r="M288" i="8"/>
  <c r="M358" i="8"/>
  <c r="M426" i="8"/>
  <c r="M494" i="8"/>
  <c r="M198" i="8"/>
  <c r="M359" i="8"/>
  <c r="M495" i="8"/>
  <c r="M290" i="8"/>
  <c r="M430" i="8"/>
  <c r="M304" i="8"/>
  <c r="M233" i="8"/>
  <c r="M445" i="8"/>
  <c r="M306" i="8"/>
  <c r="J21" i="8"/>
  <c r="J22" i="8"/>
  <c r="J34" i="8"/>
  <c r="J46" i="8"/>
  <c r="J58" i="8"/>
  <c r="J70" i="8"/>
  <c r="J82" i="8"/>
  <c r="J94" i="8"/>
  <c r="J106" i="8"/>
  <c r="J118" i="8"/>
  <c r="J130" i="8"/>
  <c r="J142" i="8"/>
  <c r="J154" i="8"/>
  <c r="J166" i="8"/>
  <c r="J178" i="8"/>
  <c r="J190" i="8"/>
  <c r="J202" i="8"/>
  <c r="J214" i="8"/>
  <c r="J226" i="8"/>
  <c r="J238" i="8"/>
  <c r="J250" i="8"/>
  <c r="J262" i="8"/>
  <c r="J274" i="8"/>
  <c r="J286" i="8"/>
  <c r="J298" i="8"/>
  <c r="J310" i="8"/>
  <c r="J322" i="8"/>
  <c r="J334" i="8"/>
  <c r="J346" i="8"/>
  <c r="J358" i="8"/>
  <c r="J370" i="8"/>
  <c r="J382" i="8"/>
  <c r="J394" i="8"/>
  <c r="J406" i="8"/>
  <c r="J418" i="8"/>
  <c r="J430" i="8"/>
  <c r="J442" i="8"/>
  <c r="J454" i="8"/>
  <c r="J466" i="8"/>
  <c r="J478" i="8"/>
  <c r="J490" i="8"/>
  <c r="J26" i="8"/>
  <c r="J38" i="8"/>
  <c r="J50" i="8"/>
  <c r="J62" i="8"/>
  <c r="J74" i="8"/>
  <c r="J86" i="8"/>
  <c r="J98" i="8"/>
  <c r="J110" i="8"/>
  <c r="J122" i="8"/>
  <c r="J134" i="8"/>
  <c r="J146" i="8"/>
  <c r="J158" i="8"/>
  <c r="J170" i="8"/>
  <c r="J182" i="8"/>
  <c r="J194" i="8"/>
  <c r="J206" i="8"/>
  <c r="J218" i="8"/>
  <c r="J230" i="8"/>
  <c r="J242" i="8"/>
  <c r="J254" i="8"/>
  <c r="J266" i="8"/>
  <c r="J278" i="8"/>
  <c r="J290" i="8"/>
  <c r="J302" i="8"/>
  <c r="J314" i="8"/>
  <c r="J326" i="8"/>
  <c r="J27" i="8"/>
  <c r="J39" i="8"/>
  <c r="J51" i="8"/>
  <c r="J63" i="8"/>
  <c r="J28" i="8"/>
  <c r="J40" i="8"/>
  <c r="J52" i="8"/>
  <c r="J64" i="8"/>
  <c r="J76" i="8"/>
  <c r="J88" i="8"/>
  <c r="J100" i="8"/>
  <c r="J112" i="8"/>
  <c r="J124" i="8"/>
  <c r="J136" i="8"/>
  <c r="J148" i="8"/>
  <c r="J160" i="8"/>
  <c r="J172" i="8"/>
  <c r="J184" i="8"/>
  <c r="J196" i="8"/>
  <c r="J208" i="8"/>
  <c r="J220" i="8"/>
  <c r="J232" i="8"/>
  <c r="J244" i="8"/>
  <c r="J256" i="8"/>
  <c r="J268" i="8"/>
  <c r="J280" i="8"/>
  <c r="J292" i="8"/>
  <c r="J304" i="8"/>
  <c r="J316" i="8"/>
  <c r="J328" i="8"/>
  <c r="J340" i="8"/>
  <c r="J352" i="8"/>
  <c r="J364" i="8"/>
  <c r="J376" i="8"/>
  <c r="J388" i="8"/>
  <c r="J400" i="8"/>
  <c r="J412" i="8"/>
  <c r="J424" i="8"/>
  <c r="J436" i="8"/>
  <c r="J448" i="8"/>
  <c r="J460" i="8"/>
  <c r="J472" i="8"/>
  <c r="J484" i="8"/>
  <c r="J496" i="8"/>
  <c r="J29" i="8"/>
  <c r="J41" i="8"/>
  <c r="J53" i="8"/>
  <c r="J65" i="8"/>
  <c r="J77" i="8"/>
  <c r="J89" i="8"/>
  <c r="J101" i="8"/>
  <c r="J113" i="8"/>
  <c r="J125" i="8"/>
  <c r="J137" i="8"/>
  <c r="J149" i="8"/>
  <c r="J161" i="8"/>
  <c r="J173" i="8"/>
  <c r="J185" i="8"/>
  <c r="J197" i="8"/>
  <c r="J209" i="8"/>
  <c r="J221" i="8"/>
  <c r="J233" i="8"/>
  <c r="J245" i="8"/>
  <c r="J257" i="8"/>
  <c r="J269" i="8"/>
  <c r="J281" i="8"/>
  <c r="J293" i="8"/>
  <c r="J305" i="8"/>
  <c r="J317" i="8"/>
  <c r="J329" i="8"/>
  <c r="J341" i="8"/>
  <c r="J353" i="8"/>
  <c r="J365" i="8"/>
  <c r="J377" i="8"/>
  <c r="J389" i="8"/>
  <c r="J401" i="8"/>
  <c r="J413" i="8"/>
  <c r="J425" i="8"/>
  <c r="J437" i="8"/>
  <c r="J449" i="8"/>
  <c r="J461" i="8"/>
  <c r="J473" i="8"/>
  <c r="J485" i="8"/>
  <c r="J497" i="8"/>
  <c r="J30" i="8"/>
  <c r="J42" i="8"/>
  <c r="J54" i="8"/>
  <c r="J66" i="8"/>
  <c r="J78" i="8"/>
  <c r="J23" i="8"/>
  <c r="J47" i="8"/>
  <c r="J71" i="8"/>
  <c r="J91" i="8"/>
  <c r="J108" i="8"/>
  <c r="J127" i="8"/>
  <c r="J144" i="8"/>
  <c r="J163" i="8"/>
  <c r="J180" i="8"/>
  <c r="J199" i="8"/>
  <c r="J216" i="8"/>
  <c r="J235" i="8"/>
  <c r="J252" i="8"/>
  <c r="J271" i="8"/>
  <c r="J288" i="8"/>
  <c r="J307" i="8"/>
  <c r="J324" i="8"/>
  <c r="J342" i="8"/>
  <c r="J357" i="8"/>
  <c r="J373" i="8"/>
  <c r="J390" i="8"/>
  <c r="J405" i="8"/>
  <c r="J421" i="8"/>
  <c r="J438" i="8"/>
  <c r="J453" i="8"/>
  <c r="J469" i="8"/>
  <c r="J486" i="8"/>
  <c r="J501" i="8"/>
  <c r="J24" i="8"/>
  <c r="J48" i="8"/>
  <c r="J72" i="8"/>
  <c r="J92" i="8"/>
  <c r="J109" i="8"/>
  <c r="J128" i="8"/>
  <c r="J145" i="8"/>
  <c r="J164" i="8"/>
  <c r="J181" i="8"/>
  <c r="J200" i="8"/>
  <c r="J217" i="8"/>
  <c r="J236" i="8"/>
  <c r="J253" i="8"/>
  <c r="J272" i="8"/>
  <c r="J289" i="8"/>
  <c r="J308" i="8"/>
  <c r="J325" i="8"/>
  <c r="J343" i="8"/>
  <c r="J359" i="8"/>
  <c r="J374" i="8"/>
  <c r="J391" i="8"/>
  <c r="J407" i="8"/>
  <c r="J422" i="8"/>
  <c r="J439" i="8"/>
  <c r="J455" i="8"/>
  <c r="J470" i="8"/>
  <c r="J487" i="8"/>
  <c r="J25" i="8"/>
  <c r="J49" i="8"/>
  <c r="J73" i="8"/>
  <c r="J93" i="8"/>
  <c r="J111" i="8"/>
  <c r="J129" i="8"/>
  <c r="J147" i="8"/>
  <c r="J165" i="8"/>
  <c r="J183" i="8"/>
  <c r="J201" i="8"/>
  <c r="J219" i="8"/>
  <c r="J237" i="8"/>
  <c r="J255" i="8"/>
  <c r="J273" i="8"/>
  <c r="J291" i="8"/>
  <c r="J309" i="8"/>
  <c r="J327" i="8"/>
  <c r="J344" i="8"/>
  <c r="J360" i="8"/>
  <c r="J375" i="8"/>
  <c r="J392" i="8"/>
  <c r="J408" i="8"/>
  <c r="J423" i="8"/>
  <c r="J440" i="8"/>
  <c r="J456" i="8"/>
  <c r="J471" i="8"/>
  <c r="J488" i="8"/>
  <c r="J31" i="8"/>
  <c r="J55" i="8"/>
  <c r="J75" i="8"/>
  <c r="J32" i="8"/>
  <c r="J56" i="8"/>
  <c r="J79" i="8"/>
  <c r="J96" i="8"/>
  <c r="J115" i="8"/>
  <c r="J132" i="8"/>
  <c r="J151" i="8"/>
  <c r="J168" i="8"/>
  <c r="J187" i="8"/>
  <c r="J204" i="8"/>
  <c r="J35" i="8"/>
  <c r="J59" i="8"/>
  <c r="J81" i="8"/>
  <c r="J99" i="8"/>
  <c r="J117" i="8"/>
  <c r="J135" i="8"/>
  <c r="J153" i="8"/>
  <c r="J171" i="8"/>
  <c r="J189" i="8"/>
  <c r="J207" i="8"/>
  <c r="J225" i="8"/>
  <c r="J243" i="8"/>
  <c r="J261" i="8"/>
  <c r="J279" i="8"/>
  <c r="J297" i="8"/>
  <c r="J315" i="8"/>
  <c r="J333" i="8"/>
  <c r="J349" i="8"/>
  <c r="J366" i="8"/>
  <c r="J381" i="8"/>
  <c r="J397" i="8"/>
  <c r="J414" i="8"/>
  <c r="J429" i="8"/>
  <c r="J445" i="8"/>
  <c r="J462" i="8"/>
  <c r="J477" i="8"/>
  <c r="J493" i="8"/>
  <c r="J36" i="8"/>
  <c r="J60" i="8"/>
  <c r="J83" i="8"/>
  <c r="J102" i="8"/>
  <c r="J119" i="8"/>
  <c r="J138" i="8"/>
  <c r="J155" i="8"/>
  <c r="J174" i="8"/>
  <c r="J191" i="8"/>
  <c r="J210" i="8"/>
  <c r="J227" i="8"/>
  <c r="J246" i="8"/>
  <c r="J263" i="8"/>
  <c r="J282" i="8"/>
  <c r="J299" i="8"/>
  <c r="J318" i="8"/>
  <c r="J335" i="8"/>
  <c r="J350" i="8"/>
  <c r="J367" i="8"/>
  <c r="J383" i="8"/>
  <c r="J398" i="8"/>
  <c r="J415" i="8"/>
  <c r="J431" i="8"/>
  <c r="J446" i="8"/>
  <c r="J463" i="8"/>
  <c r="J479" i="8"/>
  <c r="J494" i="8"/>
  <c r="J33" i="8"/>
  <c r="J85" i="8"/>
  <c r="J121" i="8"/>
  <c r="J157" i="8"/>
  <c r="J193" i="8"/>
  <c r="J228" i="8"/>
  <c r="J259" i="8"/>
  <c r="J287" i="8"/>
  <c r="J320" i="8"/>
  <c r="J348" i="8"/>
  <c r="J378" i="8"/>
  <c r="J403" i="8"/>
  <c r="J432" i="8"/>
  <c r="J458" i="8"/>
  <c r="J483" i="8"/>
  <c r="J37" i="8"/>
  <c r="J87" i="8"/>
  <c r="J123" i="8"/>
  <c r="J159" i="8"/>
  <c r="J195" i="8"/>
  <c r="J229" i="8"/>
  <c r="J260" i="8"/>
  <c r="J294" i="8"/>
  <c r="J321" i="8"/>
  <c r="J351" i="8"/>
  <c r="J379" i="8"/>
  <c r="J404" i="8"/>
  <c r="J433" i="8"/>
  <c r="J459" i="8"/>
  <c r="J489" i="8"/>
  <c r="J43" i="8"/>
  <c r="J90" i="8"/>
  <c r="J126" i="8"/>
  <c r="J162" i="8"/>
  <c r="J198" i="8"/>
  <c r="J231" i="8"/>
  <c r="J264" i="8"/>
  <c r="J295" i="8"/>
  <c r="J323" i="8"/>
  <c r="J354" i="8"/>
  <c r="J380" i="8"/>
  <c r="J409" i="8"/>
  <c r="J434" i="8"/>
  <c r="J464" i="8"/>
  <c r="J491" i="8"/>
  <c r="J44" i="8"/>
  <c r="J95" i="8"/>
  <c r="J131" i="8"/>
  <c r="J167" i="8"/>
  <c r="J203" i="8"/>
  <c r="J234" i="8"/>
  <c r="J265" i="8"/>
  <c r="J296" i="8"/>
  <c r="J330" i="8"/>
  <c r="J355" i="8"/>
  <c r="J384" i="8"/>
  <c r="J410" i="8"/>
  <c r="J435" i="8"/>
  <c r="J465" i="8"/>
  <c r="J492" i="8"/>
  <c r="J45" i="8"/>
  <c r="J133" i="8"/>
  <c r="J169" i="8"/>
  <c r="J205" i="8"/>
  <c r="J239" i="8"/>
  <c r="J267" i="8"/>
  <c r="J300" i="8"/>
  <c r="J331" i="8"/>
  <c r="J356" i="8"/>
  <c r="J385" i="8"/>
  <c r="J411" i="8"/>
  <c r="J441" i="8"/>
  <c r="J467" i="8"/>
  <c r="J495" i="8"/>
  <c r="J57" i="8"/>
  <c r="J103" i="8"/>
  <c r="J139" i="8"/>
  <c r="J175" i="8"/>
  <c r="J211" i="8"/>
  <c r="J240" i="8"/>
  <c r="J270" i="8"/>
  <c r="J301" i="8"/>
  <c r="J332" i="8"/>
  <c r="J361" i="8"/>
  <c r="J386" i="8"/>
  <c r="J416" i="8"/>
  <c r="J443" i="8"/>
  <c r="J468" i="8"/>
  <c r="J498" i="8"/>
  <c r="J186" i="8"/>
  <c r="J283" i="8"/>
  <c r="J369" i="8"/>
  <c r="J426" i="8"/>
  <c r="J480" i="8"/>
  <c r="J80" i="8"/>
  <c r="J152" i="8"/>
  <c r="J223" i="8"/>
  <c r="J313" i="8"/>
  <c r="J371" i="8"/>
  <c r="J427" i="8"/>
  <c r="J481" i="8"/>
  <c r="J120" i="8"/>
  <c r="J192" i="8"/>
  <c r="J285" i="8"/>
  <c r="J347" i="8"/>
  <c r="J402" i="8"/>
  <c r="J457" i="8"/>
  <c r="J97" i="8"/>
  <c r="J61" i="8"/>
  <c r="J104" i="8"/>
  <c r="J140" i="8"/>
  <c r="J176" i="8"/>
  <c r="J212" i="8"/>
  <c r="J241" i="8"/>
  <c r="J275" i="8"/>
  <c r="J303" i="8"/>
  <c r="J336" i="8"/>
  <c r="J362" i="8"/>
  <c r="J387" i="8"/>
  <c r="J417" i="8"/>
  <c r="J444" i="8"/>
  <c r="J474" i="8"/>
  <c r="J499" i="8"/>
  <c r="J67" i="8"/>
  <c r="J105" i="8"/>
  <c r="J141" i="8"/>
  <c r="J177" i="8"/>
  <c r="J213" i="8"/>
  <c r="J247" i="8"/>
  <c r="J276" i="8"/>
  <c r="J306" i="8"/>
  <c r="J337" i="8"/>
  <c r="J363" i="8"/>
  <c r="J393" i="8"/>
  <c r="J419" i="8"/>
  <c r="J447" i="8"/>
  <c r="J475" i="8"/>
  <c r="J500" i="8"/>
  <c r="J68" i="8"/>
  <c r="J107" i="8"/>
  <c r="J143" i="8"/>
  <c r="J179" i="8"/>
  <c r="J215" i="8"/>
  <c r="J248" i="8"/>
  <c r="J277" i="8"/>
  <c r="J311" i="8"/>
  <c r="J338" i="8"/>
  <c r="J368" i="8"/>
  <c r="J395" i="8"/>
  <c r="J420" i="8"/>
  <c r="J450" i="8"/>
  <c r="J476" i="8"/>
  <c r="J69" i="8"/>
  <c r="J114" i="8"/>
  <c r="J150" i="8"/>
  <c r="J222" i="8"/>
  <c r="J249" i="8"/>
  <c r="J312" i="8"/>
  <c r="J339" i="8"/>
  <c r="J396" i="8"/>
  <c r="J451" i="8"/>
  <c r="J116" i="8"/>
  <c r="J188" i="8"/>
  <c r="J251" i="8"/>
  <c r="J284" i="8"/>
  <c r="J345" i="8"/>
  <c r="J399" i="8"/>
  <c r="J452" i="8"/>
  <c r="J84" i="8"/>
  <c r="J156" i="8"/>
  <c r="J224" i="8"/>
  <c r="J258" i="8"/>
  <c r="J319" i="8"/>
  <c r="J372" i="8"/>
  <c r="J428" i="8"/>
  <c r="J482" i="8"/>
  <c r="I22" i="8"/>
  <c r="I34" i="8"/>
  <c r="I46" i="8"/>
  <c r="I58" i="8"/>
  <c r="I70" i="8"/>
  <c r="I82" i="8"/>
  <c r="I94" i="8"/>
  <c r="I106" i="8"/>
  <c r="I118" i="8"/>
  <c r="I130" i="8"/>
  <c r="I142" i="8"/>
  <c r="I154" i="8"/>
  <c r="I166" i="8"/>
  <c r="I178" i="8"/>
  <c r="I190" i="8"/>
  <c r="I202" i="8"/>
  <c r="I214" i="8"/>
  <c r="I226" i="8"/>
  <c r="I238" i="8"/>
  <c r="I250" i="8"/>
  <c r="I262" i="8"/>
  <c r="I274" i="8"/>
  <c r="I286" i="8"/>
  <c r="I298" i="8"/>
  <c r="I310" i="8"/>
  <c r="I322" i="8"/>
  <c r="I334" i="8"/>
  <c r="I346" i="8"/>
  <c r="I358" i="8"/>
  <c r="I370" i="8"/>
  <c r="I382" i="8"/>
  <c r="I394" i="8"/>
  <c r="I406" i="8"/>
  <c r="I418" i="8"/>
  <c r="I430" i="8"/>
  <c r="I442" i="8"/>
  <c r="I454" i="8"/>
  <c r="I466" i="8"/>
  <c r="I478" i="8"/>
  <c r="I490" i="8"/>
  <c r="I409" i="8"/>
  <c r="I457" i="8"/>
  <c r="I493" i="8"/>
  <c r="I50" i="8"/>
  <c r="I98" i="8"/>
  <c r="I134" i="8"/>
  <c r="I170" i="8"/>
  <c r="I218" i="8"/>
  <c r="I254" i="8"/>
  <c r="I290" i="8"/>
  <c r="I326" i="8"/>
  <c r="I362" i="8"/>
  <c r="I398" i="8"/>
  <c r="I434" i="8"/>
  <c r="I23" i="8"/>
  <c r="I35" i="8"/>
  <c r="I47" i="8"/>
  <c r="I59" i="8"/>
  <c r="I71" i="8"/>
  <c r="I83" i="8"/>
  <c r="I95" i="8"/>
  <c r="I107" i="8"/>
  <c r="I119" i="8"/>
  <c r="I131" i="8"/>
  <c r="I143" i="8"/>
  <c r="I155" i="8"/>
  <c r="I167" i="8"/>
  <c r="I179" i="8"/>
  <c r="I191" i="8"/>
  <c r="I203" i="8"/>
  <c r="I215" i="8"/>
  <c r="I227" i="8"/>
  <c r="I239" i="8"/>
  <c r="I251" i="8"/>
  <c r="I263" i="8"/>
  <c r="I275" i="8"/>
  <c r="I287" i="8"/>
  <c r="I299" i="8"/>
  <c r="I311" i="8"/>
  <c r="I323" i="8"/>
  <c r="I335" i="8"/>
  <c r="I347" i="8"/>
  <c r="I359" i="8"/>
  <c r="I371" i="8"/>
  <c r="I383" i="8"/>
  <c r="I395" i="8"/>
  <c r="I407" i="8"/>
  <c r="I419" i="8"/>
  <c r="I431" i="8"/>
  <c r="I443" i="8"/>
  <c r="I455" i="8"/>
  <c r="I467" i="8"/>
  <c r="I479" i="8"/>
  <c r="I491" i="8"/>
  <c r="I36" i="8"/>
  <c r="I300" i="8"/>
  <c r="I348" i="8"/>
  <c r="I372" i="8"/>
  <c r="I384" i="8"/>
  <c r="I408" i="8"/>
  <c r="I420" i="8"/>
  <c r="I432" i="8"/>
  <c r="I456" i="8"/>
  <c r="I480" i="8"/>
  <c r="I492" i="8"/>
  <c r="I25" i="8"/>
  <c r="I49" i="8"/>
  <c r="I73" i="8"/>
  <c r="I97" i="8"/>
  <c r="I121" i="8"/>
  <c r="I145" i="8"/>
  <c r="I169" i="8"/>
  <c r="I193" i="8"/>
  <c r="I205" i="8"/>
  <c r="I229" i="8"/>
  <c r="I253" i="8"/>
  <c r="I265" i="8"/>
  <c r="I289" i="8"/>
  <c r="I313" i="8"/>
  <c r="I337" i="8"/>
  <c r="I361" i="8"/>
  <c r="I385" i="8"/>
  <c r="I421" i="8"/>
  <c r="I445" i="8"/>
  <c r="I481" i="8"/>
  <c r="I38" i="8"/>
  <c r="I62" i="8"/>
  <c r="I86" i="8"/>
  <c r="I122" i="8"/>
  <c r="I146" i="8"/>
  <c r="I182" i="8"/>
  <c r="I206" i="8"/>
  <c r="I242" i="8"/>
  <c r="I278" i="8"/>
  <c r="I314" i="8"/>
  <c r="I338" i="8"/>
  <c r="I374" i="8"/>
  <c r="I410" i="8"/>
  <c r="I446" i="8"/>
  <c r="I24" i="8"/>
  <c r="I48" i="8"/>
  <c r="I60" i="8"/>
  <c r="I72" i="8"/>
  <c r="I84" i="8"/>
  <c r="I96" i="8"/>
  <c r="I108" i="8"/>
  <c r="I120" i="8"/>
  <c r="I132" i="8"/>
  <c r="I144" i="8"/>
  <c r="I156" i="8"/>
  <c r="I168" i="8"/>
  <c r="I180" i="8"/>
  <c r="I192" i="8"/>
  <c r="I204" i="8"/>
  <c r="I216" i="8"/>
  <c r="I228" i="8"/>
  <c r="I240" i="8"/>
  <c r="I252" i="8"/>
  <c r="I264" i="8"/>
  <c r="I276" i="8"/>
  <c r="I288" i="8"/>
  <c r="I312" i="8"/>
  <c r="I324" i="8"/>
  <c r="I336" i="8"/>
  <c r="I360" i="8"/>
  <c r="I396" i="8"/>
  <c r="I444" i="8"/>
  <c r="I468" i="8"/>
  <c r="I37" i="8"/>
  <c r="I61" i="8"/>
  <c r="I85" i="8"/>
  <c r="I109" i="8"/>
  <c r="I133" i="8"/>
  <c r="I157" i="8"/>
  <c r="I181" i="8"/>
  <c r="I217" i="8"/>
  <c r="I241" i="8"/>
  <c r="I277" i="8"/>
  <c r="I301" i="8"/>
  <c r="I325" i="8"/>
  <c r="I349" i="8"/>
  <c r="I373" i="8"/>
  <c r="I397" i="8"/>
  <c r="I433" i="8"/>
  <c r="I469" i="8"/>
  <c r="I26" i="8"/>
  <c r="I74" i="8"/>
  <c r="I110" i="8"/>
  <c r="I158" i="8"/>
  <c r="I194" i="8"/>
  <c r="I230" i="8"/>
  <c r="I266" i="8"/>
  <c r="I302" i="8"/>
  <c r="I350" i="8"/>
  <c r="I386" i="8"/>
  <c r="I422" i="8"/>
  <c r="I458" i="8"/>
  <c r="I27" i="8"/>
  <c r="I39" i="8"/>
  <c r="I51" i="8"/>
  <c r="I63" i="8"/>
  <c r="I75" i="8"/>
  <c r="I87" i="8"/>
  <c r="I99" i="8"/>
  <c r="I111" i="8"/>
  <c r="I123" i="8"/>
  <c r="I135" i="8"/>
  <c r="I147" i="8"/>
  <c r="I159" i="8"/>
  <c r="I171" i="8"/>
  <c r="I183" i="8"/>
  <c r="I195" i="8"/>
  <c r="I207" i="8"/>
  <c r="I219" i="8"/>
  <c r="I28" i="8"/>
  <c r="I52" i="8"/>
  <c r="I76" i="8"/>
  <c r="I100" i="8"/>
  <c r="I124" i="8"/>
  <c r="I148" i="8"/>
  <c r="I172" i="8"/>
  <c r="I196" i="8"/>
  <c r="I220" i="8"/>
  <c r="I237" i="8"/>
  <c r="I259" i="8"/>
  <c r="I281" i="8"/>
  <c r="I303" i="8"/>
  <c r="I320" i="8"/>
  <c r="I342" i="8"/>
  <c r="I364" i="8"/>
  <c r="I381" i="8"/>
  <c r="I403" i="8"/>
  <c r="I425" i="8"/>
  <c r="I447" i="8"/>
  <c r="I464" i="8"/>
  <c r="I484" i="8"/>
  <c r="I500" i="8"/>
  <c r="I29" i="8"/>
  <c r="I53" i="8"/>
  <c r="I77" i="8"/>
  <c r="I101" i="8"/>
  <c r="I125" i="8"/>
  <c r="I149" i="8"/>
  <c r="I173" i="8"/>
  <c r="I197" i="8"/>
  <c r="I221" i="8"/>
  <c r="I243" i="8"/>
  <c r="I260" i="8"/>
  <c r="I282" i="8"/>
  <c r="I304" i="8"/>
  <c r="I321" i="8"/>
  <c r="I343" i="8"/>
  <c r="I365" i="8"/>
  <c r="I387" i="8"/>
  <c r="I404" i="8"/>
  <c r="I426" i="8"/>
  <c r="I448" i="8"/>
  <c r="I465" i="8"/>
  <c r="I485" i="8"/>
  <c r="I501" i="8"/>
  <c r="I30" i="8"/>
  <c r="I54" i="8"/>
  <c r="I78" i="8"/>
  <c r="I102" i="8"/>
  <c r="I126" i="8"/>
  <c r="I150" i="8"/>
  <c r="I174" i="8"/>
  <c r="I198" i="8"/>
  <c r="I222" i="8"/>
  <c r="I244" i="8"/>
  <c r="I261" i="8"/>
  <c r="I283" i="8"/>
  <c r="I305" i="8"/>
  <c r="I327" i="8"/>
  <c r="I344" i="8"/>
  <c r="I366" i="8"/>
  <c r="I388" i="8"/>
  <c r="I405" i="8"/>
  <c r="I427" i="8"/>
  <c r="I449" i="8"/>
  <c r="I470" i="8"/>
  <c r="I486" i="8"/>
  <c r="I31" i="8"/>
  <c r="I55" i="8"/>
  <c r="I79" i="8"/>
  <c r="I103" i="8"/>
  <c r="I127" i="8"/>
  <c r="I151" i="8"/>
  <c r="I175" i="8"/>
  <c r="I199" i="8"/>
  <c r="I223" i="8"/>
  <c r="I245" i="8"/>
  <c r="I267" i="8"/>
  <c r="I284" i="8"/>
  <c r="I306" i="8"/>
  <c r="I328" i="8"/>
  <c r="I345" i="8"/>
  <c r="I367" i="8"/>
  <c r="I389" i="8"/>
  <c r="I33" i="8"/>
  <c r="I57" i="8"/>
  <c r="I81" i="8"/>
  <c r="I105" i="8"/>
  <c r="I129" i="8"/>
  <c r="I153" i="8"/>
  <c r="I177" i="8"/>
  <c r="I201" i="8"/>
  <c r="I225" i="8"/>
  <c r="I247" i="8"/>
  <c r="I269" i="8"/>
  <c r="I291" i="8"/>
  <c r="I308" i="8"/>
  <c r="I330" i="8"/>
  <c r="I352" i="8"/>
  <c r="I369" i="8"/>
  <c r="I391" i="8"/>
  <c r="I413" i="8"/>
  <c r="I435" i="8"/>
  <c r="I452" i="8"/>
  <c r="I473" i="8"/>
  <c r="I489" i="8"/>
  <c r="I40" i="8"/>
  <c r="I64" i="8"/>
  <c r="I88" i="8"/>
  <c r="I112" i="8"/>
  <c r="I136" i="8"/>
  <c r="I160" i="8"/>
  <c r="I184" i="8"/>
  <c r="I208" i="8"/>
  <c r="I231" i="8"/>
  <c r="I248" i="8"/>
  <c r="I32" i="8"/>
  <c r="I80" i="8"/>
  <c r="I128" i="8"/>
  <c r="I176" i="8"/>
  <c r="I224" i="8"/>
  <c r="I268" i="8"/>
  <c r="I296" i="8"/>
  <c r="I333" i="8"/>
  <c r="I375" i="8"/>
  <c r="I402" i="8"/>
  <c r="I437" i="8"/>
  <c r="I463" i="8"/>
  <c r="I495" i="8"/>
  <c r="I41" i="8"/>
  <c r="I89" i="8"/>
  <c r="I137" i="8"/>
  <c r="I185" i="8"/>
  <c r="I232" i="8"/>
  <c r="I270" i="8"/>
  <c r="I297" i="8"/>
  <c r="I339" i="8"/>
  <c r="I376" i="8"/>
  <c r="I411" i="8"/>
  <c r="I438" i="8"/>
  <c r="I471" i="8"/>
  <c r="I496" i="8"/>
  <c r="I42" i="8"/>
  <c r="I90" i="8"/>
  <c r="I138" i="8"/>
  <c r="I186" i="8"/>
  <c r="I233" i="8"/>
  <c r="I271" i="8"/>
  <c r="I307" i="8"/>
  <c r="I340" i="8"/>
  <c r="I377" i="8"/>
  <c r="I412" i="8"/>
  <c r="I439" i="8"/>
  <c r="I472" i="8"/>
  <c r="I497" i="8"/>
  <c r="I43" i="8"/>
  <c r="I91" i="8"/>
  <c r="I139" i="8"/>
  <c r="I187" i="8"/>
  <c r="I234" i="8"/>
  <c r="I272" i="8"/>
  <c r="I309" i="8"/>
  <c r="I341" i="8"/>
  <c r="I378" i="8"/>
  <c r="I414" i="8"/>
  <c r="I440" i="8"/>
  <c r="I474" i="8"/>
  <c r="I498" i="8"/>
  <c r="I44" i="8"/>
  <c r="I92" i="8"/>
  <c r="I140" i="8"/>
  <c r="I188" i="8"/>
  <c r="I235" i="8"/>
  <c r="I273" i="8"/>
  <c r="I315" i="8"/>
  <c r="I351" i="8"/>
  <c r="I379" i="8"/>
  <c r="I415" i="8"/>
  <c r="I441" i="8"/>
  <c r="I499" i="8"/>
  <c r="I116" i="8"/>
  <c r="I212" i="8"/>
  <c r="I294" i="8"/>
  <c r="I363" i="8"/>
  <c r="I429" i="8"/>
  <c r="I488" i="8"/>
  <c r="I165" i="8"/>
  <c r="I258" i="8"/>
  <c r="I368" i="8"/>
  <c r="I462" i="8"/>
  <c r="I475" i="8"/>
  <c r="I69" i="8"/>
  <c r="I295" i="8"/>
  <c r="I436" i="8"/>
  <c r="I45" i="8"/>
  <c r="I93" i="8"/>
  <c r="I141" i="8"/>
  <c r="I189" i="8"/>
  <c r="I236" i="8"/>
  <c r="I279" i="8"/>
  <c r="I316" i="8"/>
  <c r="I353" i="8"/>
  <c r="I380" i="8"/>
  <c r="I416" i="8"/>
  <c r="I450" i="8"/>
  <c r="I476" i="8"/>
  <c r="I56" i="8"/>
  <c r="I104" i="8"/>
  <c r="I152" i="8"/>
  <c r="I200" i="8"/>
  <c r="I246" i="8"/>
  <c r="I280" i="8"/>
  <c r="I317" i="8"/>
  <c r="I354" i="8"/>
  <c r="I390" i="8"/>
  <c r="I417" i="8"/>
  <c r="I451" i="8"/>
  <c r="I477" i="8"/>
  <c r="I65" i="8"/>
  <c r="I113" i="8"/>
  <c r="I161" i="8"/>
  <c r="I209" i="8"/>
  <c r="I249" i="8"/>
  <c r="I285" i="8"/>
  <c r="I318" i="8"/>
  <c r="I355" i="8"/>
  <c r="I392" i="8"/>
  <c r="I423" i="8"/>
  <c r="I453" i="8"/>
  <c r="I482" i="8"/>
  <c r="I66" i="8"/>
  <c r="I114" i="8"/>
  <c r="I162" i="8"/>
  <c r="I210" i="8"/>
  <c r="I255" i="8"/>
  <c r="I292" i="8"/>
  <c r="I319" i="8"/>
  <c r="I356" i="8"/>
  <c r="I393" i="8"/>
  <c r="I424" i="8"/>
  <c r="I459" i="8"/>
  <c r="I483" i="8"/>
  <c r="I67" i="8"/>
  <c r="I115" i="8"/>
  <c r="I163" i="8"/>
  <c r="I211" i="8"/>
  <c r="I256" i="8"/>
  <c r="I293" i="8"/>
  <c r="I329" i="8"/>
  <c r="I357" i="8"/>
  <c r="I399" i="8"/>
  <c r="I428" i="8"/>
  <c r="I460" i="8"/>
  <c r="I487" i="8"/>
  <c r="I68" i="8"/>
  <c r="I164" i="8"/>
  <c r="I257" i="8"/>
  <c r="I331" i="8"/>
  <c r="I400" i="8"/>
  <c r="I461" i="8"/>
  <c r="I117" i="8"/>
  <c r="I213" i="8"/>
  <c r="I332" i="8"/>
  <c r="I401" i="8"/>
  <c r="I494" i="8"/>
  <c r="E1" i="8"/>
  <c r="I21" i="8"/>
  <c r="G2" i="8"/>
  <c r="G3" i="8"/>
  <c r="G15" i="8"/>
  <c r="G27" i="8"/>
  <c r="G39" i="8"/>
  <c r="G51" i="8"/>
  <c r="G63" i="8"/>
  <c r="G75" i="8"/>
  <c r="G87" i="8"/>
  <c r="G99" i="8"/>
  <c r="G111" i="8"/>
  <c r="G123" i="8"/>
  <c r="G135" i="8"/>
  <c r="G147" i="8"/>
  <c r="G159" i="8"/>
  <c r="G171" i="8"/>
  <c r="G183" i="8"/>
  <c r="G195" i="8"/>
  <c r="G207" i="8"/>
  <c r="G219" i="8"/>
  <c r="G231" i="8"/>
  <c r="G243" i="8"/>
  <c r="G255" i="8"/>
  <c r="G267" i="8"/>
  <c r="G279" i="8"/>
  <c r="G291" i="8"/>
  <c r="G303" i="8"/>
  <c r="G315" i="8"/>
  <c r="G327" i="8"/>
  <c r="G339" i="8"/>
  <c r="G351" i="8"/>
  <c r="G363" i="8"/>
  <c r="G375" i="8"/>
  <c r="G387" i="8"/>
  <c r="G399" i="8"/>
  <c r="G411" i="8"/>
  <c r="G423" i="8"/>
  <c r="G435" i="8"/>
  <c r="G447" i="8"/>
  <c r="G459" i="8"/>
  <c r="G471" i="8"/>
  <c r="G483" i="8"/>
  <c r="G495" i="8"/>
  <c r="G244" i="8"/>
  <c r="G292" i="8"/>
  <c r="G316" i="8"/>
  <c r="G340" i="8"/>
  <c r="G364" i="8"/>
  <c r="G388" i="8"/>
  <c r="G412" i="8"/>
  <c r="G436" i="8"/>
  <c r="G460" i="8"/>
  <c r="G484" i="8"/>
  <c r="G114" i="8"/>
  <c r="G174" i="8"/>
  <c r="G198" i="8"/>
  <c r="G222" i="8"/>
  <c r="G246" i="8"/>
  <c r="G270" i="8"/>
  <c r="G306" i="8"/>
  <c r="G330" i="8"/>
  <c r="G354" i="8"/>
  <c r="G378" i="8"/>
  <c r="G402" i="8"/>
  <c r="G426" i="8"/>
  <c r="G450" i="8"/>
  <c r="G474" i="8"/>
  <c r="G498" i="8"/>
  <c r="G19" i="8"/>
  <c r="G43" i="8"/>
  <c r="G67" i="8"/>
  <c r="G91" i="8"/>
  <c r="G115" i="8"/>
  <c r="G139" i="8"/>
  <c r="G175" i="8"/>
  <c r="G199" i="8"/>
  <c r="G223" i="8"/>
  <c r="G259" i="8"/>
  <c r="G295" i="8"/>
  <c r="G331" i="8"/>
  <c r="G367" i="8"/>
  <c r="G403" i="8"/>
  <c r="G439" i="8"/>
  <c r="G463" i="8"/>
  <c r="G349" i="8"/>
  <c r="G445" i="8"/>
  <c r="G4" i="8"/>
  <c r="G16" i="8"/>
  <c r="G28" i="8"/>
  <c r="G40" i="8"/>
  <c r="G52" i="8"/>
  <c r="G64" i="8"/>
  <c r="G76" i="8"/>
  <c r="G88" i="8"/>
  <c r="G100" i="8"/>
  <c r="G112" i="8"/>
  <c r="G124" i="8"/>
  <c r="G136" i="8"/>
  <c r="G148" i="8"/>
  <c r="G160" i="8"/>
  <c r="G172" i="8"/>
  <c r="G184" i="8"/>
  <c r="G196" i="8"/>
  <c r="G208" i="8"/>
  <c r="G220" i="8"/>
  <c r="G232" i="8"/>
  <c r="G256" i="8"/>
  <c r="G268" i="8"/>
  <c r="G280" i="8"/>
  <c r="G304" i="8"/>
  <c r="G328" i="8"/>
  <c r="G352" i="8"/>
  <c r="G376" i="8"/>
  <c r="G400" i="8"/>
  <c r="G424" i="8"/>
  <c r="G448" i="8"/>
  <c r="G472" i="8"/>
  <c r="G496" i="8"/>
  <c r="G126" i="8"/>
  <c r="G162" i="8"/>
  <c r="G186" i="8"/>
  <c r="G210" i="8"/>
  <c r="G234" i="8"/>
  <c r="G258" i="8"/>
  <c r="G282" i="8"/>
  <c r="G318" i="8"/>
  <c r="G342" i="8"/>
  <c r="G366" i="8"/>
  <c r="G390" i="8"/>
  <c r="G414" i="8"/>
  <c r="G438" i="8"/>
  <c r="G462" i="8"/>
  <c r="G486" i="8"/>
  <c r="G7" i="8"/>
  <c r="G55" i="8"/>
  <c r="G79" i="8"/>
  <c r="G103" i="8"/>
  <c r="G127" i="8"/>
  <c r="G163" i="8"/>
  <c r="G187" i="8"/>
  <c r="G211" i="8"/>
  <c r="G235" i="8"/>
  <c r="G283" i="8"/>
  <c r="G307" i="8"/>
  <c r="G343" i="8"/>
  <c r="G379" i="8"/>
  <c r="G415" i="8"/>
  <c r="G451" i="8"/>
  <c r="G487" i="8"/>
  <c r="G385" i="8"/>
  <c r="G481" i="8"/>
  <c r="G50" i="8"/>
  <c r="G5" i="8"/>
  <c r="G17" i="8"/>
  <c r="G29" i="8"/>
  <c r="G41" i="8"/>
  <c r="G53" i="8"/>
  <c r="G65" i="8"/>
  <c r="G77" i="8"/>
  <c r="G89" i="8"/>
  <c r="G101" i="8"/>
  <c r="G113" i="8"/>
  <c r="G125" i="8"/>
  <c r="G137" i="8"/>
  <c r="G149" i="8"/>
  <c r="G161" i="8"/>
  <c r="G173" i="8"/>
  <c r="G185" i="8"/>
  <c r="G197" i="8"/>
  <c r="G209" i="8"/>
  <c r="G221" i="8"/>
  <c r="G233" i="8"/>
  <c r="G245" i="8"/>
  <c r="G257" i="8"/>
  <c r="G269" i="8"/>
  <c r="G281" i="8"/>
  <c r="G293" i="8"/>
  <c r="G305" i="8"/>
  <c r="G317" i="8"/>
  <c r="G329" i="8"/>
  <c r="G341" i="8"/>
  <c r="G353" i="8"/>
  <c r="G365" i="8"/>
  <c r="G377" i="8"/>
  <c r="G389" i="8"/>
  <c r="G401" i="8"/>
  <c r="G413" i="8"/>
  <c r="G425" i="8"/>
  <c r="G437" i="8"/>
  <c r="G449" i="8"/>
  <c r="G461" i="8"/>
  <c r="G473" i="8"/>
  <c r="G485" i="8"/>
  <c r="G497" i="8"/>
  <c r="G6" i="8"/>
  <c r="G18" i="8"/>
  <c r="G30" i="8"/>
  <c r="G42" i="8"/>
  <c r="G54" i="8"/>
  <c r="G66" i="8"/>
  <c r="G78" i="8"/>
  <c r="G90" i="8"/>
  <c r="G102" i="8"/>
  <c r="G138" i="8"/>
  <c r="G150" i="8"/>
  <c r="G294" i="8"/>
  <c r="G271" i="8"/>
  <c r="G391" i="8"/>
  <c r="G475" i="8"/>
  <c r="G373" i="8"/>
  <c r="G457" i="8"/>
  <c r="G74" i="8"/>
  <c r="G31" i="8"/>
  <c r="G151" i="8"/>
  <c r="G247" i="8"/>
  <c r="G319" i="8"/>
  <c r="G355" i="8"/>
  <c r="G427" i="8"/>
  <c r="G499" i="8"/>
  <c r="G409" i="8"/>
  <c r="G493" i="8"/>
  <c r="G86" i="8"/>
  <c r="G8" i="8"/>
  <c r="G20" i="8"/>
  <c r="G32" i="8"/>
  <c r="G44" i="8"/>
  <c r="G56" i="8"/>
  <c r="G68" i="8"/>
  <c r="G80" i="8"/>
  <c r="G92" i="8"/>
  <c r="G104" i="8"/>
  <c r="G116" i="8"/>
  <c r="G128" i="8"/>
  <c r="G140" i="8"/>
  <c r="G152" i="8"/>
  <c r="G164" i="8"/>
  <c r="G176" i="8"/>
  <c r="G188" i="8"/>
  <c r="G200" i="8"/>
  <c r="G212" i="8"/>
  <c r="G224" i="8"/>
  <c r="G236" i="8"/>
  <c r="G248" i="8"/>
  <c r="G260" i="8"/>
  <c r="G272" i="8"/>
  <c r="G284" i="8"/>
  <c r="G296" i="8"/>
  <c r="G308" i="8"/>
  <c r="G320" i="8"/>
  <c r="G332" i="8"/>
  <c r="G344" i="8"/>
  <c r="G356" i="8"/>
  <c r="G368" i="8"/>
  <c r="G380" i="8"/>
  <c r="G392" i="8"/>
  <c r="G404" i="8"/>
  <c r="G416" i="8"/>
  <c r="G428" i="8"/>
  <c r="G440" i="8"/>
  <c r="G452" i="8"/>
  <c r="G464" i="8"/>
  <c r="G476" i="8"/>
  <c r="G488" i="8"/>
  <c r="G500" i="8"/>
  <c r="G177" i="8"/>
  <c r="G273" i="8"/>
  <c r="G309" i="8"/>
  <c r="G333" i="8"/>
  <c r="G357" i="8"/>
  <c r="G381" i="8"/>
  <c r="G405" i="8"/>
  <c r="G429" i="8"/>
  <c r="G453" i="8"/>
  <c r="G477" i="8"/>
  <c r="G501" i="8"/>
  <c r="G324" i="8"/>
  <c r="G372" i="8"/>
  <c r="G420" i="8"/>
  <c r="G456" i="8"/>
  <c r="G25" i="8"/>
  <c r="G109" i="8"/>
  <c r="G157" i="8"/>
  <c r="G205" i="8"/>
  <c r="G265" i="8"/>
  <c r="G313" i="8"/>
  <c r="G421" i="8"/>
  <c r="G62" i="8"/>
  <c r="G122" i="8"/>
  <c r="G158" i="8"/>
  <c r="G9" i="8"/>
  <c r="G21" i="8"/>
  <c r="G33" i="8"/>
  <c r="G45" i="8"/>
  <c r="G57" i="8"/>
  <c r="G69" i="8"/>
  <c r="G81" i="8"/>
  <c r="G93" i="8"/>
  <c r="G105" i="8"/>
  <c r="G117" i="8"/>
  <c r="G129" i="8"/>
  <c r="G141" i="8"/>
  <c r="G153" i="8"/>
  <c r="G165" i="8"/>
  <c r="G189" i="8"/>
  <c r="G201" i="8"/>
  <c r="G213" i="8"/>
  <c r="G225" i="8"/>
  <c r="G237" i="8"/>
  <c r="G249" i="8"/>
  <c r="G261" i="8"/>
  <c r="G285" i="8"/>
  <c r="G297" i="8"/>
  <c r="G321" i="8"/>
  <c r="G345" i="8"/>
  <c r="G369" i="8"/>
  <c r="G393" i="8"/>
  <c r="G417" i="8"/>
  <c r="G441" i="8"/>
  <c r="G465" i="8"/>
  <c r="G489" i="8"/>
  <c r="G300" i="8"/>
  <c r="G348" i="8"/>
  <c r="G396" i="8"/>
  <c r="G444" i="8"/>
  <c r="G492" i="8"/>
  <c r="G61" i="8"/>
  <c r="G73" i="8"/>
  <c r="G121" i="8"/>
  <c r="G181" i="8"/>
  <c r="G229" i="8"/>
  <c r="G289" i="8"/>
  <c r="G361" i="8"/>
  <c r="G469" i="8"/>
  <c r="G98" i="8"/>
  <c r="G146" i="8"/>
  <c r="G10" i="8"/>
  <c r="G22" i="8"/>
  <c r="G34" i="8"/>
  <c r="G46" i="8"/>
  <c r="G58" i="8"/>
  <c r="G70" i="8"/>
  <c r="G82" i="8"/>
  <c r="G94" i="8"/>
  <c r="G106" i="8"/>
  <c r="G118" i="8"/>
  <c r="G130" i="8"/>
  <c r="G142" i="8"/>
  <c r="G154" i="8"/>
  <c r="G166" i="8"/>
  <c r="G178" i="8"/>
  <c r="G190" i="8"/>
  <c r="G202" i="8"/>
  <c r="G214" i="8"/>
  <c r="G226" i="8"/>
  <c r="G238" i="8"/>
  <c r="G250" i="8"/>
  <c r="G262" i="8"/>
  <c r="G274" i="8"/>
  <c r="G286" i="8"/>
  <c r="G298" i="8"/>
  <c r="G310" i="8"/>
  <c r="G322" i="8"/>
  <c r="G334" i="8"/>
  <c r="G346" i="8"/>
  <c r="G358" i="8"/>
  <c r="G370" i="8"/>
  <c r="G382" i="8"/>
  <c r="G394" i="8"/>
  <c r="G406" i="8"/>
  <c r="G418" i="8"/>
  <c r="G430" i="8"/>
  <c r="G442" i="8"/>
  <c r="G454" i="8"/>
  <c r="G466" i="8"/>
  <c r="G478" i="8"/>
  <c r="G490" i="8"/>
  <c r="G467" i="8"/>
  <c r="G491" i="8"/>
  <c r="G12" i="8"/>
  <c r="G48" i="8"/>
  <c r="G72" i="8"/>
  <c r="G96" i="8"/>
  <c r="G120" i="8"/>
  <c r="G144" i="8"/>
  <c r="G168" i="8"/>
  <c r="G192" i="8"/>
  <c r="G216" i="8"/>
  <c r="G240" i="8"/>
  <c r="G264" i="8"/>
  <c r="G288" i="8"/>
  <c r="G336" i="8"/>
  <c r="G384" i="8"/>
  <c r="G432" i="8"/>
  <c r="G480" i="8"/>
  <c r="G49" i="8"/>
  <c r="G85" i="8"/>
  <c r="G133" i="8"/>
  <c r="G169" i="8"/>
  <c r="G217" i="8"/>
  <c r="G253" i="8"/>
  <c r="G301" i="8"/>
  <c r="G397" i="8"/>
  <c r="G14" i="8"/>
  <c r="G110" i="8"/>
  <c r="G170" i="8"/>
  <c r="G11" i="8"/>
  <c r="G23" i="8"/>
  <c r="G35" i="8"/>
  <c r="G47" i="8"/>
  <c r="G59" i="8"/>
  <c r="G71" i="8"/>
  <c r="G83" i="8"/>
  <c r="G95" i="8"/>
  <c r="G107" i="8"/>
  <c r="G119" i="8"/>
  <c r="G131" i="8"/>
  <c r="G143" i="8"/>
  <c r="G155" i="8"/>
  <c r="G167" i="8"/>
  <c r="G179" i="8"/>
  <c r="G191" i="8"/>
  <c r="G203" i="8"/>
  <c r="G215" i="8"/>
  <c r="G227" i="8"/>
  <c r="G239" i="8"/>
  <c r="G251" i="8"/>
  <c r="G263" i="8"/>
  <c r="G275" i="8"/>
  <c r="G287" i="8"/>
  <c r="G299" i="8"/>
  <c r="G311" i="8"/>
  <c r="G323" i="8"/>
  <c r="G335" i="8"/>
  <c r="G347" i="8"/>
  <c r="G359" i="8"/>
  <c r="G371" i="8"/>
  <c r="G383" i="8"/>
  <c r="G395" i="8"/>
  <c r="G407" i="8"/>
  <c r="G419" i="8"/>
  <c r="G431" i="8"/>
  <c r="G443" i="8"/>
  <c r="G455" i="8"/>
  <c r="G479" i="8"/>
  <c r="G24" i="8"/>
  <c r="G36" i="8"/>
  <c r="G60" i="8"/>
  <c r="G84" i="8"/>
  <c r="G108" i="8"/>
  <c r="G132" i="8"/>
  <c r="G156" i="8"/>
  <c r="G180" i="8"/>
  <c r="G204" i="8"/>
  <c r="G228" i="8"/>
  <c r="G252" i="8"/>
  <c r="G276" i="8"/>
  <c r="G312" i="8"/>
  <c r="G360" i="8"/>
  <c r="G408" i="8"/>
  <c r="G468" i="8"/>
  <c r="G37" i="8"/>
  <c r="G97" i="8"/>
  <c r="G145" i="8"/>
  <c r="G193" i="8"/>
  <c r="G241" i="8"/>
  <c r="G277" i="8"/>
  <c r="G337" i="8"/>
  <c r="G433" i="8"/>
  <c r="G38" i="8"/>
  <c r="G134" i="8"/>
  <c r="G325" i="8"/>
  <c r="G13" i="8"/>
  <c r="G26" i="8"/>
  <c r="G314" i="8"/>
  <c r="G458" i="8"/>
  <c r="G182" i="8"/>
  <c r="G326" i="8"/>
  <c r="G470" i="8"/>
  <c r="G194" i="8"/>
  <c r="G338" i="8"/>
  <c r="G482" i="8"/>
  <c r="G206" i="8"/>
  <c r="G350" i="8"/>
  <c r="G494" i="8"/>
  <c r="G218" i="8"/>
  <c r="G362" i="8"/>
  <c r="G230" i="8"/>
  <c r="G374" i="8"/>
  <c r="G386" i="8"/>
  <c r="G254" i="8"/>
  <c r="G398" i="8"/>
  <c r="G410" i="8"/>
  <c r="G422" i="8"/>
  <c r="G302" i="8"/>
  <c r="G242" i="8"/>
  <c r="G266" i="8"/>
  <c r="G278" i="8"/>
  <c r="G290" i="8"/>
  <c r="G434" i="8"/>
  <c r="G446" i="8"/>
  <c r="C1" i="8"/>
  <c r="P11" i="8" l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P123" i="8" s="1"/>
  <c r="P124" i="8" s="1"/>
  <c r="P125" i="8" s="1"/>
  <c r="P126" i="8" s="1"/>
  <c r="P127" i="8" s="1"/>
  <c r="P128" i="8" s="1"/>
  <c r="P129" i="8" s="1"/>
  <c r="P130" i="8" s="1"/>
  <c r="P131" i="8" s="1"/>
  <c r="P132" i="8" s="1"/>
  <c r="P133" i="8" s="1"/>
  <c r="P134" i="8" s="1"/>
  <c r="P135" i="8" s="1"/>
  <c r="P136" i="8" s="1"/>
  <c r="P137" i="8" s="1"/>
  <c r="P138" i="8" s="1"/>
  <c r="P139" i="8" s="1"/>
  <c r="P140" i="8" s="1"/>
  <c r="P141" i="8" s="1"/>
  <c r="P142" i="8" s="1"/>
  <c r="P143" i="8" s="1"/>
  <c r="P144" i="8" s="1"/>
  <c r="P145" i="8" s="1"/>
  <c r="P146" i="8" s="1"/>
  <c r="P147" i="8" s="1"/>
  <c r="P148" i="8" s="1"/>
  <c r="P149" i="8" s="1"/>
  <c r="P150" i="8" s="1"/>
  <c r="P151" i="8" s="1"/>
  <c r="P152" i="8" s="1"/>
  <c r="P153" i="8" s="1"/>
  <c r="P154" i="8" s="1"/>
  <c r="P155" i="8" s="1"/>
  <c r="P156" i="8" s="1"/>
  <c r="P157" i="8" s="1"/>
  <c r="P158" i="8" s="1"/>
  <c r="P159" i="8" s="1"/>
  <c r="P160" i="8" s="1"/>
  <c r="P161" i="8" s="1"/>
  <c r="P162" i="8" s="1"/>
  <c r="P163" i="8" s="1"/>
  <c r="P164" i="8" s="1"/>
  <c r="P165" i="8" s="1"/>
  <c r="P166" i="8" s="1"/>
  <c r="P167" i="8" s="1"/>
  <c r="P168" i="8" s="1"/>
  <c r="P169" i="8" s="1"/>
  <c r="P170" i="8" s="1"/>
  <c r="P171" i="8" s="1"/>
  <c r="P172" i="8" s="1"/>
  <c r="P173" i="8" s="1"/>
  <c r="P174" i="8" s="1"/>
  <c r="P175" i="8" s="1"/>
  <c r="P176" i="8" s="1"/>
  <c r="P177" i="8" s="1"/>
  <c r="P178" i="8" s="1"/>
  <c r="P179" i="8" s="1"/>
  <c r="P180" i="8" s="1"/>
  <c r="P181" i="8" s="1"/>
  <c r="P182" i="8" s="1"/>
  <c r="P183" i="8" s="1"/>
  <c r="P184" i="8" s="1"/>
  <c r="P185" i="8" s="1"/>
  <c r="P186" i="8" s="1"/>
  <c r="P187" i="8" s="1"/>
  <c r="P188" i="8" s="1"/>
  <c r="P189" i="8" s="1"/>
  <c r="P190" i="8" s="1"/>
  <c r="P191" i="8" s="1"/>
  <c r="P192" i="8" s="1"/>
  <c r="P193" i="8" s="1"/>
  <c r="P194" i="8" s="1"/>
  <c r="P195" i="8" s="1"/>
  <c r="P196" i="8" s="1"/>
  <c r="P197" i="8" s="1"/>
  <c r="P198" i="8" s="1"/>
  <c r="P199" i="8" s="1"/>
  <c r="P200" i="8" s="1"/>
  <c r="P201" i="8" s="1"/>
  <c r="P202" i="8" s="1"/>
  <c r="P203" i="8" s="1"/>
  <c r="P204" i="8" s="1"/>
  <c r="P205" i="8" s="1"/>
  <c r="P206" i="8" s="1"/>
  <c r="P207" i="8" s="1"/>
  <c r="P208" i="8" s="1"/>
  <c r="P209" i="8" s="1"/>
  <c r="P210" i="8" s="1"/>
  <c r="P211" i="8" s="1"/>
  <c r="P212" i="8" s="1"/>
  <c r="P213" i="8" s="1"/>
  <c r="P214" i="8" s="1"/>
  <c r="P215" i="8" s="1"/>
  <c r="P216" i="8" s="1"/>
  <c r="P217" i="8" s="1"/>
  <c r="P218" i="8" s="1"/>
  <c r="P219" i="8" s="1"/>
  <c r="P220" i="8" s="1"/>
  <c r="P221" i="8" s="1"/>
  <c r="P222" i="8" s="1"/>
  <c r="P223" i="8" s="1"/>
  <c r="P224" i="8" s="1"/>
  <c r="P225" i="8" s="1"/>
  <c r="P226" i="8" s="1"/>
  <c r="P227" i="8" s="1"/>
  <c r="P228" i="8" s="1"/>
  <c r="P229" i="8" s="1"/>
  <c r="P230" i="8" s="1"/>
  <c r="P231" i="8" s="1"/>
  <c r="P232" i="8" s="1"/>
  <c r="P233" i="8" s="1"/>
  <c r="P234" i="8" s="1"/>
  <c r="P235" i="8" s="1"/>
  <c r="P236" i="8" s="1"/>
  <c r="P237" i="8" s="1"/>
  <c r="P238" i="8" s="1"/>
  <c r="P239" i="8" s="1"/>
  <c r="P240" i="8" s="1"/>
  <c r="P241" i="8" s="1"/>
  <c r="P242" i="8" s="1"/>
  <c r="P243" i="8" s="1"/>
  <c r="P244" i="8" s="1"/>
  <c r="P245" i="8" s="1"/>
  <c r="P246" i="8" s="1"/>
  <c r="P247" i="8" s="1"/>
  <c r="P248" i="8" s="1"/>
  <c r="P249" i="8" s="1"/>
  <c r="P250" i="8" s="1"/>
  <c r="P251" i="8" s="1"/>
  <c r="P252" i="8" s="1"/>
  <c r="P253" i="8" s="1"/>
  <c r="P254" i="8" s="1"/>
  <c r="P255" i="8" s="1"/>
  <c r="P256" i="8" s="1"/>
  <c r="P257" i="8" s="1"/>
  <c r="P258" i="8" s="1"/>
  <c r="P259" i="8" s="1"/>
  <c r="P260" i="8" s="1"/>
  <c r="P261" i="8" s="1"/>
  <c r="P262" i="8" s="1"/>
  <c r="P263" i="8" s="1"/>
  <c r="P264" i="8" s="1"/>
  <c r="P265" i="8" s="1"/>
  <c r="P266" i="8" s="1"/>
  <c r="P267" i="8" s="1"/>
  <c r="P268" i="8" s="1"/>
  <c r="P269" i="8" s="1"/>
  <c r="P270" i="8" s="1"/>
  <c r="P271" i="8" s="1"/>
  <c r="P272" i="8" s="1"/>
  <c r="P273" i="8" s="1"/>
  <c r="P274" i="8" s="1"/>
  <c r="P275" i="8" s="1"/>
  <c r="P276" i="8" s="1"/>
  <c r="P277" i="8" s="1"/>
  <c r="P278" i="8" s="1"/>
  <c r="P279" i="8" s="1"/>
  <c r="P280" i="8" s="1"/>
  <c r="P281" i="8" s="1"/>
  <c r="P282" i="8" s="1"/>
  <c r="P283" i="8" s="1"/>
  <c r="P284" i="8" s="1"/>
  <c r="P285" i="8" s="1"/>
  <c r="P286" i="8" s="1"/>
  <c r="P287" i="8" s="1"/>
  <c r="P288" i="8" s="1"/>
  <c r="P289" i="8" s="1"/>
  <c r="P290" i="8" s="1"/>
  <c r="P291" i="8" s="1"/>
  <c r="P292" i="8" s="1"/>
  <c r="P293" i="8" s="1"/>
  <c r="P294" i="8" s="1"/>
  <c r="P295" i="8" s="1"/>
  <c r="P296" i="8" s="1"/>
  <c r="P297" i="8" s="1"/>
  <c r="P298" i="8" s="1"/>
  <c r="P299" i="8" s="1"/>
  <c r="P300" i="8" s="1"/>
  <c r="P301" i="8" s="1"/>
  <c r="P302" i="8" s="1"/>
  <c r="P303" i="8" s="1"/>
  <c r="P304" i="8" s="1"/>
  <c r="P305" i="8" s="1"/>
  <c r="P306" i="8" s="1"/>
  <c r="P307" i="8" s="1"/>
  <c r="P308" i="8" s="1"/>
  <c r="P309" i="8" s="1"/>
  <c r="P310" i="8" s="1"/>
  <c r="P311" i="8" s="1"/>
  <c r="P312" i="8" s="1"/>
  <c r="P313" i="8" s="1"/>
  <c r="P314" i="8" s="1"/>
  <c r="P315" i="8" s="1"/>
  <c r="P316" i="8" s="1"/>
  <c r="P317" i="8" s="1"/>
  <c r="P318" i="8" s="1"/>
  <c r="P319" i="8" s="1"/>
  <c r="P320" i="8" s="1"/>
  <c r="P321" i="8" s="1"/>
  <c r="P322" i="8" s="1"/>
  <c r="P323" i="8" s="1"/>
  <c r="P324" i="8" s="1"/>
  <c r="P325" i="8" s="1"/>
  <c r="P326" i="8" s="1"/>
  <c r="P327" i="8" s="1"/>
  <c r="P328" i="8" s="1"/>
  <c r="P329" i="8" s="1"/>
  <c r="P330" i="8" s="1"/>
  <c r="P331" i="8" s="1"/>
  <c r="P332" i="8" s="1"/>
  <c r="P333" i="8" s="1"/>
  <c r="P334" i="8" s="1"/>
  <c r="P335" i="8" s="1"/>
  <c r="P336" i="8" s="1"/>
  <c r="P337" i="8" s="1"/>
  <c r="P338" i="8" s="1"/>
  <c r="P339" i="8" s="1"/>
  <c r="P340" i="8" s="1"/>
  <c r="P341" i="8" s="1"/>
  <c r="P342" i="8" s="1"/>
  <c r="P343" i="8" s="1"/>
  <c r="P344" i="8" s="1"/>
  <c r="P345" i="8" s="1"/>
  <c r="P346" i="8" s="1"/>
  <c r="P347" i="8" s="1"/>
  <c r="P348" i="8" s="1"/>
  <c r="P349" i="8" s="1"/>
  <c r="P350" i="8" s="1"/>
  <c r="P351" i="8" s="1"/>
  <c r="P352" i="8" s="1"/>
  <c r="P353" i="8" s="1"/>
  <c r="P354" i="8" s="1"/>
  <c r="P355" i="8" s="1"/>
  <c r="P356" i="8" s="1"/>
  <c r="P357" i="8" s="1"/>
  <c r="P358" i="8" s="1"/>
  <c r="P359" i="8" s="1"/>
  <c r="P360" i="8" s="1"/>
  <c r="P361" i="8" s="1"/>
  <c r="P362" i="8" s="1"/>
  <c r="P363" i="8" s="1"/>
  <c r="P364" i="8" s="1"/>
  <c r="P365" i="8" s="1"/>
  <c r="P366" i="8" s="1"/>
  <c r="P367" i="8" s="1"/>
  <c r="P368" i="8" s="1"/>
  <c r="P369" i="8" s="1"/>
  <c r="P370" i="8" s="1"/>
  <c r="P371" i="8" s="1"/>
  <c r="P372" i="8" s="1"/>
  <c r="P373" i="8" s="1"/>
  <c r="P374" i="8" s="1"/>
  <c r="P375" i="8" s="1"/>
  <c r="P376" i="8" s="1"/>
  <c r="P377" i="8" s="1"/>
  <c r="P378" i="8" s="1"/>
  <c r="P379" i="8" s="1"/>
  <c r="P380" i="8" s="1"/>
  <c r="P381" i="8" s="1"/>
  <c r="P382" i="8" s="1"/>
  <c r="P383" i="8" s="1"/>
  <c r="P384" i="8" s="1"/>
  <c r="P385" i="8" s="1"/>
  <c r="P386" i="8" s="1"/>
  <c r="P387" i="8" s="1"/>
  <c r="P388" i="8" s="1"/>
  <c r="P389" i="8" s="1"/>
  <c r="P390" i="8" s="1"/>
  <c r="P391" i="8" s="1"/>
  <c r="P392" i="8" s="1"/>
  <c r="P393" i="8" s="1"/>
  <c r="P394" i="8" s="1"/>
  <c r="P395" i="8" s="1"/>
  <c r="P396" i="8" s="1"/>
  <c r="P397" i="8" s="1"/>
  <c r="P398" i="8" s="1"/>
  <c r="P399" i="8" s="1"/>
  <c r="P400" i="8" s="1"/>
  <c r="P401" i="8" s="1"/>
  <c r="P402" i="8" s="1"/>
  <c r="P403" i="8" s="1"/>
  <c r="P404" i="8" s="1"/>
  <c r="P405" i="8" s="1"/>
  <c r="P406" i="8" s="1"/>
  <c r="P407" i="8" s="1"/>
  <c r="P408" i="8" s="1"/>
  <c r="P409" i="8" s="1"/>
  <c r="P410" i="8" s="1"/>
  <c r="P411" i="8" s="1"/>
  <c r="P412" i="8" s="1"/>
  <c r="P413" i="8" s="1"/>
  <c r="P414" i="8" s="1"/>
  <c r="P415" i="8" s="1"/>
  <c r="P416" i="8" s="1"/>
  <c r="P417" i="8" s="1"/>
  <c r="P418" i="8" s="1"/>
  <c r="P419" i="8" s="1"/>
  <c r="P420" i="8" s="1"/>
  <c r="P421" i="8" s="1"/>
  <c r="P422" i="8" s="1"/>
  <c r="P423" i="8" s="1"/>
  <c r="P424" i="8" s="1"/>
  <c r="P425" i="8" s="1"/>
  <c r="P426" i="8" s="1"/>
  <c r="P427" i="8" s="1"/>
  <c r="P428" i="8" s="1"/>
  <c r="P429" i="8" s="1"/>
  <c r="P430" i="8" s="1"/>
  <c r="P431" i="8" s="1"/>
  <c r="P432" i="8" s="1"/>
  <c r="P433" i="8" s="1"/>
  <c r="P434" i="8" s="1"/>
  <c r="P435" i="8" s="1"/>
  <c r="P436" i="8" s="1"/>
  <c r="P437" i="8" s="1"/>
  <c r="P438" i="8" s="1"/>
  <c r="P439" i="8" s="1"/>
  <c r="P440" i="8" s="1"/>
  <c r="P441" i="8" s="1"/>
  <c r="P442" i="8" s="1"/>
  <c r="P443" i="8" s="1"/>
  <c r="P444" i="8" s="1"/>
  <c r="P445" i="8" s="1"/>
  <c r="P446" i="8" s="1"/>
  <c r="P447" i="8" s="1"/>
  <c r="P448" i="8" s="1"/>
  <c r="P449" i="8" s="1"/>
  <c r="P450" i="8" s="1"/>
  <c r="P451" i="8" s="1"/>
  <c r="P452" i="8" s="1"/>
  <c r="P453" i="8" s="1"/>
  <c r="P454" i="8" s="1"/>
  <c r="P455" i="8" s="1"/>
  <c r="P456" i="8" s="1"/>
  <c r="P457" i="8" s="1"/>
  <c r="P458" i="8" s="1"/>
  <c r="P459" i="8" s="1"/>
  <c r="P460" i="8" s="1"/>
  <c r="P461" i="8" s="1"/>
  <c r="P462" i="8" s="1"/>
  <c r="P463" i="8" s="1"/>
  <c r="P464" i="8" s="1"/>
  <c r="P465" i="8" s="1"/>
  <c r="P466" i="8" s="1"/>
  <c r="P467" i="8" s="1"/>
  <c r="P468" i="8" s="1"/>
  <c r="P469" i="8" s="1"/>
  <c r="P470" i="8" s="1"/>
  <c r="P471" i="8" s="1"/>
  <c r="P472" i="8" s="1"/>
  <c r="P473" i="8" s="1"/>
  <c r="P474" i="8" s="1"/>
  <c r="P475" i="8" s="1"/>
  <c r="P476" i="8" s="1"/>
  <c r="P477" i="8" s="1"/>
  <c r="P478" i="8" s="1"/>
  <c r="P479" i="8" s="1"/>
  <c r="P480" i="8" s="1"/>
  <c r="P481" i="8" s="1"/>
  <c r="P482" i="8" s="1"/>
  <c r="P483" i="8" s="1"/>
  <c r="P484" i="8" s="1"/>
  <c r="P485" i="8" s="1"/>
  <c r="P486" i="8" s="1"/>
  <c r="P487" i="8" s="1"/>
  <c r="P488" i="8" s="1"/>
  <c r="P489" i="8" s="1"/>
  <c r="P490" i="8" s="1"/>
  <c r="P491" i="8" s="1"/>
  <c r="P492" i="8" s="1"/>
  <c r="P493" i="8" s="1"/>
  <c r="P494" i="8" s="1"/>
  <c r="P495" i="8" s="1"/>
  <c r="P496" i="8" s="1"/>
  <c r="P497" i="8" s="1"/>
  <c r="P498" i="8" s="1"/>
  <c r="P499" i="8" s="1"/>
  <c r="P500" i="8" s="1"/>
  <c r="P501" i="8" s="1"/>
  <c r="L180" i="8"/>
  <c r="L274" i="8"/>
  <c r="AI5" i="8"/>
  <c r="AJ4" i="8"/>
  <c r="AJ3" i="8"/>
  <c r="AF3" i="8"/>
  <c r="X427" i="8"/>
  <c r="Y427" i="8"/>
  <c r="X189" i="8"/>
  <c r="Y189" i="8"/>
  <c r="X360" i="8"/>
  <c r="Y360" i="8"/>
  <c r="X106" i="8"/>
  <c r="Y106" i="8"/>
  <c r="X296" i="8"/>
  <c r="Y296" i="8"/>
  <c r="X69" i="8"/>
  <c r="Y69" i="8"/>
  <c r="X63" i="8"/>
  <c r="Y63" i="8"/>
  <c r="X454" i="8"/>
  <c r="Y454" i="8"/>
  <c r="X324" i="8"/>
  <c r="Y324" i="8"/>
  <c r="X337" i="8"/>
  <c r="Y337" i="8"/>
  <c r="X401" i="8"/>
  <c r="Y401" i="8"/>
  <c r="X93" i="8"/>
  <c r="Y93" i="8"/>
  <c r="X368" i="8"/>
  <c r="Y368" i="8"/>
  <c r="X286" i="8"/>
  <c r="Y286" i="8"/>
  <c r="X200" i="8"/>
  <c r="Y200" i="8"/>
  <c r="X108" i="8"/>
  <c r="Y108" i="8"/>
  <c r="X145" i="8"/>
  <c r="Y145" i="8"/>
  <c r="X480" i="8"/>
  <c r="Y480" i="8"/>
  <c r="X217" i="8"/>
  <c r="Y217" i="8"/>
  <c r="X333" i="8"/>
  <c r="Y333" i="8"/>
  <c r="X398" i="8"/>
  <c r="Y398" i="8"/>
  <c r="X72" i="8"/>
  <c r="Y72" i="8"/>
  <c r="X383" i="8"/>
  <c r="Y383" i="8"/>
  <c r="X298" i="8"/>
  <c r="Y298" i="8"/>
  <c r="X488" i="8"/>
  <c r="Y488" i="8"/>
  <c r="X343" i="8"/>
  <c r="Y343" i="8"/>
  <c r="X309" i="8"/>
  <c r="Y309" i="8"/>
  <c r="X82" i="8"/>
  <c r="Y82" i="8"/>
  <c r="X386" i="8"/>
  <c r="Y386" i="8"/>
  <c r="X132" i="8"/>
  <c r="Y132" i="8"/>
  <c r="X113" i="8"/>
  <c r="Y113" i="8"/>
  <c r="X474" i="8"/>
  <c r="Y474" i="8"/>
  <c r="X66" i="8"/>
  <c r="Y66" i="8"/>
  <c r="X268" i="8"/>
  <c r="Y268" i="8"/>
  <c r="X411" i="8"/>
  <c r="Y411" i="8"/>
  <c r="X288" i="8"/>
  <c r="Y288" i="8"/>
  <c r="X164" i="8"/>
  <c r="Y164" i="8"/>
  <c r="X147" i="8"/>
  <c r="Y147" i="8"/>
  <c r="X59" i="8"/>
  <c r="Y59" i="8"/>
  <c r="X107" i="8"/>
  <c r="Y107" i="8"/>
  <c r="X447" i="8"/>
  <c r="Y447" i="8"/>
  <c r="X179" i="8"/>
  <c r="Y179" i="8"/>
  <c r="X253" i="8"/>
  <c r="Y253" i="8"/>
  <c r="X321" i="8"/>
  <c r="Y321" i="8"/>
  <c r="X494" i="8"/>
  <c r="Y494" i="8"/>
  <c r="X348" i="8"/>
  <c r="Y348" i="8"/>
  <c r="X250" i="8"/>
  <c r="Y250" i="8"/>
  <c r="X392" i="8"/>
  <c r="Y392" i="8"/>
  <c r="X310" i="8"/>
  <c r="Y310" i="8"/>
  <c r="X276" i="8"/>
  <c r="Y276" i="8"/>
  <c r="X62" i="8"/>
  <c r="Y62" i="8"/>
  <c r="X371" i="8"/>
  <c r="Y371" i="8"/>
  <c r="X169" i="8"/>
  <c r="Y169" i="8"/>
  <c r="X394" i="8"/>
  <c r="Y394" i="8"/>
  <c r="X86" i="8"/>
  <c r="Y86" i="8"/>
  <c r="X327" i="8"/>
  <c r="Y327" i="8"/>
  <c r="X49" i="8"/>
  <c r="Y49" i="8"/>
  <c r="X263" i="8"/>
  <c r="Y263" i="8"/>
  <c r="X421" i="8"/>
  <c r="Y421" i="8"/>
  <c r="X47" i="8"/>
  <c r="Y47" i="8"/>
  <c r="X291" i="8"/>
  <c r="Y291" i="8"/>
  <c r="X322" i="8"/>
  <c r="Y322" i="8"/>
  <c r="X116" i="8"/>
  <c r="Y116" i="8"/>
  <c r="X91" i="8"/>
  <c r="Y91" i="8"/>
  <c r="X246" i="8"/>
  <c r="Y246" i="8"/>
  <c r="X389" i="8"/>
  <c r="Y389" i="8"/>
  <c r="X245" i="8"/>
  <c r="Y245" i="8"/>
  <c r="X101" i="8"/>
  <c r="Y101" i="8"/>
  <c r="X199" i="8"/>
  <c r="Y199" i="8"/>
  <c r="X450" i="8"/>
  <c r="Y450" i="8"/>
  <c r="X210" i="8"/>
  <c r="Y210" i="8"/>
  <c r="X54" i="8"/>
  <c r="Y54" i="8"/>
  <c r="X400" i="8"/>
  <c r="Y400" i="8"/>
  <c r="X256" i="8"/>
  <c r="Y256" i="8"/>
  <c r="X215" i="8"/>
  <c r="Y215" i="8"/>
  <c r="X244" i="8"/>
  <c r="Y244" i="8"/>
  <c r="X255" i="8"/>
  <c r="Y255" i="8"/>
  <c r="X75" i="8"/>
  <c r="Y75" i="8"/>
  <c r="X35" i="8"/>
  <c r="Y35" i="8"/>
  <c r="X22" i="8"/>
  <c r="Y22" i="8"/>
  <c r="X492" i="8"/>
  <c r="Y492" i="8"/>
  <c r="X20" i="8"/>
  <c r="Y20" i="8"/>
  <c r="X336" i="8"/>
  <c r="Y336" i="8"/>
  <c r="X445" i="8"/>
  <c r="Y445" i="8"/>
  <c r="X128" i="8"/>
  <c r="Y128" i="8"/>
  <c r="X202" i="8"/>
  <c r="Y202" i="8"/>
  <c r="X396" i="8"/>
  <c r="Y396" i="8"/>
  <c r="X271" i="8"/>
  <c r="Y271" i="8"/>
  <c r="X122" i="8"/>
  <c r="Y122" i="8"/>
  <c r="X278" i="8"/>
  <c r="Y278" i="8"/>
  <c r="X262" i="8"/>
  <c r="Y262" i="8"/>
  <c r="X242" i="8"/>
  <c r="Y242" i="8"/>
  <c r="X26" i="8"/>
  <c r="Y26" i="8"/>
  <c r="X338" i="8"/>
  <c r="Y338" i="8"/>
  <c r="X133" i="8"/>
  <c r="Y133" i="8"/>
  <c r="X346" i="8"/>
  <c r="Y346" i="8"/>
  <c r="X50" i="8"/>
  <c r="Y50" i="8"/>
  <c r="X279" i="8"/>
  <c r="Y279" i="8"/>
  <c r="X470" i="8"/>
  <c r="Y470" i="8"/>
  <c r="X192" i="8"/>
  <c r="Y192" i="8"/>
  <c r="X391" i="8"/>
  <c r="Y391" i="8"/>
  <c r="X501" i="8"/>
  <c r="Y501" i="8"/>
  <c r="X481" i="8"/>
  <c r="Y481" i="8"/>
  <c r="X289" i="8"/>
  <c r="Y289" i="8"/>
  <c r="X80" i="8"/>
  <c r="Y80" i="8"/>
  <c r="X19" i="8"/>
  <c r="Y19" i="8"/>
  <c r="X18" i="8"/>
  <c r="Y18" i="8"/>
  <c r="X365" i="8"/>
  <c r="Y365" i="8"/>
  <c r="X221" i="8"/>
  <c r="Y221" i="8"/>
  <c r="X77" i="8"/>
  <c r="Y77" i="8"/>
  <c r="X163" i="8"/>
  <c r="Y163" i="8"/>
  <c r="X426" i="8"/>
  <c r="Y426" i="8"/>
  <c r="X186" i="8"/>
  <c r="Y186" i="8"/>
  <c r="X30" i="8"/>
  <c r="Y30" i="8"/>
  <c r="X376" i="8"/>
  <c r="Y376" i="8"/>
  <c r="X232" i="8"/>
  <c r="Y232" i="8"/>
  <c r="X88" i="8"/>
  <c r="Y88" i="8"/>
  <c r="X130" i="8"/>
  <c r="Y130" i="8"/>
  <c r="X465" i="8"/>
  <c r="Y465" i="8"/>
  <c r="X459" i="8"/>
  <c r="Y459" i="8"/>
  <c r="X266" i="8"/>
  <c r="Y266" i="8"/>
  <c r="X37" i="8"/>
  <c r="Y37" i="8"/>
  <c r="X319" i="8"/>
  <c r="Y319" i="8"/>
  <c r="X34" i="8"/>
  <c r="Y34" i="8"/>
  <c r="X243" i="8"/>
  <c r="Y243" i="8"/>
  <c r="X10" i="8"/>
  <c r="Y10" i="8"/>
  <c r="X117" i="8"/>
  <c r="Y117" i="8"/>
  <c r="X14" i="8"/>
  <c r="Y14" i="8"/>
  <c r="X455" i="8"/>
  <c r="Y455" i="8"/>
  <c r="X358" i="8"/>
  <c r="Y358" i="8"/>
  <c r="X466" i="8"/>
  <c r="Y466" i="8"/>
  <c r="X60" i="8"/>
  <c r="Y60" i="8"/>
  <c r="X497" i="8"/>
  <c r="Y497" i="8"/>
  <c r="X209" i="8"/>
  <c r="Y209" i="8"/>
  <c r="X402" i="8"/>
  <c r="Y402" i="8"/>
  <c r="X6" i="8"/>
  <c r="Y6" i="8"/>
  <c r="X76" i="8"/>
  <c r="Y76" i="8"/>
  <c r="X490" i="8"/>
  <c r="Y490" i="8"/>
  <c r="X367" i="8"/>
  <c r="Y367" i="8"/>
  <c r="X429" i="8"/>
  <c r="Y429" i="8"/>
  <c r="X416" i="8"/>
  <c r="Y416" i="8"/>
  <c r="X369" i="8"/>
  <c r="Y369" i="8"/>
  <c r="X495" i="8"/>
  <c r="Y495" i="8"/>
  <c r="X182" i="8"/>
  <c r="Y182" i="8"/>
  <c r="X212" i="8"/>
  <c r="Y212" i="8"/>
  <c r="X206" i="8"/>
  <c r="Y206" i="8"/>
  <c r="X308" i="8"/>
  <c r="Y308" i="8"/>
  <c r="X283" i="8"/>
  <c r="Y283" i="8"/>
  <c r="X213" i="8"/>
  <c r="Y213" i="8"/>
  <c r="X120" i="8"/>
  <c r="Y120" i="8"/>
  <c r="X468" i="8"/>
  <c r="Y468" i="8"/>
  <c r="X259" i="8"/>
  <c r="Y259" i="8"/>
  <c r="X462" i="8"/>
  <c r="Y462" i="8"/>
  <c r="X341" i="8"/>
  <c r="Y341" i="8"/>
  <c r="X53" i="8"/>
  <c r="Y53" i="8"/>
  <c r="X378" i="8"/>
  <c r="Y378" i="8"/>
  <c r="X496" i="8"/>
  <c r="Y496" i="8"/>
  <c r="X64" i="8"/>
  <c r="Y64" i="8"/>
  <c r="X347" i="8"/>
  <c r="Y347" i="8"/>
  <c r="X287" i="8"/>
  <c r="Y287" i="8"/>
  <c r="X350" i="8"/>
  <c r="Y350" i="8"/>
  <c r="X382" i="8"/>
  <c r="Y382" i="8"/>
  <c r="X334" i="8"/>
  <c r="Y334" i="8"/>
  <c r="X431" i="8"/>
  <c r="Y431" i="8"/>
  <c r="X144" i="8"/>
  <c r="Y144" i="8"/>
  <c r="X176" i="8"/>
  <c r="Y176" i="8"/>
  <c r="X190" i="8"/>
  <c r="Y190" i="8"/>
  <c r="X290" i="8"/>
  <c r="Y290" i="8"/>
  <c r="X265" i="8"/>
  <c r="Y265" i="8"/>
  <c r="X177" i="8"/>
  <c r="Y177" i="8"/>
  <c r="X84" i="8"/>
  <c r="Y84" i="8"/>
  <c r="X453" i="8"/>
  <c r="Y453" i="8"/>
  <c r="X240" i="8"/>
  <c r="Y240" i="8"/>
  <c r="X414" i="8"/>
  <c r="Y414" i="8"/>
  <c r="X329" i="8"/>
  <c r="Y329" i="8"/>
  <c r="X41" i="8"/>
  <c r="Y41" i="8"/>
  <c r="X354" i="8"/>
  <c r="Y354" i="8"/>
  <c r="X484" i="8"/>
  <c r="Y484" i="8"/>
  <c r="X52" i="8"/>
  <c r="Y52" i="8"/>
  <c r="X299" i="8"/>
  <c r="Y299" i="8"/>
  <c r="X159" i="8"/>
  <c r="Y159" i="8"/>
  <c r="X349" i="8"/>
  <c r="Y349" i="8"/>
  <c r="X51" i="8"/>
  <c r="Y51" i="8"/>
  <c r="X332" i="8"/>
  <c r="Y332" i="8"/>
  <c r="X463" i="8"/>
  <c r="Y463" i="8"/>
  <c r="X297" i="8"/>
  <c r="Y297" i="8"/>
  <c r="X155" i="8"/>
  <c r="Y155" i="8"/>
  <c r="X467" i="8"/>
  <c r="Y467" i="8"/>
  <c r="X61" i="8"/>
  <c r="Y61" i="8"/>
  <c r="X456" i="8"/>
  <c r="Y456" i="8"/>
  <c r="X407" i="8"/>
  <c r="Y407" i="8"/>
  <c r="X227" i="8"/>
  <c r="Y227" i="8"/>
  <c r="X418" i="8"/>
  <c r="Y418" i="8"/>
  <c r="X8" i="8"/>
  <c r="Y8" i="8"/>
  <c r="X461" i="8"/>
  <c r="Y461" i="8"/>
  <c r="X173" i="8"/>
  <c r="Y173" i="8"/>
  <c r="X55" i="8"/>
  <c r="Y55" i="8"/>
  <c r="X126" i="8"/>
  <c r="Y126" i="8"/>
  <c r="X328" i="8"/>
  <c r="Y328" i="8"/>
  <c r="X184" i="8"/>
  <c r="Y184" i="8"/>
  <c r="X56" i="8"/>
  <c r="Y56" i="8"/>
  <c r="X123" i="8"/>
  <c r="Y123" i="8"/>
  <c r="X273" i="8"/>
  <c r="Y273" i="8"/>
  <c r="X267" i="8"/>
  <c r="Y267" i="8"/>
  <c r="X216" i="8"/>
  <c r="Y216" i="8"/>
  <c r="X320" i="8"/>
  <c r="Y320" i="8"/>
  <c r="X57" i="8"/>
  <c r="Y57" i="8"/>
  <c r="X104" i="8"/>
  <c r="Y104" i="8"/>
  <c r="X154" i="8"/>
  <c r="Y154" i="8"/>
  <c r="X260" i="8"/>
  <c r="Y260" i="8"/>
  <c r="X214" i="8"/>
  <c r="Y214" i="8"/>
  <c r="X141" i="8"/>
  <c r="Y141" i="8"/>
  <c r="X48" i="8"/>
  <c r="Y48" i="8"/>
  <c r="X420" i="8"/>
  <c r="Y420" i="8"/>
  <c r="X204" i="8"/>
  <c r="Y204" i="8"/>
  <c r="X366" i="8"/>
  <c r="Y366" i="8"/>
  <c r="X305" i="8"/>
  <c r="Y305" i="8"/>
  <c r="X17" i="8"/>
  <c r="Y17" i="8"/>
  <c r="X306" i="8"/>
  <c r="Y306" i="8"/>
  <c r="X460" i="8"/>
  <c r="Y460" i="8"/>
  <c r="X28" i="8"/>
  <c r="Y28" i="8"/>
  <c r="X415" i="8"/>
  <c r="Y415" i="8"/>
  <c r="X36" i="8"/>
  <c r="Y36" i="8"/>
  <c r="X237" i="8"/>
  <c r="Y237" i="8"/>
  <c r="X181" i="8"/>
  <c r="Y181" i="8"/>
  <c r="X87" i="8"/>
  <c r="Y87" i="8"/>
  <c r="X239" i="8"/>
  <c r="Y239" i="8"/>
  <c r="X15" i="8"/>
  <c r="Y15" i="8"/>
  <c r="X32" i="8"/>
  <c r="Y32" i="8"/>
  <c r="X134" i="8"/>
  <c r="Y134" i="8"/>
  <c r="X241" i="8"/>
  <c r="Y241" i="8"/>
  <c r="X194" i="8"/>
  <c r="Y194" i="8"/>
  <c r="X121" i="8"/>
  <c r="Y121" i="8"/>
  <c r="X12" i="8"/>
  <c r="Y12" i="8"/>
  <c r="X387" i="8"/>
  <c r="Y387" i="8"/>
  <c r="X188" i="8"/>
  <c r="Y188" i="8"/>
  <c r="X342" i="8"/>
  <c r="Y342" i="8"/>
  <c r="X293" i="8"/>
  <c r="Y293" i="8"/>
  <c r="X5" i="8"/>
  <c r="Y5" i="8"/>
  <c r="X282" i="8"/>
  <c r="Y282" i="8"/>
  <c r="X448" i="8"/>
  <c r="Y448" i="8"/>
  <c r="X16" i="8"/>
  <c r="Y16" i="8"/>
  <c r="X301" i="8"/>
  <c r="Y301" i="8"/>
  <c r="X38" i="8"/>
  <c r="Y38" i="8"/>
  <c r="X432" i="8"/>
  <c r="Y432" i="8"/>
  <c r="X351" i="8"/>
  <c r="Y351" i="8"/>
  <c r="X195" i="8"/>
  <c r="Y195" i="8"/>
  <c r="X236" i="8"/>
  <c r="Y236" i="8"/>
  <c r="X143" i="8"/>
  <c r="Y143" i="8"/>
  <c r="X380" i="8"/>
  <c r="Y380" i="8"/>
  <c r="X477" i="8"/>
  <c r="Y477" i="8"/>
  <c r="X74" i="8"/>
  <c r="Y74" i="8"/>
  <c r="X201" i="8"/>
  <c r="Y201" i="8"/>
  <c r="X458" i="8"/>
  <c r="Y458" i="8"/>
  <c r="X361" i="8"/>
  <c r="Y361" i="8"/>
  <c r="X193" i="8"/>
  <c r="Y193" i="8"/>
  <c r="X439" i="8"/>
  <c r="Y439" i="8"/>
  <c r="X405" i="8"/>
  <c r="Y405" i="8"/>
  <c r="X118" i="8"/>
  <c r="Y118" i="8"/>
  <c r="X419" i="8"/>
  <c r="Y419" i="8"/>
  <c r="X225" i="8"/>
  <c r="Y225" i="8"/>
  <c r="X9" i="8"/>
  <c r="Y9" i="8"/>
  <c r="X158" i="8"/>
  <c r="Y158" i="8"/>
  <c r="X408" i="8"/>
  <c r="Y408" i="8"/>
  <c r="X105" i="8"/>
  <c r="Y105" i="8"/>
  <c r="X344" i="8"/>
  <c r="Y344" i="8"/>
  <c r="X487" i="8"/>
  <c r="Y487" i="8"/>
  <c r="X99" i="8"/>
  <c r="Y99" i="8"/>
  <c r="X372" i="8"/>
  <c r="Y372" i="8"/>
  <c r="X370" i="8"/>
  <c r="Y370" i="8"/>
  <c r="X168" i="8"/>
  <c r="Y168" i="8"/>
  <c r="X151" i="8"/>
  <c r="Y151" i="8"/>
  <c r="X318" i="8"/>
  <c r="Y318" i="8"/>
  <c r="X425" i="8"/>
  <c r="Y425" i="8"/>
  <c r="X281" i="8"/>
  <c r="Y281" i="8"/>
  <c r="X137" i="8"/>
  <c r="Y137" i="8"/>
  <c r="X247" i="8"/>
  <c r="Y247" i="8"/>
  <c r="X7" i="8"/>
  <c r="Y7" i="8"/>
  <c r="X258" i="8"/>
  <c r="Y258" i="8"/>
  <c r="X90" i="8"/>
  <c r="Y90" i="8"/>
  <c r="X436" i="8"/>
  <c r="Y436" i="8"/>
  <c r="X292" i="8"/>
  <c r="Y292" i="8"/>
  <c r="X148" i="8"/>
  <c r="Y148" i="8"/>
  <c r="X4" i="8"/>
  <c r="Y4" i="8"/>
  <c r="X103" i="8"/>
  <c r="Y103" i="8"/>
  <c r="X270" i="8"/>
  <c r="Y270" i="8"/>
  <c r="X257" i="8"/>
  <c r="Y257" i="8"/>
  <c r="X211" i="8"/>
  <c r="Y211" i="8"/>
  <c r="X222" i="8"/>
  <c r="Y222" i="8"/>
  <c r="X412" i="8"/>
  <c r="Y412" i="8"/>
  <c r="X124" i="8"/>
  <c r="Y124" i="8"/>
  <c r="X112" i="8"/>
  <c r="Y112" i="8"/>
  <c r="X335" i="8"/>
  <c r="Y335" i="8"/>
  <c r="X111" i="8"/>
  <c r="Y111" i="8"/>
  <c r="X109" i="8"/>
  <c r="Y109" i="8"/>
  <c r="X21" i="8"/>
  <c r="Y21" i="8"/>
  <c r="X58" i="8"/>
  <c r="Y58" i="8"/>
  <c r="X381" i="8"/>
  <c r="Y381" i="8"/>
  <c r="X39" i="8"/>
  <c r="Y39" i="8"/>
  <c r="X166" i="8"/>
  <c r="Y166" i="8"/>
  <c r="X251" i="8"/>
  <c r="Y251" i="8"/>
  <c r="X430" i="8"/>
  <c r="Y430" i="8"/>
  <c r="X303" i="8"/>
  <c r="Y303" i="8"/>
  <c r="X178" i="8"/>
  <c r="Y178" i="8"/>
  <c r="X326" i="8"/>
  <c r="Y326" i="8"/>
  <c r="X295" i="8"/>
  <c r="Y295" i="8"/>
  <c r="X261" i="8"/>
  <c r="Y261" i="8"/>
  <c r="X46" i="8"/>
  <c r="Y46" i="8"/>
  <c r="X356" i="8"/>
  <c r="Y356" i="8"/>
  <c r="X153" i="8"/>
  <c r="Y153" i="8"/>
  <c r="X379" i="8"/>
  <c r="Y379" i="8"/>
  <c r="X70" i="8"/>
  <c r="Y70" i="8"/>
  <c r="X312" i="8"/>
  <c r="Y312" i="8"/>
  <c r="X13" i="8"/>
  <c r="Y13" i="8"/>
  <c r="X228" i="8"/>
  <c r="Y228" i="8"/>
  <c r="X406" i="8"/>
  <c r="Y406" i="8"/>
  <c r="X11" i="8"/>
  <c r="Y11" i="8"/>
  <c r="X499" i="8"/>
  <c r="Y499" i="8"/>
  <c r="X307" i="8"/>
  <c r="Y307" i="8"/>
  <c r="X96" i="8"/>
  <c r="Y96" i="8"/>
  <c r="X67" i="8"/>
  <c r="Y67" i="8"/>
  <c r="X174" i="8"/>
  <c r="Y174" i="8"/>
  <c r="X377" i="8"/>
  <c r="Y377" i="8"/>
  <c r="X233" i="8"/>
  <c r="Y233" i="8"/>
  <c r="X89" i="8"/>
  <c r="Y89" i="8"/>
  <c r="X175" i="8"/>
  <c r="Y175" i="8"/>
  <c r="X438" i="8"/>
  <c r="Y438" i="8"/>
  <c r="X198" i="8"/>
  <c r="Y198" i="8"/>
  <c r="X42" i="8"/>
  <c r="Y42" i="8"/>
  <c r="X388" i="8"/>
  <c r="Y388" i="8"/>
  <c r="X100" i="8"/>
  <c r="Y100" i="8"/>
  <c r="X443" i="8"/>
  <c r="Y443" i="8"/>
  <c r="X493" i="8"/>
  <c r="Y493" i="8"/>
  <c r="X457" i="8"/>
  <c r="Y457" i="8"/>
  <c r="X410" i="8"/>
  <c r="Y410" i="8"/>
  <c r="X73" i="8"/>
  <c r="Y73" i="8"/>
  <c r="X231" i="8"/>
  <c r="Y231" i="8"/>
  <c r="X248" i="8"/>
  <c r="Y248" i="8"/>
  <c r="X226" i="8"/>
  <c r="Y226" i="8"/>
  <c r="X323" i="8"/>
  <c r="Y323" i="8"/>
  <c r="X313" i="8"/>
  <c r="Y313" i="8"/>
  <c r="X249" i="8"/>
  <c r="Y249" i="8"/>
  <c r="X156" i="8"/>
  <c r="Y156" i="8"/>
  <c r="X483" i="8"/>
  <c r="Y483" i="8"/>
  <c r="X274" i="8"/>
  <c r="Y274" i="8"/>
  <c r="X498" i="8"/>
  <c r="Y498" i="8"/>
  <c r="X353" i="8"/>
  <c r="Y353" i="8"/>
  <c r="X65" i="8"/>
  <c r="Y65" i="8"/>
  <c r="X139" i="8"/>
  <c r="Y139" i="8"/>
  <c r="X162" i="8"/>
  <c r="Y162" i="8"/>
  <c r="X364" i="8"/>
  <c r="Y364" i="8"/>
  <c r="X220" i="8"/>
  <c r="Y220" i="8"/>
  <c r="X92" i="8"/>
  <c r="Y92" i="8"/>
  <c r="X397" i="8"/>
  <c r="Y397" i="8"/>
  <c r="X428" i="8"/>
  <c r="Y428" i="8"/>
  <c r="X180" i="8"/>
  <c r="Y180" i="8"/>
  <c r="X476" i="8"/>
  <c r="Y476" i="8"/>
  <c r="X238" i="8"/>
  <c r="Y238" i="8"/>
  <c r="X393" i="8"/>
  <c r="Y393" i="8"/>
  <c r="X207" i="8"/>
  <c r="Y207" i="8"/>
  <c r="X500" i="8"/>
  <c r="Y500" i="8"/>
  <c r="X97" i="8"/>
  <c r="Y97" i="8"/>
  <c r="X489" i="8"/>
  <c r="Y489" i="8"/>
  <c r="X440" i="8"/>
  <c r="Y440" i="8"/>
  <c r="X325" i="8"/>
  <c r="Y325" i="8"/>
  <c r="X451" i="8"/>
  <c r="Y451" i="8"/>
  <c r="X44" i="8"/>
  <c r="Y44" i="8"/>
  <c r="X485" i="8"/>
  <c r="Y485" i="8"/>
  <c r="X197" i="8"/>
  <c r="Y197" i="8"/>
  <c r="X115" i="8"/>
  <c r="Y115" i="8"/>
  <c r="X150" i="8"/>
  <c r="Y150" i="8"/>
  <c r="X352" i="8"/>
  <c r="Y352" i="8"/>
  <c r="X208" i="8"/>
  <c r="Y208" i="8"/>
  <c r="X478" i="8"/>
  <c r="Y478" i="8"/>
  <c r="X285" i="8"/>
  <c r="Y285" i="8"/>
  <c r="X384" i="8"/>
  <c r="Y384" i="8"/>
  <c r="X131" i="8"/>
  <c r="Y131" i="8"/>
  <c r="X399" i="8"/>
  <c r="Y399" i="8"/>
  <c r="X71" i="8"/>
  <c r="Y71" i="8"/>
  <c r="X345" i="8"/>
  <c r="Y345" i="8"/>
  <c r="X191" i="8"/>
  <c r="Y191" i="8"/>
  <c r="X482" i="8"/>
  <c r="Y482" i="8"/>
  <c r="X81" i="8"/>
  <c r="Y81" i="8"/>
  <c r="X471" i="8"/>
  <c r="Y471" i="8"/>
  <c r="X422" i="8"/>
  <c r="Y422" i="8"/>
  <c r="X277" i="8"/>
  <c r="Y277" i="8"/>
  <c r="X433" i="8"/>
  <c r="Y433" i="8"/>
  <c r="X24" i="8"/>
  <c r="Y24" i="8"/>
  <c r="X473" i="8"/>
  <c r="Y473" i="8"/>
  <c r="X185" i="8"/>
  <c r="Y185" i="8"/>
  <c r="X79" i="8"/>
  <c r="Y79" i="8"/>
  <c r="X138" i="8"/>
  <c r="Y138" i="8"/>
  <c r="X340" i="8"/>
  <c r="Y340" i="8"/>
  <c r="X196" i="8"/>
  <c r="Y196" i="8"/>
  <c r="X219" i="8"/>
  <c r="Y219" i="8"/>
  <c r="X165" i="8"/>
  <c r="Y165" i="8"/>
  <c r="X315" i="8"/>
  <c r="Y315" i="8"/>
  <c r="X302" i="8"/>
  <c r="Y302" i="8"/>
  <c r="X254" i="8"/>
  <c r="Y254" i="8"/>
  <c r="X362" i="8"/>
  <c r="Y362" i="8"/>
  <c r="X95" i="8"/>
  <c r="Y95" i="8"/>
  <c r="X140" i="8"/>
  <c r="Y140" i="8"/>
  <c r="X170" i="8"/>
  <c r="Y170" i="8"/>
  <c r="X275" i="8"/>
  <c r="Y275" i="8"/>
  <c r="X230" i="8"/>
  <c r="Y230" i="8"/>
  <c r="X157" i="8"/>
  <c r="Y157" i="8"/>
  <c r="X68" i="8"/>
  <c r="Y68" i="8"/>
  <c r="X435" i="8"/>
  <c r="Y435" i="8"/>
  <c r="X224" i="8"/>
  <c r="Y224" i="8"/>
  <c r="X390" i="8"/>
  <c r="Y390" i="8"/>
  <c r="X317" i="8"/>
  <c r="Y317" i="8"/>
  <c r="X29" i="8"/>
  <c r="Y29" i="8"/>
  <c r="X330" i="8"/>
  <c r="Y330" i="8"/>
  <c r="X472" i="8"/>
  <c r="Y472" i="8"/>
  <c r="X40" i="8"/>
  <c r="Y40" i="8"/>
  <c r="X167" i="8"/>
  <c r="Y167" i="8"/>
  <c r="X23" i="8"/>
  <c r="Y23" i="8"/>
  <c r="X314" i="8"/>
  <c r="Y314" i="8"/>
  <c r="X479" i="8"/>
  <c r="Y479" i="8"/>
  <c r="X252" i="8"/>
  <c r="Y252" i="8"/>
  <c r="X395" i="8"/>
  <c r="Y395" i="8"/>
  <c r="X264" i="8"/>
  <c r="Y264" i="8"/>
  <c r="X135" i="8"/>
  <c r="Y135" i="8"/>
  <c r="X452" i="8"/>
  <c r="Y452" i="8"/>
  <c r="X45" i="8"/>
  <c r="Y45" i="8"/>
  <c r="X441" i="8"/>
  <c r="Y441" i="8"/>
  <c r="X374" i="8"/>
  <c r="Y374" i="8"/>
  <c r="X171" i="8"/>
  <c r="Y171" i="8"/>
  <c r="X403" i="8"/>
  <c r="Y403" i="8"/>
  <c r="X235" i="8"/>
  <c r="Y235" i="8"/>
  <c r="X449" i="8"/>
  <c r="Y449" i="8"/>
  <c r="X161" i="8"/>
  <c r="Y161" i="8"/>
  <c r="X43" i="8"/>
  <c r="Y43" i="8"/>
  <c r="X114" i="8"/>
  <c r="Y114" i="8"/>
  <c r="X316" i="8"/>
  <c r="Y316" i="8"/>
  <c r="X172" i="8"/>
  <c r="Y172" i="8"/>
  <c r="X129" i="8"/>
  <c r="Y129" i="8"/>
  <c r="X464" i="8"/>
  <c r="Y464" i="8"/>
  <c r="X272" i="8"/>
  <c r="Y272" i="8"/>
  <c r="X446" i="8"/>
  <c r="Y446" i="8"/>
  <c r="X203" i="8"/>
  <c r="Y203" i="8"/>
  <c r="X491" i="8"/>
  <c r="Y491" i="8"/>
  <c r="X229" i="8"/>
  <c r="Y229" i="8"/>
  <c r="X27" i="8"/>
  <c r="Y27" i="8"/>
  <c r="X434" i="8"/>
  <c r="Y434" i="8"/>
  <c r="X25" i="8"/>
  <c r="Y25" i="8"/>
  <c r="X423" i="8"/>
  <c r="Y423" i="8"/>
  <c r="X359" i="8"/>
  <c r="Y359" i="8"/>
  <c r="X119" i="8"/>
  <c r="Y119" i="8"/>
  <c r="X385" i="8"/>
  <c r="Y385" i="8"/>
  <c r="X187" i="8"/>
  <c r="Y187" i="8"/>
  <c r="X437" i="8"/>
  <c r="Y437" i="8"/>
  <c r="X149" i="8"/>
  <c r="Y149" i="8"/>
  <c r="X31" i="8"/>
  <c r="Y31" i="8"/>
  <c r="X102" i="8"/>
  <c r="Y102" i="8"/>
  <c r="X304" i="8"/>
  <c r="Y304" i="8"/>
  <c r="X160" i="8"/>
  <c r="Y160" i="8"/>
  <c r="X218" i="8"/>
  <c r="Y218" i="8"/>
  <c r="X444" i="8"/>
  <c r="Y444" i="8"/>
  <c r="X363" i="8"/>
  <c r="Y363" i="8"/>
  <c r="X284" i="8"/>
  <c r="Y284" i="8"/>
  <c r="X146" i="8"/>
  <c r="Y146" i="8"/>
  <c r="X183" i="8"/>
  <c r="Y183" i="8"/>
  <c r="X94" i="8"/>
  <c r="Y94" i="8"/>
  <c r="X300" i="8"/>
  <c r="Y300" i="8"/>
  <c r="X409" i="8"/>
  <c r="Y409" i="8"/>
  <c r="X475" i="8"/>
  <c r="Y475" i="8"/>
  <c r="X110" i="8"/>
  <c r="Y110" i="8"/>
  <c r="X417" i="8"/>
  <c r="Y417" i="8"/>
  <c r="X331" i="8"/>
  <c r="Y331" i="8"/>
  <c r="X33" i="8"/>
  <c r="Y33" i="8"/>
  <c r="X373" i="8"/>
  <c r="Y373" i="8"/>
  <c r="X339" i="8"/>
  <c r="Y339" i="8"/>
  <c r="X98" i="8"/>
  <c r="Y98" i="8"/>
  <c r="X404" i="8"/>
  <c r="Y404" i="8"/>
  <c r="X205" i="8"/>
  <c r="Y205" i="8"/>
  <c r="X442" i="8"/>
  <c r="Y442" i="8"/>
  <c r="X142" i="8"/>
  <c r="Y142" i="8"/>
  <c r="X375" i="8"/>
  <c r="Y375" i="8"/>
  <c r="X85" i="8"/>
  <c r="Y85" i="8"/>
  <c r="X311" i="8"/>
  <c r="Y311" i="8"/>
  <c r="X469" i="8"/>
  <c r="Y469" i="8"/>
  <c r="X83" i="8"/>
  <c r="Y83" i="8"/>
  <c r="X357" i="8"/>
  <c r="Y357" i="8"/>
  <c r="X355" i="8"/>
  <c r="Y355" i="8"/>
  <c r="X152" i="8"/>
  <c r="Y152" i="8"/>
  <c r="X127" i="8"/>
  <c r="Y127" i="8"/>
  <c r="X294" i="8"/>
  <c r="Y294" i="8"/>
  <c r="X413" i="8"/>
  <c r="Y413" i="8"/>
  <c r="X269" i="8"/>
  <c r="Y269" i="8"/>
  <c r="X125" i="8"/>
  <c r="Y125" i="8"/>
  <c r="X223" i="8"/>
  <c r="Y223" i="8"/>
  <c r="X486" i="8"/>
  <c r="Y486" i="8"/>
  <c r="X234" i="8"/>
  <c r="Y234" i="8"/>
  <c r="X78" i="8"/>
  <c r="Y78" i="8"/>
  <c r="X424" i="8"/>
  <c r="Y424" i="8"/>
  <c r="X280" i="8"/>
  <c r="Y280" i="8"/>
  <c r="X136" i="8"/>
  <c r="Y136" i="8"/>
  <c r="X3" i="8"/>
  <c r="Y3" i="8"/>
  <c r="R14" i="8"/>
  <c r="T13" i="8"/>
  <c r="L262" i="8"/>
  <c r="L456" i="8"/>
  <c r="L430" i="8"/>
  <c r="L178" i="8"/>
  <c r="N499" i="8"/>
  <c r="O346" i="8"/>
  <c r="O418" i="8"/>
  <c r="O191" i="8"/>
  <c r="O123" i="8"/>
  <c r="O488" i="8"/>
  <c r="O135" i="8"/>
  <c r="O300" i="8"/>
  <c r="O111" i="8"/>
  <c r="O496" i="8"/>
  <c r="O59" i="8"/>
  <c r="N373" i="8"/>
  <c r="O383" i="8"/>
  <c r="O104" i="8"/>
  <c r="O484" i="8"/>
  <c r="O460" i="8"/>
  <c r="N280" i="8"/>
  <c r="O290" i="8"/>
  <c r="N475" i="8"/>
  <c r="O485" i="8"/>
  <c r="O487" i="8"/>
  <c r="N413" i="8"/>
  <c r="O423" i="8"/>
  <c r="O61" i="8"/>
  <c r="O175" i="8"/>
  <c r="O326" i="8"/>
  <c r="O52" i="8"/>
  <c r="O80" i="8"/>
  <c r="O209" i="8"/>
  <c r="O349" i="8"/>
  <c r="O437" i="8"/>
  <c r="O310" i="8"/>
  <c r="O285" i="8"/>
  <c r="O255" i="8"/>
  <c r="O463" i="8"/>
  <c r="O234" i="8"/>
  <c r="O172" i="8"/>
  <c r="N368" i="8"/>
  <c r="O378" i="8"/>
  <c r="O456" i="8"/>
  <c r="N63" i="8"/>
  <c r="O73" i="8"/>
  <c r="N96" i="8"/>
  <c r="O106" i="8"/>
  <c r="N80" i="8"/>
  <c r="O90" i="8"/>
  <c r="N111" i="8"/>
  <c r="O121" i="8"/>
  <c r="N348" i="8"/>
  <c r="O358" i="8"/>
  <c r="N303" i="8"/>
  <c r="O313" i="8"/>
  <c r="N131" i="8"/>
  <c r="O141" i="8"/>
  <c r="O194" i="8"/>
  <c r="O53" i="8"/>
  <c r="O467" i="8"/>
  <c r="O196" i="8"/>
  <c r="O480" i="8"/>
  <c r="O475" i="8"/>
  <c r="O298" i="8"/>
  <c r="O33" i="8"/>
  <c r="O82" i="8"/>
  <c r="N132" i="8"/>
  <c r="O142" i="8"/>
  <c r="O399" i="8"/>
  <c r="O316" i="8"/>
  <c r="N187" i="8"/>
  <c r="O197" i="8"/>
  <c r="N167" i="8"/>
  <c r="O177" i="8"/>
  <c r="N238" i="8"/>
  <c r="O248" i="8"/>
  <c r="N358" i="8"/>
  <c r="O368" i="8"/>
  <c r="O277" i="8"/>
  <c r="O208" i="8"/>
  <c r="O44" i="8"/>
  <c r="O174" i="8"/>
  <c r="O283" i="8"/>
  <c r="O366" i="8"/>
  <c r="N312" i="8"/>
  <c r="O322" i="8"/>
  <c r="N459" i="8"/>
  <c r="O469" i="8"/>
  <c r="N21" i="8"/>
  <c r="O31" i="8"/>
  <c r="O344" i="8"/>
  <c r="N463" i="8"/>
  <c r="O473" i="8"/>
  <c r="O340" i="8"/>
  <c r="O324" i="8"/>
  <c r="O212" i="8"/>
  <c r="O152" i="8"/>
  <c r="O264" i="8"/>
  <c r="O117" i="8"/>
  <c r="O332" i="8"/>
  <c r="O269" i="8"/>
  <c r="N374" i="8"/>
  <c r="O384" i="8"/>
  <c r="O451" i="8"/>
  <c r="O187" i="8"/>
  <c r="O457" i="8"/>
  <c r="O113" i="8"/>
  <c r="O184" i="8"/>
  <c r="O445" i="8"/>
  <c r="O497" i="8"/>
  <c r="O154" i="8"/>
  <c r="O461" i="8"/>
  <c r="O406" i="8"/>
  <c r="O190" i="8"/>
  <c r="O455" i="8"/>
  <c r="O78" i="8"/>
  <c r="O263" i="8"/>
  <c r="O312" i="8"/>
  <c r="O48" i="8"/>
  <c r="O350" i="8"/>
  <c r="O403" i="8"/>
  <c r="O486" i="8"/>
  <c r="O221" i="8"/>
  <c r="O500" i="8"/>
  <c r="O65" i="8"/>
  <c r="O128" i="8"/>
  <c r="O374" i="8"/>
  <c r="N205" i="8"/>
  <c r="O215" i="8"/>
  <c r="O64" i="8"/>
  <c r="O81" i="8"/>
  <c r="N430" i="8"/>
  <c r="O440" i="8"/>
  <c r="O89" i="8"/>
  <c r="N250" i="8"/>
  <c r="O260" i="8"/>
  <c r="O411" i="8"/>
  <c r="O472" i="8"/>
  <c r="O387" i="8"/>
  <c r="N148" i="8"/>
  <c r="O158" i="8"/>
  <c r="N223" i="8"/>
  <c r="O233" i="8"/>
  <c r="O170" i="8"/>
  <c r="N269" i="8"/>
  <c r="O279" i="8"/>
  <c r="N207" i="8"/>
  <c r="O217" i="8"/>
  <c r="O491" i="8"/>
  <c r="O420" i="8"/>
  <c r="O156" i="8"/>
  <c r="N257" i="8"/>
  <c r="O267" i="8"/>
  <c r="O493" i="8"/>
  <c r="O35" i="8"/>
  <c r="O67" i="8"/>
  <c r="O238" i="8"/>
  <c r="O314" i="8"/>
  <c r="O40" i="8"/>
  <c r="O139" i="8"/>
  <c r="O410" i="8"/>
  <c r="O133" i="8"/>
  <c r="O247" i="8"/>
  <c r="O317" i="8"/>
  <c r="O211" i="8"/>
  <c r="O433" i="8"/>
  <c r="O294" i="8"/>
  <c r="O173" i="8"/>
  <c r="O28" i="8"/>
  <c r="N455" i="8"/>
  <c r="O465" i="8"/>
  <c r="N124" i="8"/>
  <c r="O134" i="8"/>
  <c r="N291" i="8"/>
  <c r="O301" i="8"/>
  <c r="N409" i="8"/>
  <c r="O419" i="8"/>
  <c r="O454" i="8"/>
  <c r="N37" i="8"/>
  <c r="O47" i="8"/>
  <c r="N16" i="8"/>
  <c r="O26" i="8"/>
  <c r="O352" i="8"/>
  <c r="N243" i="8"/>
  <c r="O253" i="8"/>
  <c r="O226" i="8"/>
  <c r="O334" i="8"/>
  <c r="O68" i="8"/>
  <c r="O201" i="8"/>
  <c r="O299" i="8"/>
  <c r="O127" i="8"/>
  <c r="N385" i="8"/>
  <c r="O395" i="8"/>
  <c r="O422" i="8"/>
  <c r="O328" i="8"/>
  <c r="O443" i="8"/>
  <c r="O377" i="8"/>
  <c r="O394" i="8"/>
  <c r="O236" i="8"/>
  <c r="O427" i="8"/>
  <c r="O342" i="8"/>
  <c r="O96" i="8"/>
  <c r="O407" i="8"/>
  <c r="O116" i="8"/>
  <c r="O390" i="8"/>
  <c r="O168" i="8"/>
  <c r="O439" i="8"/>
  <c r="O225" i="8"/>
  <c r="O176" i="8"/>
  <c r="O224" i="8"/>
  <c r="O281" i="8"/>
  <c r="O278" i="8"/>
  <c r="O32" i="8"/>
  <c r="O153" i="8"/>
  <c r="O318" i="8"/>
  <c r="O367" i="8"/>
  <c r="O468" i="8"/>
  <c r="O417" i="8"/>
  <c r="O202" i="8"/>
  <c r="O482" i="8"/>
  <c r="O276" i="8"/>
  <c r="O46" i="8"/>
  <c r="O157" i="8"/>
  <c r="O474" i="8"/>
  <c r="O286" i="8"/>
  <c r="O114" i="8"/>
  <c r="O429" i="8"/>
  <c r="O257" i="8"/>
  <c r="O83" i="8"/>
  <c r="O448" i="8"/>
  <c r="O304" i="8"/>
  <c r="O160" i="8"/>
  <c r="O375" i="8"/>
  <c r="O231" i="8"/>
  <c r="O87" i="8"/>
  <c r="O325" i="8"/>
  <c r="O307" i="8"/>
  <c r="O138" i="8"/>
  <c r="O359" i="8"/>
  <c r="O274" i="8"/>
  <c r="O43" i="8"/>
  <c r="O355" i="8"/>
  <c r="O94" i="8"/>
  <c r="O370" i="8"/>
  <c r="O151" i="8"/>
  <c r="O421" i="8"/>
  <c r="O206" i="8"/>
  <c r="O118" i="8"/>
  <c r="O441" i="8"/>
  <c r="O188" i="8"/>
  <c r="O240" i="8"/>
  <c r="O261" i="8"/>
  <c r="O251" i="8"/>
  <c r="O95" i="8"/>
  <c r="O282" i="8"/>
  <c r="O333" i="8"/>
  <c r="O434" i="8"/>
  <c r="O397" i="8"/>
  <c r="O180" i="8"/>
  <c r="O466" i="8"/>
  <c r="O254" i="8"/>
  <c r="O30" i="8"/>
  <c r="O143" i="8"/>
  <c r="O458" i="8"/>
  <c r="O272" i="8"/>
  <c r="O98" i="8"/>
  <c r="O415" i="8"/>
  <c r="O241" i="8"/>
  <c r="O69" i="8"/>
  <c r="O436" i="8"/>
  <c r="O292" i="8"/>
  <c r="O148" i="8"/>
  <c r="O363" i="8"/>
  <c r="O219" i="8"/>
  <c r="O75" i="8"/>
  <c r="O464" i="8"/>
  <c r="O216" i="8"/>
  <c r="O393" i="8"/>
  <c r="O235" i="8"/>
  <c r="O289" i="8"/>
  <c r="O161" i="8"/>
  <c r="O478" i="8"/>
  <c r="O337" i="8"/>
  <c r="O77" i="8"/>
  <c r="O354" i="8"/>
  <c r="O132" i="8"/>
  <c r="O405" i="8"/>
  <c r="O189" i="8"/>
  <c r="O79" i="8"/>
  <c r="O391" i="8"/>
  <c r="O149" i="8"/>
  <c r="O204" i="8"/>
  <c r="O239" i="8"/>
  <c r="O193" i="8"/>
  <c r="O38" i="8"/>
  <c r="O246" i="8"/>
  <c r="O297" i="8"/>
  <c r="O398" i="8"/>
  <c r="O381" i="8"/>
  <c r="O163" i="8"/>
  <c r="O450" i="8"/>
  <c r="O237" i="8"/>
  <c r="O330" i="8"/>
  <c r="O129" i="8"/>
  <c r="O444" i="8"/>
  <c r="O258" i="8"/>
  <c r="O84" i="8"/>
  <c r="O401" i="8"/>
  <c r="O227" i="8"/>
  <c r="O55" i="8"/>
  <c r="O424" i="8"/>
  <c r="O280" i="8"/>
  <c r="O136" i="8"/>
  <c r="O495" i="8"/>
  <c r="O351" i="8"/>
  <c r="O207" i="8"/>
  <c r="O63" i="8"/>
  <c r="O271" i="8"/>
  <c r="O243" i="8"/>
  <c r="O252" i="8"/>
  <c r="O102" i="8"/>
  <c r="O120" i="8"/>
  <c r="O446" i="8"/>
  <c r="O178" i="8"/>
  <c r="O45" i="8"/>
  <c r="O408" i="8"/>
  <c r="O321" i="8"/>
  <c r="O58" i="8"/>
  <c r="O336" i="8"/>
  <c r="O110" i="8"/>
  <c r="O389" i="8"/>
  <c r="O167" i="8"/>
  <c r="O494" i="8"/>
  <c r="O287" i="8"/>
  <c r="O108" i="8"/>
  <c r="O165" i="8"/>
  <c r="O222" i="8"/>
  <c r="O137" i="8"/>
  <c r="O477" i="8"/>
  <c r="O205" i="8"/>
  <c r="O262" i="8"/>
  <c r="O382" i="8"/>
  <c r="O365" i="8"/>
  <c r="O144" i="8"/>
  <c r="O432" i="8"/>
  <c r="O218" i="8"/>
  <c r="O25" i="8"/>
  <c r="O115" i="8"/>
  <c r="O430" i="8"/>
  <c r="O242" i="8"/>
  <c r="O70" i="8"/>
  <c r="O385" i="8"/>
  <c r="O213" i="8"/>
  <c r="O41" i="8"/>
  <c r="O412" i="8"/>
  <c r="O268" i="8"/>
  <c r="O124" i="8"/>
  <c r="O483" i="8"/>
  <c r="O339" i="8"/>
  <c r="O195" i="8"/>
  <c r="O51" i="8"/>
  <c r="O323" i="8"/>
  <c r="O499" i="8"/>
  <c r="O379" i="8"/>
  <c r="O308" i="8"/>
  <c r="O481" i="8"/>
  <c r="O479" i="8"/>
  <c r="O356" i="8"/>
  <c r="O305" i="8"/>
  <c r="O37" i="8"/>
  <c r="O320" i="8"/>
  <c r="O93" i="8"/>
  <c r="O369" i="8"/>
  <c r="O150" i="8"/>
  <c r="O442" i="8"/>
  <c r="O72" i="8"/>
  <c r="O126" i="8"/>
  <c r="O203" i="8"/>
  <c r="O60" i="8"/>
  <c r="O425" i="8"/>
  <c r="O166" i="8"/>
  <c r="O223" i="8"/>
  <c r="O348" i="8"/>
  <c r="O347" i="8"/>
  <c r="O122" i="8"/>
  <c r="O414" i="8"/>
  <c r="O198" i="8"/>
  <c r="O273" i="8"/>
  <c r="O101" i="8"/>
  <c r="O416" i="8"/>
  <c r="O228" i="8"/>
  <c r="O56" i="8"/>
  <c r="O371" i="8"/>
  <c r="O199" i="8"/>
  <c r="O24" i="8"/>
  <c r="O400" i="8"/>
  <c r="O256" i="8"/>
  <c r="O112" i="8"/>
  <c r="O471" i="8"/>
  <c r="O327" i="8"/>
  <c r="O183" i="8"/>
  <c r="O39" i="8"/>
  <c r="O449" i="8"/>
  <c r="O431" i="8"/>
  <c r="O119" i="8"/>
  <c r="O498" i="8"/>
  <c r="O413" i="8"/>
  <c r="O409" i="8"/>
  <c r="O306" i="8"/>
  <c r="O249" i="8"/>
  <c r="O302" i="8"/>
  <c r="O74" i="8"/>
  <c r="O353" i="8"/>
  <c r="O131" i="8"/>
  <c r="O392" i="8"/>
  <c r="O470" i="8"/>
  <c r="O50" i="8"/>
  <c r="O49" i="8"/>
  <c r="O164" i="8"/>
  <c r="O373" i="8"/>
  <c r="O130" i="8"/>
  <c r="O182" i="8"/>
  <c r="O296" i="8"/>
  <c r="O331" i="8"/>
  <c r="O105" i="8"/>
  <c r="O396" i="8"/>
  <c r="O179" i="8"/>
  <c r="O259" i="8"/>
  <c r="O85" i="8"/>
  <c r="O402" i="8"/>
  <c r="O214" i="8"/>
  <c r="O42" i="8"/>
  <c r="O357" i="8"/>
  <c r="O185" i="8"/>
  <c r="O29" i="8"/>
  <c r="O388" i="8"/>
  <c r="O244" i="8"/>
  <c r="O100" i="8"/>
  <c r="O459" i="8"/>
  <c r="O315" i="8"/>
  <c r="O171" i="8"/>
  <c r="O27" i="8"/>
  <c r="O309" i="8"/>
  <c r="O361" i="8"/>
  <c r="O103" i="8"/>
  <c r="O428" i="8"/>
  <c r="O345" i="8"/>
  <c r="O341" i="8"/>
  <c r="O250" i="8"/>
  <c r="O230" i="8"/>
  <c r="O492" i="8"/>
  <c r="O284" i="8"/>
  <c r="O54" i="8"/>
  <c r="O335" i="8"/>
  <c r="O109" i="8"/>
  <c r="O338" i="8"/>
  <c r="O438" i="8"/>
  <c r="O489" i="8"/>
  <c r="O145" i="8"/>
  <c r="O462" i="8"/>
  <c r="O266" i="8"/>
  <c r="O91" i="8"/>
  <c r="O146" i="8"/>
  <c r="O181" i="8"/>
  <c r="O311" i="8"/>
  <c r="O86" i="8"/>
  <c r="O380" i="8"/>
  <c r="O162" i="8"/>
  <c r="O245" i="8"/>
  <c r="O71" i="8"/>
  <c r="O386" i="8"/>
  <c r="O200" i="8"/>
  <c r="O343" i="8"/>
  <c r="O169" i="8"/>
  <c r="O376" i="8"/>
  <c r="O232" i="8"/>
  <c r="O88" i="8"/>
  <c r="O447" i="8"/>
  <c r="O303" i="8"/>
  <c r="O159" i="8"/>
  <c r="O23" i="8"/>
  <c r="O97" i="8"/>
  <c r="O99" i="8"/>
  <c r="O293" i="8"/>
  <c r="O62" i="8"/>
  <c r="O360" i="8"/>
  <c r="O275" i="8"/>
  <c r="O270" i="8"/>
  <c r="O192" i="8"/>
  <c r="O210" i="8"/>
  <c r="O476" i="8"/>
  <c r="O265" i="8"/>
  <c r="O36" i="8"/>
  <c r="O319" i="8"/>
  <c r="O92" i="8"/>
  <c r="O288" i="8"/>
  <c r="O404" i="8"/>
  <c r="O453" i="8"/>
  <c r="O452" i="8"/>
  <c r="O125" i="8"/>
  <c r="O426" i="8"/>
  <c r="O490" i="8"/>
  <c r="O34" i="8"/>
  <c r="O107" i="8"/>
  <c r="O295" i="8"/>
  <c r="O66" i="8"/>
  <c r="O362" i="8"/>
  <c r="O140" i="8"/>
  <c r="O229" i="8"/>
  <c r="O57" i="8"/>
  <c r="O372" i="8"/>
  <c r="O186" i="8"/>
  <c r="O501" i="8"/>
  <c r="O329" i="8"/>
  <c r="O155" i="8"/>
  <c r="O364" i="8"/>
  <c r="O220" i="8"/>
  <c r="O76" i="8"/>
  <c r="O435" i="8"/>
  <c r="O291" i="8"/>
  <c r="O147" i="8"/>
  <c r="O22" i="8"/>
  <c r="O21" i="8"/>
  <c r="N267" i="8"/>
  <c r="N228" i="8"/>
  <c r="N389" i="8"/>
  <c r="N477" i="8"/>
  <c r="N336" i="8"/>
  <c r="N324" i="8"/>
  <c r="N457" i="8"/>
  <c r="N160" i="8"/>
  <c r="N342" i="8"/>
  <c r="N54" i="8"/>
  <c r="N216" i="8"/>
  <c r="N410" i="8"/>
  <c r="N191" i="8"/>
  <c r="N117" i="8"/>
  <c r="N330" i="8"/>
  <c r="N142" i="8"/>
  <c r="N339" i="8"/>
  <c r="N300" i="8"/>
  <c r="N30" i="8"/>
  <c r="N453" i="8"/>
  <c r="N144" i="8"/>
  <c r="N396" i="8"/>
  <c r="N237" i="8"/>
  <c r="N253" i="8"/>
  <c r="N302" i="8"/>
  <c r="N340" i="8"/>
  <c r="N423" i="8"/>
  <c r="N284" i="8"/>
  <c r="N478" i="8"/>
  <c r="N433" i="8"/>
  <c r="N450" i="8"/>
  <c r="N162" i="8"/>
  <c r="N377" i="8"/>
  <c r="N367" i="8"/>
  <c r="N384" i="8"/>
  <c r="N226" i="8"/>
  <c r="N417" i="8"/>
  <c r="N332" i="8"/>
  <c r="N86" i="8"/>
  <c r="N397" i="8"/>
  <c r="N106" i="8"/>
  <c r="N380" i="8"/>
  <c r="N158" i="8"/>
  <c r="N429" i="8"/>
  <c r="N215" i="8"/>
  <c r="N166" i="8"/>
  <c r="N501" i="8"/>
  <c r="N214" i="8"/>
  <c r="N271" i="8"/>
  <c r="N268" i="8"/>
  <c r="N22" i="8"/>
  <c r="N143" i="8"/>
  <c r="N308" i="8"/>
  <c r="N357" i="8"/>
  <c r="N458" i="8"/>
  <c r="N407" i="8"/>
  <c r="N192" i="8"/>
  <c r="N472" i="8"/>
  <c r="N266" i="8"/>
  <c r="N36" i="8"/>
  <c r="N147" i="8"/>
  <c r="N464" i="8"/>
  <c r="N276" i="8"/>
  <c r="N104" i="8"/>
  <c r="N419" i="8"/>
  <c r="N247" i="8"/>
  <c r="N73" i="8"/>
  <c r="N438" i="8"/>
  <c r="N294" i="8"/>
  <c r="N150" i="8"/>
  <c r="N365" i="8"/>
  <c r="N221" i="8"/>
  <c r="N77" i="8"/>
  <c r="N198" i="8"/>
  <c r="N356" i="8"/>
  <c r="N401" i="8"/>
  <c r="N25" i="8"/>
  <c r="N318" i="8"/>
  <c r="N129" i="8"/>
  <c r="N400" i="8"/>
  <c r="N123" i="8"/>
  <c r="N445" i="8"/>
  <c r="N68" i="8"/>
  <c r="N38" i="8"/>
  <c r="N393" i="8"/>
  <c r="N211" i="8"/>
  <c r="N55" i="8"/>
  <c r="N290" i="8"/>
  <c r="N261" i="8"/>
  <c r="N306" i="8"/>
  <c r="N89" i="8"/>
  <c r="N315" i="8"/>
  <c r="N297" i="8"/>
  <c r="N128" i="8"/>
  <c r="N349" i="8"/>
  <c r="N264" i="8"/>
  <c r="N33" i="8"/>
  <c r="N345" i="8"/>
  <c r="N84" i="8"/>
  <c r="N360" i="8"/>
  <c r="N141" i="8"/>
  <c r="N411" i="8"/>
  <c r="N196" i="8"/>
  <c r="N108" i="8"/>
  <c r="N431" i="8"/>
  <c r="N178" i="8"/>
  <c r="N230" i="8"/>
  <c r="N251" i="8"/>
  <c r="N241" i="8"/>
  <c r="N85" i="8"/>
  <c r="N272" i="8"/>
  <c r="N323" i="8"/>
  <c r="N424" i="8"/>
  <c r="N387" i="8"/>
  <c r="N170" i="8"/>
  <c r="N456" i="8"/>
  <c r="N244" i="8"/>
  <c r="N20" i="8"/>
  <c r="N133" i="8"/>
  <c r="N448" i="8"/>
  <c r="N262" i="8"/>
  <c r="N88" i="8"/>
  <c r="N405" i="8"/>
  <c r="N231" i="8"/>
  <c r="N59" i="8"/>
  <c r="N426" i="8"/>
  <c r="N282" i="8"/>
  <c r="N138" i="8"/>
  <c r="N497" i="8"/>
  <c r="N353" i="8"/>
  <c r="N209" i="8"/>
  <c r="N65" i="8"/>
  <c r="N34" i="8"/>
  <c r="N165" i="8"/>
  <c r="N289" i="8"/>
  <c r="N186" i="8"/>
  <c r="N412" i="8"/>
  <c r="N322" i="8"/>
  <c r="N177" i="8"/>
  <c r="N174" i="8"/>
  <c r="N435" i="8"/>
  <c r="N487" i="8"/>
  <c r="N451" i="8"/>
  <c r="N180" i="8"/>
  <c r="N224" i="8"/>
  <c r="N307" i="8"/>
  <c r="N201" i="8"/>
  <c r="N476" i="8"/>
  <c r="N490" i="8"/>
  <c r="N163" i="8"/>
  <c r="N118" i="8"/>
  <c r="N87" i="8"/>
  <c r="N18" i="8"/>
  <c r="N233" i="8"/>
  <c r="N454" i="8"/>
  <c r="N206" i="8"/>
  <c r="N383" i="8"/>
  <c r="N225" i="8"/>
  <c r="N279" i="8"/>
  <c r="N151" i="8"/>
  <c r="N468" i="8"/>
  <c r="N327" i="8"/>
  <c r="N67" i="8"/>
  <c r="N344" i="8"/>
  <c r="N122" i="8"/>
  <c r="N395" i="8"/>
  <c r="N179" i="8"/>
  <c r="N69" i="8"/>
  <c r="N381" i="8"/>
  <c r="N139" i="8"/>
  <c r="N194" i="8"/>
  <c r="N229" i="8"/>
  <c r="N183" i="8"/>
  <c r="N28" i="8"/>
  <c r="N236" i="8"/>
  <c r="N287" i="8"/>
  <c r="N388" i="8"/>
  <c r="N371" i="8"/>
  <c r="N153" i="8"/>
  <c r="N440" i="8"/>
  <c r="N227" i="8"/>
  <c r="N320" i="8"/>
  <c r="N119" i="8"/>
  <c r="N434" i="8"/>
  <c r="N248" i="8"/>
  <c r="N74" i="8"/>
  <c r="N391" i="8"/>
  <c r="N217" i="8"/>
  <c r="N45" i="8"/>
  <c r="N414" i="8"/>
  <c r="N270" i="8"/>
  <c r="N126" i="8"/>
  <c r="N485" i="8"/>
  <c r="N341" i="8"/>
  <c r="N197" i="8"/>
  <c r="N53" i="8"/>
  <c r="N446" i="8"/>
  <c r="N364" i="8"/>
  <c r="N495" i="8"/>
  <c r="N486" i="8"/>
  <c r="N184" i="8"/>
  <c r="N164" i="8"/>
  <c r="N481" i="8"/>
  <c r="N79" i="8"/>
  <c r="N316" i="8"/>
  <c r="N470" i="8"/>
  <c r="N483" i="8"/>
  <c r="N465" i="8"/>
  <c r="N288" i="8"/>
  <c r="N259" i="8"/>
  <c r="N23" i="8"/>
  <c r="N72" i="8"/>
  <c r="N492" i="8"/>
  <c r="N304" i="8"/>
  <c r="N447" i="8"/>
  <c r="N103" i="8"/>
  <c r="N462" i="8"/>
  <c r="N245" i="8"/>
  <c r="N110" i="8"/>
  <c r="N168" i="8"/>
  <c r="N398" i="8"/>
  <c r="N326" i="8"/>
  <c r="N379" i="8"/>
  <c r="N277" i="8"/>
  <c r="N212" i="8"/>
  <c r="N467" i="8"/>
  <c r="N372" i="8"/>
  <c r="N355" i="8"/>
  <c r="N422" i="8"/>
  <c r="N105" i="8"/>
  <c r="N232" i="8"/>
  <c r="N375" i="8"/>
  <c r="N31" i="8"/>
  <c r="N258" i="8"/>
  <c r="N473" i="8"/>
  <c r="N185" i="8"/>
  <c r="N313" i="8"/>
  <c r="N489" i="8"/>
  <c r="N369" i="8"/>
  <c r="N298" i="8"/>
  <c r="N471" i="8"/>
  <c r="N469" i="8"/>
  <c r="N346" i="8"/>
  <c r="N295" i="8"/>
  <c r="N27" i="8"/>
  <c r="N310" i="8"/>
  <c r="N83" i="8"/>
  <c r="N359" i="8"/>
  <c r="N140" i="8"/>
  <c r="N496" i="8"/>
  <c r="N62" i="8"/>
  <c r="N193" i="8"/>
  <c r="N50" i="8"/>
  <c r="N415" i="8"/>
  <c r="N156" i="8"/>
  <c r="N213" i="8"/>
  <c r="N338" i="8"/>
  <c r="N337" i="8"/>
  <c r="N112" i="8"/>
  <c r="N404" i="8"/>
  <c r="N188" i="8"/>
  <c r="N263" i="8"/>
  <c r="N91" i="8"/>
  <c r="N406" i="8"/>
  <c r="N218" i="8"/>
  <c r="N46" i="8"/>
  <c r="N361" i="8"/>
  <c r="N189" i="8"/>
  <c r="N14" i="8"/>
  <c r="N390" i="8"/>
  <c r="N246" i="8"/>
  <c r="N102" i="8"/>
  <c r="N461" i="8"/>
  <c r="N317" i="8"/>
  <c r="N173" i="8"/>
  <c r="N29" i="8"/>
  <c r="N439" i="8"/>
  <c r="N421" i="8"/>
  <c r="N109" i="8"/>
  <c r="N488" i="8"/>
  <c r="N403" i="8"/>
  <c r="N399" i="8"/>
  <c r="N296" i="8"/>
  <c r="N239" i="8"/>
  <c r="N500" i="8"/>
  <c r="N292" i="8"/>
  <c r="N64" i="8"/>
  <c r="N343" i="8"/>
  <c r="N121" i="8"/>
  <c r="N382" i="8"/>
  <c r="N460" i="8"/>
  <c r="N40" i="8"/>
  <c r="N39" i="8"/>
  <c r="N154" i="8"/>
  <c r="N363" i="8"/>
  <c r="N120" i="8"/>
  <c r="N172" i="8"/>
  <c r="N286" i="8"/>
  <c r="N321" i="8"/>
  <c r="N95" i="8"/>
  <c r="N386" i="8"/>
  <c r="N169" i="8"/>
  <c r="N249" i="8"/>
  <c r="N75" i="8"/>
  <c r="N392" i="8"/>
  <c r="N204" i="8"/>
  <c r="N32" i="8"/>
  <c r="N347" i="8"/>
  <c r="N175" i="8"/>
  <c r="N19" i="8"/>
  <c r="N378" i="8"/>
  <c r="N234" i="8"/>
  <c r="N90" i="8"/>
  <c r="N449" i="8"/>
  <c r="N305" i="8"/>
  <c r="N161" i="8"/>
  <c r="N17" i="8"/>
  <c r="N181" i="8"/>
  <c r="N51" i="8"/>
  <c r="N43" i="8"/>
  <c r="N146" i="8"/>
  <c r="N42" i="8"/>
  <c r="N314" i="8"/>
  <c r="N254" i="8"/>
  <c r="N427" i="8"/>
  <c r="N92" i="8"/>
  <c r="N311" i="8"/>
  <c r="N484" i="8"/>
  <c r="N195" i="8"/>
  <c r="N15" i="8"/>
  <c r="N329" i="8"/>
  <c r="N432" i="8"/>
  <c r="N299" i="8"/>
  <c r="N351" i="8"/>
  <c r="N93" i="8"/>
  <c r="N418" i="8"/>
  <c r="N335" i="8"/>
  <c r="N331" i="8"/>
  <c r="N240" i="8"/>
  <c r="N220" i="8"/>
  <c r="N482" i="8"/>
  <c r="N274" i="8"/>
  <c r="N44" i="8"/>
  <c r="N325" i="8"/>
  <c r="N99" i="8"/>
  <c r="N328" i="8"/>
  <c r="N428" i="8"/>
  <c r="N479" i="8"/>
  <c r="N494" i="8"/>
  <c r="N135" i="8"/>
  <c r="N452" i="8"/>
  <c r="N256" i="8"/>
  <c r="N81" i="8"/>
  <c r="N136" i="8"/>
  <c r="N171" i="8"/>
  <c r="N301" i="8"/>
  <c r="N76" i="8"/>
  <c r="N370" i="8"/>
  <c r="N152" i="8"/>
  <c r="N235" i="8"/>
  <c r="N61" i="8"/>
  <c r="N376" i="8"/>
  <c r="N190" i="8"/>
  <c r="N333" i="8"/>
  <c r="N159" i="8"/>
  <c r="N366" i="8"/>
  <c r="N222" i="8"/>
  <c r="N78" i="8"/>
  <c r="N437" i="8"/>
  <c r="N293" i="8"/>
  <c r="N149" i="8"/>
  <c r="N13" i="8"/>
  <c r="N408" i="8"/>
  <c r="N444" i="8"/>
  <c r="N125" i="8"/>
  <c r="N71" i="8"/>
  <c r="N49" i="8"/>
  <c r="N273" i="8"/>
  <c r="N58" i="8"/>
  <c r="N94" i="8"/>
  <c r="N334" i="8"/>
  <c r="N474" i="8"/>
  <c r="N113" i="8"/>
  <c r="N70" i="8"/>
  <c r="N202" i="8"/>
  <c r="N199" i="8"/>
  <c r="N107" i="8"/>
  <c r="N57" i="8"/>
  <c r="N441" i="8"/>
  <c r="N275" i="8"/>
  <c r="N101" i="8"/>
  <c r="N242" i="8"/>
  <c r="N436" i="8"/>
  <c r="N35" i="8"/>
  <c r="N48" i="8"/>
  <c r="N100" i="8"/>
  <c r="N157" i="8"/>
  <c r="N98" i="8"/>
  <c r="N155" i="8"/>
  <c r="N127" i="8"/>
  <c r="N252" i="8"/>
  <c r="N134" i="8"/>
  <c r="N208" i="8"/>
  <c r="N420" i="8"/>
  <c r="N60" i="8"/>
  <c r="N203" i="8"/>
  <c r="N402" i="8"/>
  <c r="N114" i="8"/>
  <c r="N41" i="8"/>
  <c r="N116" i="8"/>
  <c r="N283" i="8"/>
  <c r="N52" i="8"/>
  <c r="N350" i="8"/>
  <c r="N265" i="8"/>
  <c r="N260" i="8"/>
  <c r="N182" i="8"/>
  <c r="N200" i="8"/>
  <c r="N466" i="8"/>
  <c r="N255" i="8"/>
  <c r="N26" i="8"/>
  <c r="N309" i="8"/>
  <c r="N82" i="8"/>
  <c r="N278" i="8"/>
  <c r="N394" i="8"/>
  <c r="N443" i="8"/>
  <c r="N442" i="8"/>
  <c r="N115" i="8"/>
  <c r="N416" i="8"/>
  <c r="N480" i="8"/>
  <c r="N24" i="8"/>
  <c r="N97" i="8"/>
  <c r="N493" i="8"/>
  <c r="N285" i="8"/>
  <c r="N56" i="8"/>
  <c r="N352" i="8"/>
  <c r="N130" i="8"/>
  <c r="N219" i="8"/>
  <c r="N47" i="8"/>
  <c r="N362" i="8"/>
  <c r="N176" i="8"/>
  <c r="N491" i="8"/>
  <c r="N319" i="8"/>
  <c r="N145" i="8"/>
  <c r="N498" i="8"/>
  <c r="N354" i="8"/>
  <c r="N210" i="8"/>
  <c r="N66" i="8"/>
  <c r="N425" i="8"/>
  <c r="N281" i="8"/>
  <c r="N137" i="8"/>
  <c r="N12" i="8"/>
  <c r="N11" i="8"/>
  <c r="L281" i="8"/>
  <c r="L75" i="8"/>
  <c r="L59" i="8"/>
  <c r="L213" i="8"/>
  <c r="L303" i="8"/>
  <c r="L195" i="8"/>
  <c r="L110" i="8"/>
  <c r="L285" i="8"/>
  <c r="L464" i="8"/>
  <c r="L181" i="8"/>
  <c r="L23" i="8"/>
  <c r="L162" i="8"/>
  <c r="L161" i="8"/>
  <c r="L375" i="8"/>
  <c r="L449" i="8"/>
  <c r="L422" i="8"/>
  <c r="L271" i="8"/>
  <c r="L149" i="8"/>
  <c r="L276" i="8"/>
  <c r="L331" i="8"/>
  <c r="L425" i="8"/>
  <c r="L198" i="8"/>
  <c r="L426" i="8"/>
  <c r="L147" i="8"/>
  <c r="L417" i="8"/>
  <c r="L332" i="8"/>
  <c r="L399" i="8"/>
  <c r="L392" i="8"/>
  <c r="L441" i="8"/>
  <c r="L29" i="8"/>
  <c r="L60" i="8"/>
  <c r="L146" i="8"/>
  <c r="L321" i="8"/>
  <c r="L41" i="8"/>
  <c r="L80" i="8"/>
  <c r="L79" i="8"/>
  <c r="L282" i="8"/>
  <c r="L158" i="8"/>
  <c r="L492" i="8"/>
  <c r="L479" i="8"/>
  <c r="L329" i="8"/>
  <c r="L473" i="8"/>
  <c r="L501" i="8"/>
  <c r="L24" i="8"/>
  <c r="L253" i="8"/>
  <c r="L317" i="8"/>
  <c r="L461" i="8"/>
  <c r="L378" i="8"/>
  <c r="L220" i="8"/>
  <c r="L183" i="8"/>
  <c r="L439" i="8"/>
  <c r="L165" i="8"/>
  <c r="L315" i="8"/>
  <c r="L435" i="8"/>
  <c r="L486" i="8"/>
  <c r="L215" i="8"/>
  <c r="L117" i="8"/>
  <c r="L306" i="8"/>
  <c r="L248" i="8"/>
  <c r="L201" i="8"/>
  <c r="L236" i="8"/>
  <c r="L411" i="8"/>
  <c r="L465" i="8"/>
  <c r="L457" i="8"/>
  <c r="L452" i="8"/>
  <c r="L324" i="8"/>
  <c r="L455" i="8"/>
  <c r="L431" i="8"/>
  <c r="L270" i="8"/>
  <c r="L52" i="8"/>
  <c r="L266" i="8"/>
  <c r="L477" i="8"/>
  <c r="L254" i="8"/>
  <c r="L294" i="8"/>
  <c r="L150" i="8"/>
  <c r="L387" i="8"/>
  <c r="L364" i="8"/>
  <c r="L290" i="8"/>
  <c r="L91" i="8"/>
  <c r="L252" i="8"/>
  <c r="L482" i="8"/>
  <c r="L476" i="8"/>
  <c r="L251" i="8"/>
  <c r="L107" i="8"/>
  <c r="L402" i="8"/>
  <c r="L208" i="8"/>
  <c r="L288" i="8"/>
  <c r="L287" i="8"/>
  <c r="L362" i="8"/>
  <c r="L76" i="8"/>
  <c r="L240" i="8"/>
  <c r="L95" i="8"/>
  <c r="L231" i="8"/>
  <c r="L299" i="8"/>
  <c r="L320" i="8"/>
  <c r="L348" i="8"/>
  <c r="L44" i="8"/>
  <c r="L99" i="8"/>
  <c r="L272" i="8"/>
  <c r="L115" i="8"/>
  <c r="L363" i="8"/>
  <c r="L223" i="8"/>
  <c r="L264" i="8"/>
  <c r="L314" i="8"/>
  <c r="L45" i="8"/>
  <c r="L100" i="8"/>
  <c r="L61" i="8"/>
  <c r="L388" i="8"/>
  <c r="L342" i="8"/>
  <c r="L33" i="8"/>
  <c r="L366" i="8"/>
  <c r="L102" i="8"/>
  <c r="L84" i="8"/>
  <c r="K43" i="8"/>
  <c r="L43" i="8"/>
  <c r="K389" i="8"/>
  <c r="L389" i="8"/>
  <c r="K72" i="8"/>
  <c r="L72" i="8"/>
  <c r="K475" i="8"/>
  <c r="L475" i="8"/>
  <c r="L269" i="8"/>
  <c r="K54" i="8"/>
  <c r="L54" i="8"/>
  <c r="K277" i="8"/>
  <c r="L277" i="8"/>
  <c r="K491" i="8"/>
  <c r="L491" i="8"/>
  <c r="L462" i="8"/>
  <c r="K305" i="8"/>
  <c r="L305" i="8"/>
  <c r="L63" i="8"/>
  <c r="K406" i="8"/>
  <c r="L406" i="8"/>
  <c r="L316" i="8"/>
  <c r="K471" i="8"/>
  <c r="L471" i="8"/>
  <c r="K328" i="8"/>
  <c r="L328" i="8"/>
  <c r="K336" i="8"/>
  <c r="L336" i="8"/>
  <c r="K467" i="8"/>
  <c r="L467" i="8"/>
  <c r="L292" i="8"/>
  <c r="K351" i="8"/>
  <c r="L351" i="8"/>
  <c r="L243" i="8"/>
  <c r="L74" i="8"/>
  <c r="K437" i="8"/>
  <c r="L437" i="8"/>
  <c r="K26" i="8"/>
  <c r="L26" i="8"/>
  <c r="L443" i="8"/>
  <c r="L211" i="8"/>
  <c r="L210" i="8"/>
  <c r="L209" i="8"/>
  <c r="K200" i="8"/>
  <c r="L200" i="8"/>
  <c r="L189" i="8"/>
  <c r="L488" i="8"/>
  <c r="L273" i="8"/>
  <c r="L309" i="8"/>
  <c r="K340" i="8"/>
  <c r="L340" i="8"/>
  <c r="L376" i="8"/>
  <c r="L413" i="8"/>
  <c r="K153" i="8"/>
  <c r="L153" i="8"/>
  <c r="L267" i="8"/>
  <c r="K470" i="8"/>
  <c r="L470" i="8"/>
  <c r="L222" i="8"/>
  <c r="L448" i="8"/>
  <c r="K197" i="8"/>
  <c r="L197" i="8"/>
  <c r="L172" i="8"/>
  <c r="L159" i="8"/>
  <c r="L458" i="8"/>
  <c r="K469" i="8"/>
  <c r="L469" i="8"/>
  <c r="L133" i="8"/>
  <c r="L144" i="8"/>
  <c r="L374" i="8"/>
  <c r="L481" i="8"/>
  <c r="L193" i="8"/>
  <c r="L420" i="8"/>
  <c r="L143" i="8"/>
  <c r="L398" i="8"/>
  <c r="L409" i="8"/>
  <c r="K358" i="8"/>
  <c r="L358" i="8"/>
  <c r="K214" i="8"/>
  <c r="L214" i="8"/>
  <c r="K70" i="8"/>
  <c r="L70" i="8"/>
  <c r="K424" i="8"/>
  <c r="L424" i="8"/>
  <c r="K499" i="8"/>
  <c r="L499" i="8"/>
  <c r="K176" i="8"/>
  <c r="L176" i="8"/>
  <c r="K87" i="8"/>
  <c r="L87" i="8"/>
  <c r="K216" i="8"/>
  <c r="L216" i="8"/>
  <c r="K36" i="8"/>
  <c r="L36" i="8"/>
  <c r="K142" i="8"/>
  <c r="L142" i="8"/>
  <c r="K393" i="8"/>
  <c r="L393" i="8"/>
  <c r="K497" i="8"/>
  <c r="L497" i="8"/>
  <c r="K89" i="8"/>
  <c r="L89" i="8"/>
  <c r="K367" i="8"/>
  <c r="L367" i="8"/>
  <c r="K103" i="8"/>
  <c r="L103" i="8"/>
  <c r="K304" i="8"/>
  <c r="L304" i="8"/>
  <c r="K219" i="8"/>
  <c r="L219" i="8"/>
  <c r="K194" i="8"/>
  <c r="L194" i="8"/>
  <c r="K204" i="8"/>
  <c r="L204" i="8"/>
  <c r="K289" i="8"/>
  <c r="L289" i="8"/>
  <c r="K347" i="8"/>
  <c r="L347" i="8"/>
  <c r="K418" i="8"/>
  <c r="L418" i="8"/>
  <c r="K130" i="8"/>
  <c r="L130" i="8"/>
  <c r="K356" i="8"/>
  <c r="L356" i="8"/>
  <c r="K354" i="8"/>
  <c r="L354" i="8"/>
  <c r="K440" i="8"/>
  <c r="L440" i="8"/>
  <c r="K345" i="8"/>
  <c r="L345" i="8"/>
  <c r="K207" i="8"/>
  <c r="L207" i="8"/>
  <c r="K360" i="8"/>
  <c r="L360" i="8"/>
  <c r="K122" i="8"/>
  <c r="L122" i="8"/>
  <c r="L191" i="8"/>
  <c r="K414" i="8"/>
  <c r="L414" i="8"/>
  <c r="K32" i="8"/>
  <c r="L32" i="8"/>
  <c r="L283" i="8"/>
  <c r="K484" i="8"/>
  <c r="L484" i="8"/>
  <c r="K480" i="8"/>
  <c r="L480" i="8"/>
  <c r="K179" i="8"/>
  <c r="L179" i="8"/>
  <c r="K250" i="8"/>
  <c r="L250" i="8"/>
  <c r="K293" i="8"/>
  <c r="L293" i="8"/>
  <c r="K279" i="8"/>
  <c r="L279" i="8"/>
  <c r="L438" i="8"/>
  <c r="K485" i="8"/>
  <c r="L485" i="8"/>
  <c r="L39" i="8"/>
  <c r="L168" i="8"/>
  <c r="L62" i="8"/>
  <c r="K311" i="8"/>
  <c r="L311" i="8"/>
  <c r="K493" i="8"/>
  <c r="L493" i="8"/>
  <c r="K238" i="8"/>
  <c r="L238" i="8"/>
  <c r="L255" i="8"/>
  <c r="L177" i="8"/>
  <c r="K244" i="8"/>
  <c r="L244" i="8"/>
  <c r="K196" i="8"/>
  <c r="L196" i="8"/>
  <c r="L157" i="8"/>
  <c r="K410" i="8"/>
  <c r="L410" i="8"/>
  <c r="K432" i="8"/>
  <c r="L432" i="8"/>
  <c r="L434" i="8"/>
  <c r="K82" i="8"/>
  <c r="L82" i="8"/>
  <c r="L163" i="8"/>
  <c r="K152" i="8"/>
  <c r="L152" i="8"/>
  <c r="L141" i="8"/>
  <c r="L429" i="8"/>
  <c r="K307" i="8"/>
  <c r="L307" i="8"/>
  <c r="K184" i="8"/>
  <c r="L184" i="8"/>
  <c r="K391" i="8"/>
  <c r="L391" i="8"/>
  <c r="K129" i="8"/>
  <c r="L129" i="8"/>
  <c r="L245" i="8"/>
  <c r="K173" i="8"/>
  <c r="L173" i="8"/>
  <c r="K403" i="8"/>
  <c r="L403" i="8"/>
  <c r="L148" i="8"/>
  <c r="L433" i="8"/>
  <c r="L109" i="8"/>
  <c r="L132" i="8"/>
  <c r="L338" i="8"/>
  <c r="L445" i="8"/>
  <c r="L169" i="8"/>
  <c r="K408" i="8"/>
  <c r="L408" i="8"/>
  <c r="L419" i="8"/>
  <c r="L275" i="8"/>
  <c r="K131" i="8"/>
  <c r="L131" i="8"/>
  <c r="K490" i="8"/>
  <c r="L490" i="8"/>
  <c r="K346" i="8"/>
  <c r="L346" i="8"/>
  <c r="K202" i="8"/>
  <c r="L202" i="8"/>
  <c r="K58" i="8"/>
  <c r="L58" i="8"/>
  <c r="L164" i="8"/>
  <c r="L114" i="8"/>
  <c r="L113" i="8"/>
  <c r="L104" i="8"/>
  <c r="L93" i="8"/>
  <c r="L188" i="8"/>
  <c r="L234" i="8"/>
  <c r="L297" i="8"/>
  <c r="K333" i="8"/>
  <c r="L333" i="8"/>
  <c r="L160" i="8"/>
  <c r="L369" i="8"/>
  <c r="L105" i="8"/>
  <c r="L427" i="8"/>
  <c r="L174" i="8"/>
  <c r="L404" i="8"/>
  <c r="L381" i="8"/>
  <c r="L124" i="8"/>
  <c r="L135" i="8"/>
  <c r="L386" i="8"/>
  <c r="L397" i="8"/>
  <c r="L85" i="8"/>
  <c r="L120" i="8"/>
  <c r="L421" i="8"/>
  <c r="L145" i="8"/>
  <c r="L384" i="8"/>
  <c r="L407" i="8"/>
  <c r="L263" i="8"/>
  <c r="L119" i="8"/>
  <c r="L326" i="8"/>
  <c r="K478" i="8"/>
  <c r="L478" i="8"/>
  <c r="K334" i="8"/>
  <c r="L334" i="8"/>
  <c r="K190" i="8"/>
  <c r="L190" i="8"/>
  <c r="K46" i="8"/>
  <c r="L46" i="8"/>
  <c r="K423" i="8"/>
  <c r="L423" i="8"/>
  <c r="K498" i="8"/>
  <c r="L498" i="8"/>
  <c r="K291" i="8"/>
  <c r="L291" i="8"/>
  <c r="K78" i="8"/>
  <c r="L78" i="8"/>
  <c r="K301" i="8"/>
  <c r="L301" i="8"/>
  <c r="K49" i="8"/>
  <c r="L49" i="8"/>
  <c r="K286" i="8"/>
  <c r="L286" i="8"/>
  <c r="K380" i="8"/>
  <c r="L380" i="8"/>
  <c r="K128" i="8"/>
  <c r="L128" i="8"/>
  <c r="K134" i="8"/>
  <c r="L134" i="8"/>
  <c r="L415" i="8"/>
  <c r="K247" i="8"/>
  <c r="L247" i="8"/>
  <c r="L500" i="8"/>
  <c r="L192" i="8"/>
  <c r="K335" i="8"/>
  <c r="L335" i="8"/>
  <c r="K118" i="8"/>
  <c r="L118" i="8"/>
  <c r="K379" i="8"/>
  <c r="L379" i="8"/>
  <c r="K260" i="8"/>
  <c r="L260" i="8"/>
  <c r="L35" i="8"/>
  <c r="L280" i="8"/>
  <c r="K412" i="8"/>
  <c r="L412" i="8"/>
  <c r="K249" i="8"/>
  <c r="L249" i="8"/>
  <c r="L377" i="8"/>
  <c r="K171" i="8"/>
  <c r="L171" i="8"/>
  <c r="K38" i="8"/>
  <c r="L38" i="8"/>
  <c r="L68" i="8"/>
  <c r="L67" i="8"/>
  <c r="L66" i="8"/>
  <c r="L65" i="8"/>
  <c r="K56" i="8"/>
  <c r="L56" i="8"/>
  <c r="L140" i="8"/>
  <c r="L187" i="8"/>
  <c r="L233" i="8"/>
  <c r="L296" i="8"/>
  <c r="L136" i="8"/>
  <c r="K352" i="8"/>
  <c r="L352" i="8"/>
  <c r="K81" i="8"/>
  <c r="L81" i="8"/>
  <c r="L199" i="8"/>
  <c r="L405" i="8"/>
  <c r="L125" i="8"/>
  <c r="L123" i="8"/>
  <c r="L350" i="8"/>
  <c r="L373" i="8"/>
  <c r="L108" i="8"/>
  <c r="K278" i="8"/>
  <c r="L278" i="8"/>
  <c r="K385" i="8"/>
  <c r="L385" i="8"/>
  <c r="L121" i="8"/>
  <c r="L372" i="8"/>
  <c r="L395" i="8"/>
  <c r="K466" i="8"/>
  <c r="L466" i="8"/>
  <c r="K322" i="8"/>
  <c r="L322" i="8"/>
  <c r="K34" i="8"/>
  <c r="L34" i="8"/>
  <c r="K428" i="8"/>
  <c r="L428" i="8"/>
  <c r="K69" i="8"/>
  <c r="L69" i="8"/>
  <c r="K137" i="8"/>
  <c r="L137" i="8"/>
  <c r="K127" i="8"/>
  <c r="L127" i="8"/>
  <c r="K28" i="8"/>
  <c r="L28" i="8"/>
  <c r="K182" i="8"/>
  <c r="L182" i="8"/>
  <c r="K71" i="8"/>
  <c r="L71" i="8"/>
  <c r="K390" i="8"/>
  <c r="L390" i="8"/>
  <c r="K42" i="8"/>
  <c r="L42" i="8"/>
  <c r="K203" i="8"/>
  <c r="L203" i="8"/>
  <c r="K357" i="8"/>
  <c r="L357" i="8"/>
  <c r="K353" i="8"/>
  <c r="L353" i="8"/>
  <c r="K496" i="8"/>
  <c r="L496" i="8"/>
  <c r="K30" i="8"/>
  <c r="L30" i="8"/>
  <c r="L241" i="8"/>
  <c r="K265" i="8"/>
  <c r="L265" i="8"/>
  <c r="K47" i="8"/>
  <c r="L47" i="8"/>
  <c r="L319" i="8"/>
  <c r="L55" i="8"/>
  <c r="L51" i="8"/>
  <c r="L86" i="8"/>
  <c r="K50" i="8"/>
  <c r="L50" i="8"/>
  <c r="L258" i="8"/>
  <c r="K463" i="8"/>
  <c r="L463" i="8"/>
  <c r="L31" i="8"/>
  <c r="K446" i="8"/>
  <c r="L446" i="8"/>
  <c r="K167" i="8"/>
  <c r="L167" i="8"/>
  <c r="K256" i="8"/>
  <c r="L256" i="8"/>
  <c r="L447" i="8"/>
  <c r="K156" i="8"/>
  <c r="L156" i="8"/>
  <c r="K226" i="8"/>
  <c r="L226" i="8"/>
  <c r="L257" i="8"/>
  <c r="L235" i="8"/>
  <c r="L487" i="8"/>
  <c r="L483" i="8"/>
  <c r="L436" i="8"/>
  <c r="L212" i="8"/>
  <c r="L92" i="8"/>
  <c r="L139" i="8"/>
  <c r="L186" i="8"/>
  <c r="L232" i="8"/>
  <c r="L268" i="8"/>
  <c r="L112" i="8"/>
  <c r="L330" i="8"/>
  <c r="L57" i="8"/>
  <c r="L175" i="8"/>
  <c r="K126" i="8"/>
  <c r="L126" i="8"/>
  <c r="L365" i="8"/>
  <c r="L101" i="8"/>
  <c r="L111" i="8"/>
  <c r="L302" i="8"/>
  <c r="L349" i="8"/>
  <c r="L37" i="8"/>
  <c r="L96" i="8"/>
  <c r="L242" i="8"/>
  <c r="L361" i="8"/>
  <c r="L97" i="8"/>
  <c r="L383" i="8"/>
  <c r="L239" i="8"/>
  <c r="K454" i="8"/>
  <c r="L454" i="8"/>
  <c r="K310" i="8"/>
  <c r="L310" i="8"/>
  <c r="K166" i="8"/>
  <c r="L166" i="8"/>
  <c r="K22" i="8"/>
  <c r="L22" i="8"/>
  <c r="K401" i="8"/>
  <c r="L401" i="8"/>
  <c r="K416" i="8"/>
  <c r="L416" i="8"/>
  <c r="K90" i="8"/>
  <c r="L90" i="8"/>
  <c r="K64" i="8"/>
  <c r="L64" i="8"/>
  <c r="K344" i="8"/>
  <c r="L344" i="8"/>
  <c r="K53" i="8"/>
  <c r="L53" i="8"/>
  <c r="K230" i="8"/>
  <c r="L230" i="8"/>
  <c r="K444" i="8"/>
  <c r="L444" i="8"/>
  <c r="K313" i="8"/>
  <c r="L313" i="8"/>
  <c r="K359" i="8"/>
  <c r="L359" i="8"/>
  <c r="K170" i="8"/>
  <c r="L170" i="8"/>
  <c r="K474" i="8"/>
  <c r="L474" i="8"/>
  <c r="K40" i="8"/>
  <c r="L40" i="8"/>
  <c r="L327" i="8"/>
  <c r="K396" i="8"/>
  <c r="L396" i="8"/>
  <c r="K25" i="8"/>
  <c r="L25" i="8"/>
  <c r="L355" i="8"/>
  <c r="K472" i="8"/>
  <c r="L472" i="8"/>
  <c r="L489" i="8"/>
  <c r="L259" i="8"/>
  <c r="K48" i="8"/>
  <c r="L48" i="8"/>
  <c r="L98" i="8"/>
  <c r="K318" i="8"/>
  <c r="L318" i="8"/>
  <c r="K368" i="8"/>
  <c r="L368" i="8"/>
  <c r="K495" i="8"/>
  <c r="L495" i="8"/>
  <c r="L225" i="8"/>
  <c r="K237" i="8"/>
  <c r="L237" i="8"/>
  <c r="K217" i="8"/>
  <c r="L217" i="8"/>
  <c r="K323" i="8"/>
  <c r="L323" i="8"/>
  <c r="K394" i="8"/>
  <c r="L394" i="8"/>
  <c r="K106" i="8"/>
  <c r="L106" i="8"/>
  <c r="L261" i="8"/>
  <c r="K229" i="8"/>
  <c r="L229" i="8"/>
  <c r="K382" i="8"/>
  <c r="L382" i="8"/>
  <c r="K94" i="8"/>
  <c r="L94" i="8"/>
  <c r="K400" i="8"/>
  <c r="L400" i="8"/>
  <c r="K246" i="8"/>
  <c r="L246" i="8"/>
  <c r="K341" i="8"/>
  <c r="L341" i="8"/>
  <c r="K284" i="8"/>
  <c r="L284" i="8"/>
  <c r="L221" i="8"/>
  <c r="L27" i="8"/>
  <c r="K312" i="8"/>
  <c r="L312" i="8"/>
  <c r="L205" i="8"/>
  <c r="L155" i="8"/>
  <c r="K370" i="8"/>
  <c r="L370" i="8"/>
  <c r="L339" i="8"/>
  <c r="L494" i="8"/>
  <c r="L460" i="8"/>
  <c r="L459" i="8"/>
  <c r="K453" i="8"/>
  <c r="L453" i="8"/>
  <c r="L451" i="8"/>
  <c r="L450" i="8"/>
  <c r="L295" i="8"/>
  <c r="L116" i="8"/>
  <c r="L138" i="8"/>
  <c r="L185" i="8"/>
  <c r="L224" i="8"/>
  <c r="L88" i="8"/>
  <c r="L308" i="8"/>
  <c r="L151" i="8"/>
  <c r="L343" i="8"/>
  <c r="L77" i="8"/>
  <c r="L325" i="8"/>
  <c r="L468" i="8"/>
  <c r="L228" i="8"/>
  <c r="L206" i="8"/>
  <c r="L337" i="8"/>
  <c r="L73" i="8"/>
  <c r="L300" i="8"/>
  <c r="L371" i="8"/>
  <c r="K227" i="8"/>
  <c r="L227" i="8"/>
  <c r="L83" i="8"/>
  <c r="L218" i="8"/>
  <c r="K442" i="8"/>
  <c r="L442" i="8"/>
  <c r="K298" i="8"/>
  <c r="L298" i="8"/>
  <c r="K154" i="8"/>
  <c r="L154" i="8"/>
  <c r="K21" i="8"/>
  <c r="L21" i="8"/>
  <c r="K271" i="8"/>
  <c r="K149" i="8"/>
  <c r="K270" i="8"/>
  <c r="K180" i="8"/>
  <c r="K262" i="8"/>
  <c r="K417" i="8"/>
  <c r="K321" i="8"/>
  <c r="K303" i="8"/>
  <c r="K215" i="8"/>
  <c r="K332" i="8"/>
  <c r="K399" i="8"/>
  <c r="K392" i="8"/>
  <c r="K441" i="8"/>
  <c r="K29" i="8"/>
  <c r="K281" i="8"/>
  <c r="K75" i="8"/>
  <c r="K60" i="8"/>
  <c r="K146" i="8"/>
  <c r="K59" i="8"/>
  <c r="K213" i="8"/>
  <c r="K41" i="8"/>
  <c r="K80" i="8"/>
  <c r="K79" i="8"/>
  <c r="K282" i="8"/>
  <c r="K158" i="8"/>
  <c r="K492" i="8"/>
  <c r="K479" i="8"/>
  <c r="K117" i="8"/>
  <c r="K329" i="8"/>
  <c r="K317" i="8"/>
  <c r="K439" i="8"/>
  <c r="K473" i="8"/>
  <c r="K501" i="8"/>
  <c r="K195" i="8"/>
  <c r="K110" i="8"/>
  <c r="K285" i="8"/>
  <c r="K464" i="8"/>
  <c r="K181" i="8"/>
  <c r="K23" i="8"/>
  <c r="K331" i="8"/>
  <c r="K425" i="8"/>
  <c r="K252" i="8"/>
  <c r="K482" i="8"/>
  <c r="K477" i="8"/>
  <c r="K476" i="8"/>
  <c r="K254" i="8"/>
  <c r="K52" i="8"/>
  <c r="K431" i="8"/>
  <c r="K287" i="8"/>
  <c r="K251" i="8"/>
  <c r="K107" i="8"/>
  <c r="K198" i="8"/>
  <c r="K426" i="8"/>
  <c r="K147" i="8"/>
  <c r="K266" i="8"/>
  <c r="K24" i="8"/>
  <c r="K461" i="8"/>
  <c r="K378" i="8"/>
  <c r="K248" i="8"/>
  <c r="K201" i="8"/>
  <c r="K183" i="8"/>
  <c r="K324" i="8"/>
  <c r="K236" i="8"/>
  <c r="K165" i="8"/>
  <c r="K315" i="8"/>
  <c r="K411" i="8"/>
  <c r="K435" i="8"/>
  <c r="K486" i="8"/>
  <c r="K465" i="8"/>
  <c r="K457" i="8"/>
  <c r="K253" i="8"/>
  <c r="K452" i="8"/>
  <c r="K306" i="8"/>
  <c r="K220" i="8"/>
  <c r="K455" i="8"/>
  <c r="K208" i="8"/>
  <c r="K288" i="8"/>
  <c r="K430" i="8"/>
  <c r="K231" i="8"/>
  <c r="K299" i="8"/>
  <c r="K294" i="8"/>
  <c r="K150" i="8"/>
  <c r="K387" i="8"/>
  <c r="K364" i="8"/>
  <c r="K290" i="8"/>
  <c r="K76" i="8"/>
  <c r="K95" i="8"/>
  <c r="K91" i="8"/>
  <c r="K143" i="8"/>
  <c r="K456" i="8"/>
  <c r="K162" i="8"/>
  <c r="K161" i="8"/>
  <c r="K375" i="8"/>
  <c r="K449" i="8"/>
  <c r="K422" i="8"/>
  <c r="K276" i="8"/>
  <c r="K362" i="8"/>
  <c r="K297" i="8"/>
  <c r="K407" i="8"/>
  <c r="K178" i="8"/>
  <c r="K44" i="8"/>
  <c r="K320" i="8"/>
  <c r="K99" i="8"/>
  <c r="K272" i="8"/>
  <c r="K115" i="8"/>
  <c r="K363" i="8"/>
  <c r="K223" i="8"/>
  <c r="K386" i="8"/>
  <c r="K264" i="8"/>
  <c r="K314" i="8"/>
  <c r="K45" i="8"/>
  <c r="K100" i="8"/>
  <c r="K61" i="8"/>
  <c r="K388" i="8"/>
  <c r="K342" i="8"/>
  <c r="K33" i="8"/>
  <c r="K366" i="8"/>
  <c r="K102" i="8"/>
  <c r="K84" i="8"/>
  <c r="K241" i="8"/>
  <c r="K55" i="8"/>
  <c r="K31" i="8"/>
  <c r="K447" i="8"/>
  <c r="K434" i="8"/>
  <c r="K211" i="8"/>
  <c r="K210" i="8"/>
  <c r="K209" i="8"/>
  <c r="K189" i="8"/>
  <c r="K488" i="8"/>
  <c r="K273" i="8"/>
  <c r="K309" i="8"/>
  <c r="K376" i="8"/>
  <c r="K402" i="8"/>
  <c r="K413" i="8"/>
  <c r="K267" i="8"/>
  <c r="K222" i="8"/>
  <c r="K448" i="8"/>
  <c r="K172" i="8"/>
  <c r="K159" i="8"/>
  <c r="K458" i="8"/>
  <c r="K133" i="8"/>
  <c r="K144" i="8"/>
  <c r="K374" i="8"/>
  <c r="K481" i="8"/>
  <c r="K193" i="8"/>
  <c r="K420" i="8"/>
  <c r="K398" i="8"/>
  <c r="K409" i="8"/>
  <c r="K269" i="8"/>
  <c r="K274" i="8"/>
  <c r="K355" i="8"/>
  <c r="K415" i="8"/>
  <c r="K259" i="8"/>
  <c r="K191" i="8"/>
  <c r="K316" i="8"/>
  <c r="K225" i="8"/>
  <c r="K283" i="8"/>
  <c r="K86" i="8"/>
  <c r="K280" i="8"/>
  <c r="K261" i="8"/>
  <c r="K74" i="8"/>
  <c r="K62" i="8"/>
  <c r="K255" i="8"/>
  <c r="K177" i="8"/>
  <c r="K205" i="8"/>
  <c r="K163" i="8"/>
  <c r="K235" i="8"/>
  <c r="K148" i="8"/>
  <c r="K433" i="8"/>
  <c r="K109" i="8"/>
  <c r="K132" i="8"/>
  <c r="K338" i="8"/>
  <c r="K445" i="8"/>
  <c r="K169" i="8"/>
  <c r="K275" i="8"/>
  <c r="K164" i="8"/>
  <c r="K114" i="8"/>
  <c r="K113" i="8"/>
  <c r="K104" i="8"/>
  <c r="K93" i="8"/>
  <c r="K188" i="8"/>
  <c r="K234" i="8"/>
  <c r="K160" i="8"/>
  <c r="K369" i="8"/>
  <c r="K105" i="8"/>
  <c r="K427" i="8"/>
  <c r="K174" i="8"/>
  <c r="K404" i="8"/>
  <c r="K381" i="8"/>
  <c r="K124" i="8"/>
  <c r="K135" i="8"/>
  <c r="K397" i="8"/>
  <c r="K85" i="8"/>
  <c r="K120" i="8"/>
  <c r="K421" i="8"/>
  <c r="K145" i="8"/>
  <c r="K384" i="8"/>
  <c r="K263" i="8"/>
  <c r="K119" i="8"/>
  <c r="K326" i="8"/>
  <c r="K327" i="8"/>
  <c r="K319" i="8"/>
  <c r="K292" i="8"/>
  <c r="K243" i="8"/>
  <c r="K221" i="8"/>
  <c r="K157" i="8"/>
  <c r="K257" i="8"/>
  <c r="K141" i="8"/>
  <c r="K339" i="8"/>
  <c r="K68" i="8"/>
  <c r="K67" i="8"/>
  <c r="K66" i="8"/>
  <c r="K65" i="8"/>
  <c r="K140" i="8"/>
  <c r="K187" i="8"/>
  <c r="K233" i="8"/>
  <c r="K296" i="8"/>
  <c r="K136" i="8"/>
  <c r="K199" i="8"/>
  <c r="K405" i="8"/>
  <c r="K125" i="8"/>
  <c r="K123" i="8"/>
  <c r="K350" i="8"/>
  <c r="K373" i="8"/>
  <c r="K108" i="8"/>
  <c r="K121" i="8"/>
  <c r="K372" i="8"/>
  <c r="K395" i="8"/>
  <c r="K35" i="8"/>
  <c r="K168" i="8"/>
  <c r="K155" i="8"/>
  <c r="K245" i="8"/>
  <c r="K419" i="8"/>
  <c r="K487" i="8"/>
  <c r="K483" i="8"/>
  <c r="K436" i="8"/>
  <c r="K212" i="8"/>
  <c r="K92" i="8"/>
  <c r="K139" i="8"/>
  <c r="K186" i="8"/>
  <c r="K232" i="8"/>
  <c r="K268" i="8"/>
  <c r="K112" i="8"/>
  <c r="K330" i="8"/>
  <c r="K57" i="8"/>
  <c r="K175" i="8"/>
  <c r="K365" i="8"/>
  <c r="K101" i="8"/>
  <c r="K111" i="8"/>
  <c r="K302" i="8"/>
  <c r="K349" i="8"/>
  <c r="K37" i="8"/>
  <c r="K240" i="8"/>
  <c r="K96" i="8"/>
  <c r="K242" i="8"/>
  <c r="K361" i="8"/>
  <c r="K97" i="8"/>
  <c r="K348" i="8"/>
  <c r="K383" i="8"/>
  <c r="K239" i="8"/>
  <c r="K462" i="8"/>
  <c r="K489" i="8"/>
  <c r="K500" i="8"/>
  <c r="K63" i="8"/>
  <c r="K192" i="8"/>
  <c r="K98" i="8"/>
  <c r="K51" i="8"/>
  <c r="K258" i="8"/>
  <c r="K438" i="8"/>
  <c r="K39" i="8"/>
  <c r="K377" i="8"/>
  <c r="K27" i="8"/>
  <c r="K443" i="8"/>
  <c r="K429" i="8"/>
  <c r="K494" i="8"/>
  <c r="K460" i="8"/>
  <c r="K459" i="8"/>
  <c r="K451" i="8"/>
  <c r="K450" i="8"/>
  <c r="K295" i="8"/>
  <c r="K116" i="8"/>
  <c r="K138" i="8"/>
  <c r="K185" i="8"/>
  <c r="K224" i="8"/>
  <c r="K88" i="8"/>
  <c r="K308" i="8"/>
  <c r="K151" i="8"/>
  <c r="K343" i="8"/>
  <c r="K77" i="8"/>
  <c r="K325" i="8"/>
  <c r="K468" i="8"/>
  <c r="K228" i="8"/>
  <c r="K206" i="8"/>
  <c r="K337" i="8"/>
  <c r="K73" i="8"/>
  <c r="K300" i="8"/>
  <c r="K371" i="8"/>
  <c r="K83" i="8"/>
  <c r="K218" i="8"/>
  <c r="H351" i="8"/>
  <c r="H492" i="8"/>
  <c r="H336" i="8"/>
  <c r="H48" i="8"/>
  <c r="H455" i="8"/>
  <c r="H311" i="8"/>
  <c r="H167" i="8"/>
  <c r="H23" i="8"/>
  <c r="H457" i="8"/>
  <c r="H142" i="8"/>
  <c r="H337" i="8"/>
  <c r="H369" i="8"/>
  <c r="H225" i="8"/>
  <c r="H198" i="8"/>
  <c r="H54" i="8"/>
  <c r="H175" i="8"/>
  <c r="H424" i="8"/>
  <c r="H423" i="8"/>
  <c r="H446" i="8"/>
  <c r="H192" i="8"/>
  <c r="H207" i="8"/>
  <c r="H265" i="8"/>
  <c r="H62" i="8"/>
  <c r="H241" i="8"/>
  <c r="H157" i="8"/>
  <c r="H136" i="8"/>
  <c r="H295" i="8"/>
  <c r="H389" i="8"/>
  <c r="H124" i="8"/>
  <c r="H112" i="8"/>
  <c r="H100" i="8"/>
  <c r="H88" i="8"/>
  <c r="H125" i="8"/>
  <c r="H280" i="8"/>
  <c r="H324" i="8"/>
  <c r="H299" i="8"/>
  <c r="H298" i="8"/>
  <c r="H357" i="8"/>
  <c r="H474" i="8"/>
  <c r="H451" i="8"/>
  <c r="H452" i="8"/>
  <c r="H353" i="8"/>
  <c r="H290" i="8"/>
  <c r="H168" i="8"/>
  <c r="H287" i="8"/>
  <c r="H118" i="8"/>
  <c r="H103" i="8"/>
  <c r="H259" i="8"/>
  <c r="H349" i="8"/>
  <c r="H98" i="8"/>
  <c r="H332" i="8"/>
  <c r="H320" i="8"/>
  <c r="H104" i="8"/>
  <c r="H377" i="8"/>
  <c r="H350" i="8"/>
  <c r="H489" i="8"/>
  <c r="H462" i="8"/>
  <c r="H427" i="8"/>
  <c r="H329" i="8"/>
  <c r="H217" i="8"/>
  <c r="H445" i="8"/>
  <c r="H275" i="8"/>
  <c r="H262" i="8"/>
  <c r="H466" i="8"/>
  <c r="H189" i="8"/>
  <c r="H450" i="8"/>
  <c r="H18" i="8"/>
  <c r="H233" i="8"/>
  <c r="H32" i="8"/>
  <c r="H388" i="8"/>
  <c r="H387" i="8"/>
  <c r="H432" i="8"/>
  <c r="H397" i="8"/>
  <c r="H119" i="8"/>
  <c r="H278" i="8"/>
  <c r="H33" i="8"/>
  <c r="H294" i="8"/>
  <c r="H379" i="8"/>
  <c r="H77" i="8"/>
  <c r="H344" i="8"/>
  <c r="H211" i="8"/>
  <c r="H257" i="8"/>
  <c r="H376" i="8"/>
  <c r="H243" i="8"/>
  <c r="H276" i="8"/>
  <c r="H25" i="8"/>
  <c r="H116" i="8"/>
  <c r="H310" i="8"/>
  <c r="H151" i="8"/>
  <c r="H486" i="8"/>
  <c r="H476" i="8"/>
  <c r="H319" i="8"/>
  <c r="H468" i="8"/>
  <c r="H36" i="8"/>
  <c r="H443" i="8"/>
  <c r="H159" i="8"/>
  <c r="H130" i="8"/>
  <c r="H213" i="8"/>
  <c r="H260" i="8"/>
  <c r="H330" i="8"/>
  <c r="H42" i="8"/>
  <c r="H139" i="8"/>
  <c r="H113" i="8"/>
  <c r="H283" i="8"/>
  <c r="H268" i="8"/>
  <c r="H267" i="8"/>
  <c r="H312" i="8"/>
  <c r="H493" i="8"/>
  <c r="H431" i="8"/>
  <c r="H111" i="8"/>
  <c r="H274" i="8"/>
  <c r="H490" i="8"/>
  <c r="H201" i="8"/>
  <c r="H164" i="8"/>
  <c r="H318" i="8"/>
  <c r="H30" i="8"/>
  <c r="H245" i="8"/>
  <c r="H416" i="8"/>
  <c r="H256" i="8"/>
  <c r="H339" i="8"/>
  <c r="H254" i="8"/>
  <c r="H444" i="8"/>
  <c r="H156" i="8"/>
  <c r="H183" i="8"/>
  <c r="H85" i="8"/>
  <c r="H419" i="8"/>
  <c r="H131" i="8"/>
  <c r="H482" i="8"/>
  <c r="H313" i="8"/>
  <c r="H106" i="8"/>
  <c r="H326" i="8"/>
  <c r="H477" i="8"/>
  <c r="H333" i="8"/>
  <c r="H45" i="8"/>
  <c r="H44" i="8"/>
  <c r="H91" i="8"/>
  <c r="H306" i="8"/>
  <c r="H162" i="8"/>
  <c r="H224" i="8"/>
  <c r="H403" i="8"/>
  <c r="H485" i="8"/>
  <c r="H89" i="8"/>
  <c r="H380" i="8"/>
  <c r="H235" i="8"/>
  <c r="H305" i="8"/>
  <c r="H244" i="8"/>
  <c r="H459" i="8"/>
  <c r="H195" i="8"/>
  <c r="H206" i="8"/>
  <c r="H193" i="8"/>
  <c r="H288" i="8"/>
  <c r="H144" i="8"/>
  <c r="H123" i="8"/>
  <c r="H61" i="8"/>
  <c r="H407" i="8"/>
  <c r="H263" i="8"/>
  <c r="H374" i="8"/>
  <c r="H250" i="8"/>
  <c r="H94" i="8"/>
  <c r="H442" i="8"/>
  <c r="H465" i="8"/>
  <c r="H321" i="8"/>
  <c r="H177" i="8"/>
  <c r="H87" i="8"/>
  <c r="H79" i="8"/>
  <c r="H438" i="8"/>
  <c r="H150" i="8"/>
  <c r="H63" i="8"/>
  <c r="H200" i="8"/>
  <c r="H461" i="8"/>
  <c r="H221" i="8"/>
  <c r="H232" i="8"/>
  <c r="H447" i="8"/>
  <c r="H471" i="8"/>
  <c r="H158" i="8"/>
  <c r="H169" i="8"/>
  <c r="H420" i="8"/>
  <c r="H132" i="8"/>
  <c r="H27" i="8"/>
  <c r="H291" i="8"/>
  <c r="H231" i="8"/>
  <c r="H39" i="8"/>
  <c r="H50" i="8"/>
  <c r="H121" i="8"/>
  <c r="H396" i="8"/>
  <c r="H252" i="8"/>
  <c r="H108" i="8"/>
  <c r="H314" i="8"/>
  <c r="H277" i="8"/>
  <c r="H480" i="8"/>
  <c r="H371" i="8"/>
  <c r="H227" i="8"/>
  <c r="H83" i="8"/>
  <c r="H194" i="8"/>
  <c r="H430" i="8"/>
  <c r="H214" i="8"/>
  <c r="H58" i="8"/>
  <c r="H122" i="8"/>
  <c r="H370" i="8"/>
  <c r="H429" i="8"/>
  <c r="H285" i="8"/>
  <c r="H141" i="8"/>
  <c r="H488" i="8"/>
  <c r="H43" i="8"/>
  <c r="H402" i="8"/>
  <c r="H258" i="8"/>
  <c r="H114" i="8"/>
  <c r="H500" i="8"/>
  <c r="H185" i="8"/>
  <c r="H289" i="8"/>
  <c r="H135" i="8"/>
  <c r="H81" i="8"/>
  <c r="H342" i="8"/>
  <c r="H475" i="8"/>
  <c r="H281" i="8"/>
  <c r="H411" i="8"/>
  <c r="H180" i="8"/>
  <c r="H133" i="8"/>
  <c r="H155" i="8"/>
  <c r="H409" i="8"/>
  <c r="H75" i="8"/>
  <c r="H501" i="8"/>
  <c r="H69" i="8"/>
  <c r="H115" i="8"/>
  <c r="H186" i="8"/>
  <c r="H296" i="8"/>
  <c r="H269" i="8"/>
  <c r="H80" i="8"/>
  <c r="H412" i="8"/>
  <c r="H483" i="8"/>
  <c r="H456" i="8"/>
  <c r="H24" i="8"/>
  <c r="H109" i="8"/>
  <c r="H143" i="8"/>
  <c r="H361" i="8"/>
  <c r="H434" i="8"/>
  <c r="H345" i="8"/>
  <c r="H57" i="8"/>
  <c r="H174" i="8"/>
  <c r="H248" i="8"/>
  <c r="H101" i="8"/>
  <c r="H56" i="8"/>
  <c r="H400" i="8"/>
  <c r="H399" i="8"/>
  <c r="H300" i="8"/>
  <c r="H41" i="8"/>
  <c r="H395" i="8"/>
  <c r="H107" i="8"/>
  <c r="H478" i="8"/>
  <c r="H82" i="8"/>
  <c r="H418" i="8"/>
  <c r="H309" i="8"/>
  <c r="H21" i="8"/>
  <c r="H67" i="8"/>
  <c r="H282" i="8"/>
  <c r="H138" i="8"/>
  <c r="H494" i="8"/>
  <c r="H355" i="8"/>
  <c r="H437" i="8"/>
  <c r="H209" i="8"/>
  <c r="H65" i="8"/>
  <c r="H308" i="8"/>
  <c r="H487" i="8"/>
  <c r="H187" i="8"/>
  <c r="H364" i="8"/>
  <c r="H220" i="8"/>
  <c r="H76" i="8"/>
  <c r="H251" i="8"/>
  <c r="H302" i="8"/>
  <c r="H238" i="8"/>
  <c r="H218" i="8"/>
  <c r="H453" i="8"/>
  <c r="H165" i="8"/>
  <c r="H470" i="8"/>
  <c r="H426" i="8"/>
  <c r="H176" i="8"/>
  <c r="H303" i="8"/>
  <c r="H375" i="8"/>
  <c r="H327" i="8"/>
  <c r="H110" i="8"/>
  <c r="H145" i="8"/>
  <c r="H408" i="8"/>
  <c r="H264" i="8"/>
  <c r="H120" i="8"/>
  <c r="H410" i="8"/>
  <c r="H301" i="8"/>
  <c r="H383" i="8"/>
  <c r="H239" i="8"/>
  <c r="H95" i="8"/>
  <c r="H242" i="8"/>
  <c r="H454" i="8"/>
  <c r="H226" i="8"/>
  <c r="H70" i="8"/>
  <c r="H170" i="8"/>
  <c r="H394" i="8"/>
  <c r="H441" i="8"/>
  <c r="H297" i="8"/>
  <c r="H153" i="8"/>
  <c r="H99" i="8"/>
  <c r="H386" i="8"/>
  <c r="H55" i="8"/>
  <c r="H414" i="8"/>
  <c r="H270" i="8"/>
  <c r="H126" i="8"/>
  <c r="H398" i="8"/>
  <c r="H140" i="8"/>
  <c r="H331" i="8"/>
  <c r="H413" i="8"/>
  <c r="H197" i="8"/>
  <c r="H53" i="8"/>
  <c r="H272" i="8"/>
  <c r="H463" i="8"/>
  <c r="H127" i="8"/>
  <c r="H496" i="8"/>
  <c r="H352" i="8"/>
  <c r="H208" i="8"/>
  <c r="H64" i="8"/>
  <c r="H236" i="8"/>
  <c r="H497" i="8"/>
  <c r="H340" i="8"/>
  <c r="H196" i="8"/>
  <c r="H279" i="8"/>
  <c r="H26" i="8"/>
  <c r="H97" i="8"/>
  <c r="H240" i="8"/>
  <c r="H266" i="8"/>
  <c r="H215" i="8"/>
  <c r="H134" i="8"/>
  <c r="H202" i="8"/>
  <c r="H38" i="8"/>
  <c r="H417" i="8"/>
  <c r="H129" i="8"/>
  <c r="H404" i="8"/>
  <c r="H390" i="8"/>
  <c r="H102" i="8"/>
  <c r="H92" i="8"/>
  <c r="H365" i="8"/>
  <c r="H29" i="8"/>
  <c r="H415" i="8"/>
  <c r="H472" i="8"/>
  <c r="H40" i="8"/>
  <c r="H363" i="8"/>
  <c r="H421" i="8"/>
  <c r="H372" i="8"/>
  <c r="H84" i="8"/>
  <c r="H229" i="8"/>
  <c r="H347" i="8"/>
  <c r="H59" i="8"/>
  <c r="H382" i="8"/>
  <c r="H34" i="8"/>
  <c r="H322" i="8"/>
  <c r="H261" i="8"/>
  <c r="H19" i="8"/>
  <c r="H234" i="8"/>
  <c r="H428" i="8"/>
  <c r="H247" i="8"/>
  <c r="H161" i="8"/>
  <c r="H17" i="8"/>
  <c r="H449" i="8"/>
  <c r="H28" i="8"/>
  <c r="H315" i="8"/>
  <c r="H219" i="8"/>
  <c r="H147" i="8"/>
  <c r="H373" i="8"/>
  <c r="H49" i="8"/>
  <c r="H360" i="8"/>
  <c r="H216" i="8"/>
  <c r="H72" i="8"/>
  <c r="H182" i="8"/>
  <c r="H205" i="8"/>
  <c r="H479" i="8"/>
  <c r="H335" i="8"/>
  <c r="H191" i="8"/>
  <c r="H47" i="8"/>
  <c r="H74" i="8"/>
  <c r="H358" i="8"/>
  <c r="H166" i="8"/>
  <c r="H22" i="8"/>
  <c r="H433" i="8"/>
  <c r="H286" i="8"/>
  <c r="H393" i="8"/>
  <c r="H249" i="8"/>
  <c r="H105" i="8"/>
  <c r="H440" i="8"/>
  <c r="H307" i="8"/>
  <c r="H366" i="8"/>
  <c r="H222" i="8"/>
  <c r="H78" i="8"/>
  <c r="H392" i="8"/>
  <c r="H20" i="8"/>
  <c r="H223" i="8"/>
  <c r="H317" i="8"/>
  <c r="H149" i="8"/>
  <c r="H458" i="8"/>
  <c r="H152" i="8"/>
  <c r="H367" i="8"/>
  <c r="H425" i="8"/>
  <c r="H448" i="8"/>
  <c r="H304" i="8"/>
  <c r="H160" i="8"/>
  <c r="H16" i="8"/>
  <c r="H439" i="8"/>
  <c r="H484" i="8"/>
  <c r="H52" i="8"/>
  <c r="H481" i="8"/>
  <c r="H384" i="8"/>
  <c r="H96" i="8"/>
  <c r="H253" i="8"/>
  <c r="H359" i="8"/>
  <c r="H71" i="8"/>
  <c r="H406" i="8"/>
  <c r="H46" i="8"/>
  <c r="H346" i="8"/>
  <c r="H273" i="8"/>
  <c r="H422" i="8"/>
  <c r="H31" i="8"/>
  <c r="H246" i="8"/>
  <c r="H464" i="8"/>
  <c r="H271" i="8"/>
  <c r="H173" i="8"/>
  <c r="H212" i="8"/>
  <c r="H473" i="8"/>
  <c r="H328" i="8"/>
  <c r="H184" i="8"/>
  <c r="H255" i="8"/>
  <c r="H338" i="8"/>
  <c r="H73" i="8"/>
  <c r="H228" i="8"/>
  <c r="H230" i="8"/>
  <c r="H491" i="8"/>
  <c r="H203" i="8"/>
  <c r="H86" i="8"/>
  <c r="H178" i="8"/>
  <c r="H469" i="8"/>
  <c r="H405" i="8"/>
  <c r="H117" i="8"/>
  <c r="H284" i="8"/>
  <c r="H378" i="8"/>
  <c r="H90" i="8"/>
  <c r="H68" i="8"/>
  <c r="H341" i="8"/>
  <c r="H188" i="8"/>
  <c r="H391" i="8"/>
  <c r="H460" i="8"/>
  <c r="H316" i="8"/>
  <c r="H172" i="8"/>
  <c r="H435" i="8"/>
  <c r="H495" i="8"/>
  <c r="H51" i="8"/>
  <c r="H325" i="8"/>
  <c r="H37" i="8"/>
  <c r="H348" i="8"/>
  <c r="H204" i="8"/>
  <c r="H60" i="8"/>
  <c r="H146" i="8"/>
  <c r="H181" i="8"/>
  <c r="H467" i="8"/>
  <c r="H323" i="8"/>
  <c r="H179" i="8"/>
  <c r="H35" i="8"/>
  <c r="H334" i="8"/>
  <c r="H154" i="8"/>
  <c r="H171" i="8"/>
  <c r="H385" i="8"/>
  <c r="H190" i="8"/>
  <c r="H381" i="8"/>
  <c r="H237" i="8"/>
  <c r="H93" i="8"/>
  <c r="H368" i="8"/>
  <c r="H163" i="8"/>
  <c r="H498" i="8"/>
  <c r="H354" i="8"/>
  <c r="H210" i="8"/>
  <c r="H66" i="8"/>
  <c r="H356" i="8"/>
  <c r="H499" i="8"/>
  <c r="H199" i="8"/>
  <c r="H293" i="8"/>
  <c r="H137" i="8"/>
  <c r="H362" i="8"/>
  <c r="H128" i="8"/>
  <c r="H343" i="8"/>
  <c r="H401" i="8"/>
  <c r="H436" i="8"/>
  <c r="H292" i="8"/>
  <c r="H148" i="8"/>
  <c r="H15" i="8"/>
  <c r="C2" i="11" l="1" a="1"/>
  <c r="C2" i="11" s="1"/>
  <c r="AI6" i="8"/>
  <c r="AJ5" i="8"/>
  <c r="AF4" i="8"/>
  <c r="AG3" i="8"/>
  <c r="AA25" i="8"/>
  <c r="AA149" i="8"/>
  <c r="AA236" i="8"/>
  <c r="AA123" i="8"/>
  <c r="AA265" i="8"/>
  <c r="AA178" i="8"/>
  <c r="AA220" i="8"/>
  <c r="AA246" i="8"/>
  <c r="AA179" i="8"/>
  <c r="AA124" i="8"/>
  <c r="AA203" i="8"/>
  <c r="Z236" i="8"/>
  <c r="Z317" i="8"/>
  <c r="Z40" i="8"/>
  <c r="Z174" i="8"/>
  <c r="Z265" i="8"/>
  <c r="Z178" i="8"/>
  <c r="Z198" i="8"/>
  <c r="Z220" i="8"/>
  <c r="Z246" i="8"/>
  <c r="Z179" i="8"/>
  <c r="Z383" i="8"/>
  <c r="Z428" i="8"/>
  <c r="Z280" i="8"/>
  <c r="Z43" i="8"/>
  <c r="Z203" i="8"/>
  <c r="Z421" i="8"/>
  <c r="AA454" i="8"/>
  <c r="AA485" i="8"/>
  <c r="Z25" i="8"/>
  <c r="AA398" i="8"/>
  <c r="AA40" i="8"/>
  <c r="AA412" i="8"/>
  <c r="AA317" i="8"/>
  <c r="AA198" i="8"/>
  <c r="AA383" i="8"/>
  <c r="AA421" i="8"/>
  <c r="AA428" i="8"/>
  <c r="AA43" i="8"/>
  <c r="AA165" i="8"/>
  <c r="Z477" i="8"/>
  <c r="Z149" i="8"/>
  <c r="AA477" i="8"/>
  <c r="AA98" i="8"/>
  <c r="AA111" i="8"/>
  <c r="Z454" i="8"/>
  <c r="AA174" i="8"/>
  <c r="AA273" i="8"/>
  <c r="AA78" i="8"/>
  <c r="Z165" i="8"/>
  <c r="AA368" i="8"/>
  <c r="AA119" i="8"/>
  <c r="AA335" i="8"/>
  <c r="AA82" i="8"/>
  <c r="AA293" i="8"/>
  <c r="AA138" i="8"/>
  <c r="AA309" i="8"/>
  <c r="AA373" i="8"/>
  <c r="AA340" i="8"/>
  <c r="AA159" i="8"/>
  <c r="AA153" i="8"/>
  <c r="AA464" i="8"/>
  <c r="AA86" i="8"/>
  <c r="AA308" i="8"/>
  <c r="AA305" i="8"/>
  <c r="AA418" i="8"/>
  <c r="AA364" i="8"/>
  <c r="AA139" i="8"/>
  <c r="AA310" i="8"/>
  <c r="AA427" i="8"/>
  <c r="AA391" i="8"/>
  <c r="AA195" i="8"/>
  <c r="AA73" i="8"/>
  <c r="AA472" i="8"/>
  <c r="AA378" i="8"/>
  <c r="AA291" i="8"/>
  <c r="AA88" i="8"/>
  <c r="AA402" i="8"/>
  <c r="AA407" i="8"/>
  <c r="AA192" i="8"/>
  <c r="AA145" i="8"/>
  <c r="AA493" i="8"/>
  <c r="AA352" i="8"/>
  <c r="AA448" i="8"/>
  <c r="AA484" i="8"/>
  <c r="AA365" i="8"/>
  <c r="AA410" i="8"/>
  <c r="AA262" i="8"/>
  <c r="AA401" i="8"/>
  <c r="AA83" i="8"/>
  <c r="AA224" i="8"/>
  <c r="AA150" i="8"/>
  <c r="AA87" i="8"/>
  <c r="AA295" i="8"/>
  <c r="AA28" i="8"/>
  <c r="AA379" i="8"/>
  <c r="AA280" i="8"/>
  <c r="AA240" i="8"/>
  <c r="AA312" i="8"/>
  <c r="AA303" i="8"/>
  <c r="AA395" i="8"/>
  <c r="AA133" i="8"/>
  <c r="AA23" i="8"/>
  <c r="AA359" i="8"/>
  <c r="AA458" i="8"/>
  <c r="AA67" i="8"/>
  <c r="AA60" i="8"/>
  <c r="AA405" i="8"/>
  <c r="AA301" i="8"/>
  <c r="AA311" i="8"/>
  <c r="AA106" i="8"/>
  <c r="AA388" i="8"/>
  <c r="AA488" i="8"/>
  <c r="AA115" i="8"/>
  <c r="AA132" i="8"/>
  <c r="AA242" i="8"/>
  <c r="AA142" i="8"/>
  <c r="AA462" i="8"/>
  <c r="AA58" i="8"/>
  <c r="AA492" i="8"/>
  <c r="AA81" i="8"/>
  <c r="AA108" i="8"/>
  <c r="AA232" i="8"/>
  <c r="AA486" i="8"/>
  <c r="AA94" i="8"/>
  <c r="AA144" i="8"/>
  <c r="AA163" i="8"/>
  <c r="AA338" i="8"/>
  <c r="AA406" i="8"/>
  <c r="AA105" i="8"/>
  <c r="AA366" i="8"/>
  <c r="AA326" i="8"/>
  <c r="AA423" i="8"/>
  <c r="AA55" i="8"/>
  <c r="AA390" i="8"/>
  <c r="AA24" i="8"/>
  <c r="AA392" i="8"/>
  <c r="AA339" i="8"/>
  <c r="AA52" i="8"/>
  <c r="AA348" i="8"/>
  <c r="AA270" i="8"/>
  <c r="AA449" i="8"/>
  <c r="AA294" i="8"/>
  <c r="AA385" i="8"/>
  <c r="AA171" i="8"/>
  <c r="AA452" i="8"/>
  <c r="AA490" i="8"/>
  <c r="AA445" i="8"/>
  <c r="AA18" i="8"/>
  <c r="AA134" i="8"/>
  <c r="AA252" i="8"/>
  <c r="AA41" i="8"/>
  <c r="AA217" i="8"/>
  <c r="AA167" i="8"/>
  <c r="AA286" i="8"/>
  <c r="AA68" i="8"/>
  <c r="AA420" i="8"/>
  <c r="AA476" i="8"/>
  <c r="AA65" i="8"/>
  <c r="AA253" i="8"/>
  <c r="AA363" i="8"/>
  <c r="AA66" i="8"/>
  <c r="AA226" i="8"/>
  <c r="AA89" i="8"/>
  <c r="AA479" i="8"/>
  <c r="AA256" i="8"/>
  <c r="AA478" i="8"/>
  <c r="AA199" i="8"/>
  <c r="AA31" i="8"/>
  <c r="AA404" i="8"/>
  <c r="AA146" i="8"/>
  <c r="AA135" i="8"/>
  <c r="AA349" i="8"/>
  <c r="AA437" i="8"/>
  <c r="AA370" i="8"/>
  <c r="AA386" i="8"/>
  <c r="AA376" i="8"/>
  <c r="AA372" i="8"/>
  <c r="AA248" i="8"/>
  <c r="AA327" i="8"/>
  <c r="AA170" i="8"/>
  <c r="AA209" i="8"/>
  <c r="AA495" i="8"/>
  <c r="AA128" i="8"/>
  <c r="AA251" i="8"/>
  <c r="AA470" i="8"/>
  <c r="AA187" i="8"/>
  <c r="AA166" i="8"/>
  <c r="AA394" i="8"/>
  <c r="AA283" i="8"/>
  <c r="AA438" i="8"/>
  <c r="AA22" i="8"/>
  <c r="AA393" i="8"/>
  <c r="AA306" i="8"/>
  <c r="AA100" i="8"/>
  <c r="AA433" i="8"/>
  <c r="AA136" i="8"/>
  <c r="AA469" i="8"/>
  <c r="AA497" i="8"/>
  <c r="AA189" i="8"/>
  <c r="AA354" i="8"/>
  <c r="AA382" i="8"/>
  <c r="AA371" i="8"/>
  <c r="AA143" i="8"/>
  <c r="AA32" i="8"/>
  <c r="AA351" i="8"/>
  <c r="AA33" i="8"/>
  <c r="AA463" i="8"/>
  <c r="AA276" i="8"/>
  <c r="AA361" i="8"/>
  <c r="AA281" i="8"/>
  <c r="AA85" i="8"/>
  <c r="AA121" i="8"/>
  <c r="AA91" i="8"/>
  <c r="AA96" i="8"/>
  <c r="AA46" i="8"/>
  <c r="AA457" i="8"/>
  <c r="AA436" i="8"/>
  <c r="AA329" i="8"/>
  <c r="AA148" i="8"/>
  <c r="AA330" i="8"/>
  <c r="AA267" i="8"/>
  <c r="AA446" i="8"/>
  <c r="AA298" i="8"/>
  <c r="AA489" i="8"/>
  <c r="AA287" i="8"/>
  <c r="AA80" i="8"/>
  <c r="AA369" i="8"/>
  <c r="AA71" i="8"/>
  <c r="AA116" i="8"/>
  <c r="AA331" i="8"/>
  <c r="AA238" i="8"/>
  <c r="AA156" i="8"/>
  <c r="AA355" i="8"/>
  <c r="AA194" i="8"/>
  <c r="AA61" i="8"/>
  <c r="AA69" i="8"/>
  <c r="AA74" i="8"/>
  <c r="AA367" i="8"/>
  <c r="AA157" i="8"/>
  <c r="AA475" i="8"/>
  <c r="AA429" i="8"/>
  <c r="AA468" i="8"/>
  <c r="AA101" i="8"/>
  <c r="AA93" i="8"/>
  <c r="AA39" i="8"/>
  <c r="AA228" i="8"/>
  <c r="AA129" i="8"/>
  <c r="AA75" i="8"/>
  <c r="AA72" i="8"/>
  <c r="AA322" i="8"/>
  <c r="AA337" i="8"/>
  <c r="AA307" i="8"/>
  <c r="AA218" i="8"/>
  <c r="AA107" i="8"/>
  <c r="AA450" i="8"/>
  <c r="AA459" i="8"/>
  <c r="AA184" i="8"/>
  <c r="AA180" i="8"/>
  <c r="AA288" i="8"/>
  <c r="AA151" i="8"/>
  <c r="AA358" i="8"/>
  <c r="AA498" i="8"/>
  <c r="AA193" i="8"/>
  <c r="AA496" i="8"/>
  <c r="AA456" i="8"/>
  <c r="AA109" i="8"/>
  <c r="AA59" i="8"/>
  <c r="AA34" i="8"/>
  <c r="AA17" i="8"/>
  <c r="AA164" i="8"/>
  <c r="AA432" i="8"/>
  <c r="AA249" i="8"/>
  <c r="AA201" i="8"/>
  <c r="AA250" i="8"/>
  <c r="AA333" i="8"/>
  <c r="AA21" i="8"/>
  <c r="AA362" i="8"/>
  <c r="AA190" i="8"/>
  <c r="AA444" i="8"/>
  <c r="AA442" i="8"/>
  <c r="AA334" i="8"/>
  <c r="AA297" i="8"/>
  <c r="AA343" i="8"/>
  <c r="AA268" i="8"/>
  <c r="AA223" i="8"/>
  <c r="AA259" i="8"/>
  <c r="AA434" i="8"/>
  <c r="AA182" i="8"/>
  <c r="AA263" i="8"/>
  <c r="AA460" i="8"/>
  <c r="AA424" i="8"/>
  <c r="AA399" i="8"/>
  <c r="AA396" i="8"/>
  <c r="AA158" i="8"/>
  <c r="AA414" i="8"/>
  <c r="AA282" i="8"/>
  <c r="AA155" i="8"/>
  <c r="AA422" i="8"/>
  <c r="AA44" i="8"/>
  <c r="AA185" i="8"/>
  <c r="AA465" i="8"/>
  <c r="AA42" i="8"/>
  <c r="AA375" i="8"/>
  <c r="AA37" i="8"/>
  <c r="AA397" i="8"/>
  <c r="AA453" i="8"/>
  <c r="AA233" i="8"/>
  <c r="AA336" i="8"/>
  <c r="AA211" i="8"/>
  <c r="AA419" i="8"/>
  <c r="AA191" i="8"/>
  <c r="AA125" i="8"/>
  <c r="AA103" i="8"/>
  <c r="AA112" i="8"/>
  <c r="AA206" i="8"/>
  <c r="AA51" i="8"/>
  <c r="AA207" i="8"/>
  <c r="AA473" i="8"/>
  <c r="AA117" i="8"/>
  <c r="AA186" i="8"/>
  <c r="AA345" i="8"/>
  <c r="AA466" i="8"/>
  <c r="AA300" i="8"/>
  <c r="AA296" i="8"/>
  <c r="AA19" i="8"/>
  <c r="AA47" i="8"/>
  <c r="AA439" i="8"/>
  <c r="AA205" i="8"/>
  <c r="AA284" i="8"/>
  <c r="AA257" i="8"/>
  <c r="AA104" i="8"/>
  <c r="AA384" i="8"/>
  <c r="AA120" i="8"/>
  <c r="AA95" i="8"/>
  <c r="AA350" i="8"/>
  <c r="AA426" i="8"/>
  <c r="AA455" i="8"/>
  <c r="AA313" i="8"/>
  <c r="AA162" i="8"/>
  <c r="AA216" i="8"/>
  <c r="AA416" i="8"/>
  <c r="AA36" i="8"/>
  <c r="AA243" i="8"/>
  <c r="AA353" i="8"/>
  <c r="AA204" i="8"/>
  <c r="AA210" i="8"/>
  <c r="AA377" i="8"/>
  <c r="AA239" i="8"/>
  <c r="AA451" i="8"/>
  <c r="AA241" i="8"/>
  <c r="AA316" i="8"/>
  <c r="AA137" i="8"/>
  <c r="AA271" i="8"/>
  <c r="AA500" i="8"/>
  <c r="AA374" i="8"/>
  <c r="AA314" i="8"/>
  <c r="AA254" i="8"/>
  <c r="AA319" i="8"/>
  <c r="AA70" i="8"/>
  <c r="AA474" i="8"/>
  <c r="AA64" i="8"/>
  <c r="AA97" i="8"/>
  <c r="AA360" i="8"/>
  <c r="AA321" i="8"/>
  <c r="AA415" i="8"/>
  <c r="AA332" i="8"/>
  <c r="AA176" i="8"/>
  <c r="AA483" i="8"/>
  <c r="AA409" i="8"/>
  <c r="AA212" i="8"/>
  <c r="AA62" i="8"/>
  <c r="AA79" i="8"/>
  <c r="AA411" i="8"/>
  <c r="AA213" i="8"/>
  <c r="AA247" i="8"/>
  <c r="AA482" i="8"/>
  <c r="AA344" i="8"/>
  <c r="AA231" i="8"/>
  <c r="AA38" i="8"/>
  <c r="AA127" i="8"/>
  <c r="AA277" i="8"/>
  <c r="AA403" i="8"/>
  <c r="AA315" i="8"/>
  <c r="AA290" i="8"/>
  <c r="AA491" i="8"/>
  <c r="AA110" i="8"/>
  <c r="AA175" i="8"/>
  <c r="AA261" i="8"/>
  <c r="AA188" i="8"/>
  <c r="AA26" i="8"/>
  <c r="AA443" i="8"/>
  <c r="AA425" i="8"/>
  <c r="AA20" i="8"/>
  <c r="AA357" i="8"/>
  <c r="AA471" i="8"/>
  <c r="AA29" i="8"/>
  <c r="AA147" i="8"/>
  <c r="AA30" i="8"/>
  <c r="AA154" i="8"/>
  <c r="AA197" i="8"/>
  <c r="AA480" i="8"/>
  <c r="AA54" i="8"/>
  <c r="AA77" i="8"/>
  <c r="AA272" i="8"/>
  <c r="AA219" i="8"/>
  <c r="AA222" i="8"/>
  <c r="AA27" i="8"/>
  <c r="AA50" i="8"/>
  <c r="AA245" i="8"/>
  <c r="AA90" i="8"/>
  <c r="AA302" i="8"/>
  <c r="AA292" i="8"/>
  <c r="AA255" i="8"/>
  <c r="AA215" i="8"/>
  <c r="AA35" i="8"/>
  <c r="AA269" i="8"/>
  <c r="AA114" i="8"/>
  <c r="AA289" i="8"/>
  <c r="AA487" i="8"/>
  <c r="AA346" i="8"/>
  <c r="AA299" i="8"/>
  <c r="AA202" i="8"/>
  <c r="AA16" i="8"/>
  <c r="AA499" i="8"/>
  <c r="AA140" i="8"/>
  <c r="AA324" i="8"/>
  <c r="AA417" i="8"/>
  <c r="AA430" i="8"/>
  <c r="AA196" i="8"/>
  <c r="AA173" i="8"/>
  <c r="AA200" i="8"/>
  <c r="AA447" i="8"/>
  <c r="AA285" i="8"/>
  <c r="AA56" i="8"/>
  <c r="AA387" i="8"/>
  <c r="AA408" i="8"/>
  <c r="AA53" i="8"/>
  <c r="AA237" i="8"/>
  <c r="AA183" i="8"/>
  <c r="AA328" i="8"/>
  <c r="AA92" i="8"/>
  <c r="AA435" i="8"/>
  <c r="AA84" i="8"/>
  <c r="AA221" i="8"/>
  <c r="AA57" i="8"/>
  <c r="AA441" i="8"/>
  <c r="AA152" i="8"/>
  <c r="AA169" i="8"/>
  <c r="AA244" i="8"/>
  <c r="AA113" i="8"/>
  <c r="AA102" i="8"/>
  <c r="AA320" i="8"/>
  <c r="AA325" i="8"/>
  <c r="AA274" i="8"/>
  <c r="AA264" i="8"/>
  <c r="AA122" i="8"/>
  <c r="AA235" i="8"/>
  <c r="AA161" i="8"/>
  <c r="AA260" i="8"/>
  <c r="AA181" i="8"/>
  <c r="AA118" i="8"/>
  <c r="AA131" i="8"/>
  <c r="AA214" i="8"/>
  <c r="AA208" i="8"/>
  <c r="AA461" i="8"/>
  <c r="AA400" i="8"/>
  <c r="AA45" i="8"/>
  <c r="AA49" i="8"/>
  <c r="AA318" i="8"/>
  <c r="AA227" i="8"/>
  <c r="AA229" i="8"/>
  <c r="AA341" i="8"/>
  <c r="AA431" i="8"/>
  <c r="AA168" i="8"/>
  <c r="AA172" i="8"/>
  <c r="AA342" i="8"/>
  <c r="AA278" i="8"/>
  <c r="AA347" i="8"/>
  <c r="AA481" i="8"/>
  <c r="AA225" i="8"/>
  <c r="AA380" i="8"/>
  <c r="AA130" i="8"/>
  <c r="AA279" i="8"/>
  <c r="AA389" i="8"/>
  <c r="AA234" i="8"/>
  <c r="AA494" i="8"/>
  <c r="AA63" i="8"/>
  <c r="AA275" i="8"/>
  <c r="AA141" i="8"/>
  <c r="AA48" i="8"/>
  <c r="AA413" i="8"/>
  <c r="AA258" i="8"/>
  <c r="AA304" i="8"/>
  <c r="AA99" i="8"/>
  <c r="AA323" i="8"/>
  <c r="AA266" i="8"/>
  <c r="AA177" i="8"/>
  <c r="AA126" i="8"/>
  <c r="AA501" i="8"/>
  <c r="AA230" i="8"/>
  <c r="AA381" i="8"/>
  <c r="AA76" i="8"/>
  <c r="AA440" i="8"/>
  <c r="AA160" i="8"/>
  <c r="AA356" i="8"/>
  <c r="AA467" i="8"/>
  <c r="AA15" i="8"/>
  <c r="Z123" i="8"/>
  <c r="Z124" i="8"/>
  <c r="Z485" i="8"/>
  <c r="Z273" i="8"/>
  <c r="Z82" i="8"/>
  <c r="Z119" i="8"/>
  <c r="Z98" i="8"/>
  <c r="Z398" i="8"/>
  <c r="Z412" i="8"/>
  <c r="Z365" i="8"/>
  <c r="Z418" i="8"/>
  <c r="Z493" i="8"/>
  <c r="Z309" i="8"/>
  <c r="Z79" i="8"/>
  <c r="Z72" i="8"/>
  <c r="Z159" i="8"/>
  <c r="Z484" i="8"/>
  <c r="Z464" i="8"/>
  <c r="Z78" i="8"/>
  <c r="Z106" i="8"/>
  <c r="Z368" i="8"/>
  <c r="Z488" i="8"/>
  <c r="Z132" i="8"/>
  <c r="Z142" i="8"/>
  <c r="Z492" i="8"/>
  <c r="Z232" i="8"/>
  <c r="Z144" i="8"/>
  <c r="Z406" i="8"/>
  <c r="Z326" i="8"/>
  <c r="Z24" i="8"/>
  <c r="Z52" i="8"/>
  <c r="Z449" i="8"/>
  <c r="Z452" i="8"/>
  <c r="Z18" i="8"/>
  <c r="Z217" i="8"/>
  <c r="Z420" i="8"/>
  <c r="Z414" i="8"/>
  <c r="Z437" i="8"/>
  <c r="Z155" i="8"/>
  <c r="Z376" i="8"/>
  <c r="Z185" i="8"/>
  <c r="Z327" i="8"/>
  <c r="Z209" i="8"/>
  <c r="Z397" i="8"/>
  <c r="Z251" i="8"/>
  <c r="Z470" i="8"/>
  <c r="Z419" i="8"/>
  <c r="Z394" i="8"/>
  <c r="Z103" i="8"/>
  <c r="Z22" i="8"/>
  <c r="Z306" i="8"/>
  <c r="Z473" i="8"/>
  <c r="Z186" i="8"/>
  <c r="Z466" i="8"/>
  <c r="Z300" i="8"/>
  <c r="Z382" i="8"/>
  <c r="Z47" i="8"/>
  <c r="Z284" i="8"/>
  <c r="Z350" i="8"/>
  <c r="Z91" i="8"/>
  <c r="Z96" i="8"/>
  <c r="Z46" i="8"/>
  <c r="Z457" i="8"/>
  <c r="Z436" i="8"/>
  <c r="Z329" i="8"/>
  <c r="Z148" i="8"/>
  <c r="Z330" i="8"/>
  <c r="Z267" i="8"/>
  <c r="Z446" i="8"/>
  <c r="Z298" i="8"/>
  <c r="Z377" i="8"/>
  <c r="Z239" i="8"/>
  <c r="Z451" i="8"/>
  <c r="Z241" i="8"/>
  <c r="Z316" i="8"/>
  <c r="Z137" i="8"/>
  <c r="Z271" i="8"/>
  <c r="Z500" i="8"/>
  <c r="Z374" i="8"/>
  <c r="Z314" i="8"/>
  <c r="Z254" i="8"/>
  <c r="Z319" i="8"/>
  <c r="Z70" i="8"/>
  <c r="Z474" i="8"/>
  <c r="Z64" i="8"/>
  <c r="Z97" i="8"/>
  <c r="Z360" i="8"/>
  <c r="Z321" i="8"/>
  <c r="Z415" i="8"/>
  <c r="Z332" i="8"/>
  <c r="Z176" i="8"/>
  <c r="Z39" i="8"/>
  <c r="Z322" i="8"/>
  <c r="Z111" i="8"/>
  <c r="Z153" i="8"/>
  <c r="Z86" i="8"/>
  <c r="Z138" i="8"/>
  <c r="Z388" i="8"/>
  <c r="Z297" i="8"/>
  <c r="Z242" i="8"/>
  <c r="Z58" i="8"/>
  <c r="Z81" i="8"/>
  <c r="Z94" i="8"/>
  <c r="Z338" i="8"/>
  <c r="Z366" i="8"/>
  <c r="Z390" i="8"/>
  <c r="Z339" i="8"/>
  <c r="Z270" i="8"/>
  <c r="Z171" i="8"/>
  <c r="Z445" i="8"/>
  <c r="Z41" i="8"/>
  <c r="Z476" i="8"/>
  <c r="Z158" i="8"/>
  <c r="Z282" i="8"/>
  <c r="Z386" i="8"/>
  <c r="Z44" i="8"/>
  <c r="Z465" i="8"/>
  <c r="Z170" i="8"/>
  <c r="Z495" i="8"/>
  <c r="Z453" i="8"/>
  <c r="Z336" i="8"/>
  <c r="Z187" i="8"/>
  <c r="Z191" i="8"/>
  <c r="Z283" i="8"/>
  <c r="Z112" i="8"/>
  <c r="Z393" i="8"/>
  <c r="Z207" i="8"/>
  <c r="Z433" i="8"/>
  <c r="Z136" i="8"/>
  <c r="Z497" i="8"/>
  <c r="Z354" i="8"/>
  <c r="Z19" i="8"/>
  <c r="Z439" i="8"/>
  <c r="Z351" i="8"/>
  <c r="Z121" i="8"/>
  <c r="Z426" i="8"/>
  <c r="Z455" i="8"/>
  <c r="Z313" i="8"/>
  <c r="Z162" i="8"/>
  <c r="Z216" i="8"/>
  <c r="Z416" i="8"/>
  <c r="Z36" i="8"/>
  <c r="Z243" i="8"/>
  <c r="Z353" i="8"/>
  <c r="Z204" i="8"/>
  <c r="Z210" i="8"/>
  <c r="Z489" i="8"/>
  <c r="Z287" i="8"/>
  <c r="Z80" i="8"/>
  <c r="Z369" i="8"/>
  <c r="Z71" i="8"/>
  <c r="Z116" i="8"/>
  <c r="Z331" i="8"/>
  <c r="Z238" i="8"/>
  <c r="Z156" i="8"/>
  <c r="Z355" i="8"/>
  <c r="Z194" i="8"/>
  <c r="Z61" i="8"/>
  <c r="Z69" i="8"/>
  <c r="Z74" i="8"/>
  <c r="Z367" i="8"/>
  <c r="Z157" i="8"/>
  <c r="Z475" i="8"/>
  <c r="Z429" i="8"/>
  <c r="Z468" i="8"/>
  <c r="Z101" i="8"/>
  <c r="Z93" i="8"/>
  <c r="Z483" i="8"/>
  <c r="Z409" i="8"/>
  <c r="Z228" i="8"/>
  <c r="Z212" i="8"/>
  <c r="Z129" i="8"/>
  <c r="Z62" i="8"/>
  <c r="Z75" i="8"/>
  <c r="Z337" i="8"/>
  <c r="Z448" i="8"/>
  <c r="AB448" i="8" s="1"/>
  <c r="Z410" i="8"/>
  <c r="Z262" i="8"/>
  <c r="Z401" i="8"/>
  <c r="Z83" i="8"/>
  <c r="Z308" i="8"/>
  <c r="Z224" i="8"/>
  <c r="Z305" i="8"/>
  <c r="Z150" i="8"/>
  <c r="Z87" i="8"/>
  <c r="Z364" i="8"/>
  <c r="Z295" i="8"/>
  <c r="Z28" i="8"/>
  <c r="Z379" i="8"/>
  <c r="Z139" i="8"/>
  <c r="Z240" i="8"/>
  <c r="Z310" i="8"/>
  <c r="Z312" i="8"/>
  <c r="Z427" i="8"/>
  <c r="Z303" i="8"/>
  <c r="Z395" i="8"/>
  <c r="Z391" i="8"/>
  <c r="Z133" i="8"/>
  <c r="Z195" i="8"/>
  <c r="Z73" i="8"/>
  <c r="Z23" i="8"/>
  <c r="Z472" i="8"/>
  <c r="Z378" i="8"/>
  <c r="Z359" i="8"/>
  <c r="Z291" i="8"/>
  <c r="Z458" i="8"/>
  <c r="Z88" i="8"/>
  <c r="Z67" i="8"/>
  <c r="Z402" i="8"/>
  <c r="Z60" i="8"/>
  <c r="Z407" i="8"/>
  <c r="Z405" i="8"/>
  <c r="Z192" i="8"/>
  <c r="Z301" i="8"/>
  <c r="Z145" i="8"/>
  <c r="Z311" i="8"/>
  <c r="Z293" i="8"/>
  <c r="Z352" i="8"/>
  <c r="Z115" i="8"/>
  <c r="Z462" i="8"/>
  <c r="Z343" i="8"/>
  <c r="Z108" i="8"/>
  <c r="Z486" i="8"/>
  <c r="Z163" i="8"/>
  <c r="Z105" i="8"/>
  <c r="Z423" i="8"/>
  <c r="Z55" i="8"/>
  <c r="Z392" i="8"/>
  <c r="Z348" i="8"/>
  <c r="Z294" i="8"/>
  <c r="Z385" i="8"/>
  <c r="Z490" i="8"/>
  <c r="Z134" i="8"/>
  <c r="Z252" i="8"/>
  <c r="Z167" i="8"/>
  <c r="Z286" i="8"/>
  <c r="Z68" i="8"/>
  <c r="Z65" i="8"/>
  <c r="Z253" i="8"/>
  <c r="Z363" i="8"/>
  <c r="Z66" i="8"/>
  <c r="Z226" i="8"/>
  <c r="Z89" i="8"/>
  <c r="Z479" i="8"/>
  <c r="Z256" i="8"/>
  <c r="Z478" i="8"/>
  <c r="Z199" i="8"/>
  <c r="Z31" i="8"/>
  <c r="Z404" i="8"/>
  <c r="Z146" i="8"/>
  <c r="Z135" i="8"/>
  <c r="Z349" i="8"/>
  <c r="Z268" i="8"/>
  <c r="Z223" i="8"/>
  <c r="Z259" i="8"/>
  <c r="Z434" i="8"/>
  <c r="Z182" i="8"/>
  <c r="Z263" i="8"/>
  <c r="Z460" i="8"/>
  <c r="Z424" i="8"/>
  <c r="Z399" i="8"/>
  <c r="Z396" i="8"/>
  <c r="Z370" i="8"/>
  <c r="Z422" i="8"/>
  <c r="Z372" i="8"/>
  <c r="Z248" i="8"/>
  <c r="Z42" i="8"/>
  <c r="Z375" i="8"/>
  <c r="Z37" i="8"/>
  <c r="Z128" i="8"/>
  <c r="Z233" i="8"/>
  <c r="Z211" i="8"/>
  <c r="Z166" i="8"/>
  <c r="Z125" i="8"/>
  <c r="Z438" i="8"/>
  <c r="Z206" i="8"/>
  <c r="Z51" i="8"/>
  <c r="Z100" i="8"/>
  <c r="Z117" i="8"/>
  <c r="Z469" i="8"/>
  <c r="Z345" i="8"/>
  <c r="Z189" i="8"/>
  <c r="Z296" i="8"/>
  <c r="Z371" i="8"/>
  <c r="Z143" i="8"/>
  <c r="Z32" i="8"/>
  <c r="Z205" i="8"/>
  <c r="Z33" i="8"/>
  <c r="Z257" i="8"/>
  <c r="Z463" i="8"/>
  <c r="Z104" i="8"/>
  <c r="Z276" i="8"/>
  <c r="Z384" i="8"/>
  <c r="Z361" i="8"/>
  <c r="Z120" i="8"/>
  <c r="Z281" i="8"/>
  <c r="Z95" i="8"/>
  <c r="Z85" i="8"/>
  <c r="Z373" i="8"/>
  <c r="Z411" i="8"/>
  <c r="Z213" i="8"/>
  <c r="Z247" i="8"/>
  <c r="Z307" i="8"/>
  <c r="Z482" i="8"/>
  <c r="Z218" i="8"/>
  <c r="Z344" i="8"/>
  <c r="Z107" i="8"/>
  <c r="Z231" i="8"/>
  <c r="Z450" i="8"/>
  <c r="Z38" i="8"/>
  <c r="Z459" i="8"/>
  <c r="Z127" i="8"/>
  <c r="Z184" i="8"/>
  <c r="Z277" i="8"/>
  <c r="Z180" i="8"/>
  <c r="Z403" i="8"/>
  <c r="Z288" i="8"/>
  <c r="Z315" i="8"/>
  <c r="Z151" i="8"/>
  <c r="Z290" i="8"/>
  <c r="Z358" i="8"/>
  <c r="Z491" i="8"/>
  <c r="Z498" i="8"/>
  <c r="Z110" i="8"/>
  <c r="Z193" i="8"/>
  <c r="Z175" i="8"/>
  <c r="Z496" i="8"/>
  <c r="Z261" i="8"/>
  <c r="Z456" i="8"/>
  <c r="Z188" i="8"/>
  <c r="Z109" i="8"/>
  <c r="Z26" i="8"/>
  <c r="Z59" i="8"/>
  <c r="Z443" i="8"/>
  <c r="Z34" i="8"/>
  <c r="Z425" i="8"/>
  <c r="Z17" i="8"/>
  <c r="Z20" i="8"/>
  <c r="Z164" i="8"/>
  <c r="Z357" i="8"/>
  <c r="Z432" i="8"/>
  <c r="Z471" i="8"/>
  <c r="Z249" i="8"/>
  <c r="Z29" i="8"/>
  <c r="Z201" i="8"/>
  <c r="Z147" i="8"/>
  <c r="Z250" i="8"/>
  <c r="Z30" i="8"/>
  <c r="Z154" i="8"/>
  <c r="Z333" i="8"/>
  <c r="Z197" i="8"/>
  <c r="Z21" i="8"/>
  <c r="Z480" i="8"/>
  <c r="Z362" i="8"/>
  <c r="Z54" i="8"/>
  <c r="Z190" i="8"/>
  <c r="Z444" i="8"/>
  <c r="Z77" i="8"/>
  <c r="Z272" i="8"/>
  <c r="Z219" i="8"/>
  <c r="Z442" i="8"/>
  <c r="Z222" i="8"/>
  <c r="Z27" i="8"/>
  <c r="Z50" i="8"/>
  <c r="Z245" i="8"/>
  <c r="Z90" i="8"/>
  <c r="Z302" i="8"/>
  <c r="Z292" i="8"/>
  <c r="Z255" i="8"/>
  <c r="Z215" i="8"/>
  <c r="Z35" i="8"/>
  <c r="Z269" i="8"/>
  <c r="Z114" i="8"/>
  <c r="Z335" i="8"/>
  <c r="Z340" i="8"/>
  <c r="Z289" i="8"/>
  <c r="Z334" i="8"/>
  <c r="Z160" i="8"/>
  <c r="Z487" i="8"/>
  <c r="Z356" i="8"/>
  <c r="Z346" i="8"/>
  <c r="Z299" i="8"/>
  <c r="AB299" i="8" s="1"/>
  <c r="Z467" i="8"/>
  <c r="Z202" i="8"/>
  <c r="Z16" i="8"/>
  <c r="Z499" i="8"/>
  <c r="Z140" i="8"/>
  <c r="Z324" i="8"/>
  <c r="Z417" i="8"/>
  <c r="Z430" i="8"/>
  <c r="Z196" i="8"/>
  <c r="Z173" i="8"/>
  <c r="Z200" i="8"/>
  <c r="Z447" i="8"/>
  <c r="Z285" i="8"/>
  <c r="Z56" i="8"/>
  <c r="Z387" i="8"/>
  <c r="Z408" i="8"/>
  <c r="Z53" i="8"/>
  <c r="Z237" i="8"/>
  <c r="Z183" i="8"/>
  <c r="Z328" i="8"/>
  <c r="Z92" i="8"/>
  <c r="Z435" i="8"/>
  <c r="Z84" i="8"/>
  <c r="Z221" i="8"/>
  <c r="Z57" i="8"/>
  <c r="Z441" i="8"/>
  <c r="Z152" i="8"/>
  <c r="Z169" i="8"/>
  <c r="Z244" i="8"/>
  <c r="Z113" i="8"/>
  <c r="Z102" i="8"/>
  <c r="Z320" i="8"/>
  <c r="Z325" i="8"/>
  <c r="Z274" i="8"/>
  <c r="Z264" i="8"/>
  <c r="Z122" i="8"/>
  <c r="Z235" i="8"/>
  <c r="Z161" i="8"/>
  <c r="Z260" i="8"/>
  <c r="Z181" i="8"/>
  <c r="Z118" i="8"/>
  <c r="Z131" i="8"/>
  <c r="Z214" i="8"/>
  <c r="Z208" i="8"/>
  <c r="Z461" i="8"/>
  <c r="Z400" i="8"/>
  <c r="Z45" i="8"/>
  <c r="Z49" i="8"/>
  <c r="Z318" i="8"/>
  <c r="Z227" i="8"/>
  <c r="Z229" i="8"/>
  <c r="Z341" i="8"/>
  <c r="Z431" i="8"/>
  <c r="Z168" i="8"/>
  <c r="Z172" i="8"/>
  <c r="Z342" i="8"/>
  <c r="Z278" i="8"/>
  <c r="Z347" i="8"/>
  <c r="Z481" i="8"/>
  <c r="Z225" i="8"/>
  <c r="Z380" i="8"/>
  <c r="Z130" i="8"/>
  <c r="Z279" i="8"/>
  <c r="Z389" i="8"/>
  <c r="Z234" i="8"/>
  <c r="Z494" i="8"/>
  <c r="Z63" i="8"/>
  <c r="Z275" i="8"/>
  <c r="Z141" i="8"/>
  <c r="Z48" i="8"/>
  <c r="Z413" i="8"/>
  <c r="Z258" i="8"/>
  <c r="Z304" i="8"/>
  <c r="Z99" i="8"/>
  <c r="Z323" i="8"/>
  <c r="Z266" i="8"/>
  <c r="Z177" i="8"/>
  <c r="Z126" i="8"/>
  <c r="Z501" i="8"/>
  <c r="Z230" i="8"/>
  <c r="Z381" i="8"/>
  <c r="Z76" i="8"/>
  <c r="Z440" i="8"/>
  <c r="Z15" i="8"/>
  <c r="U13" i="8"/>
  <c r="V13" i="8" s="1"/>
  <c r="R15" i="8"/>
  <c r="T14" i="8"/>
  <c r="AB472" i="8" l="1"/>
  <c r="AB384" i="8"/>
  <c r="AB405" i="8"/>
  <c r="AB51" i="8"/>
  <c r="AB150" i="8"/>
  <c r="AB442" i="8"/>
  <c r="AB242" i="8"/>
  <c r="AB437" i="8"/>
  <c r="AB365" i="8"/>
  <c r="AB378" i="8"/>
  <c r="AB164" i="8"/>
  <c r="AB180" i="8"/>
  <c r="AB87" i="8"/>
  <c r="AB467" i="8"/>
  <c r="AI7" i="8"/>
  <c r="AJ6" i="8"/>
  <c r="AB44" i="8"/>
  <c r="AB206" i="8"/>
  <c r="AB495" i="8"/>
  <c r="AF5" i="8"/>
  <c r="AG4" i="8"/>
  <c r="AB381" i="8"/>
  <c r="AB141" i="8"/>
  <c r="AB278" i="8"/>
  <c r="AB461" i="8"/>
  <c r="AB325" i="8"/>
  <c r="AB92" i="8"/>
  <c r="AB196" i="8"/>
  <c r="AB120" i="8"/>
  <c r="AB167" i="8"/>
  <c r="AB295" i="8"/>
  <c r="AB346" i="8"/>
  <c r="AB297" i="8"/>
  <c r="AB186" i="8"/>
  <c r="AB25" i="8"/>
  <c r="AB147" i="8"/>
  <c r="AB129" i="8"/>
  <c r="AB265" i="8"/>
  <c r="AB123" i="8"/>
  <c r="AB491" i="8"/>
  <c r="AB236" i="8"/>
  <c r="AB178" i="8"/>
  <c r="AB203" i="8"/>
  <c r="AB149" i="8"/>
  <c r="AB246" i="8"/>
  <c r="AB220" i="8"/>
  <c r="AB179" i="8"/>
  <c r="AB124" i="8"/>
  <c r="AB454" i="8"/>
  <c r="AB501" i="8"/>
  <c r="AB63" i="8"/>
  <c r="AB172" i="8"/>
  <c r="AB214" i="8"/>
  <c r="AB102" i="8"/>
  <c r="AB183" i="8"/>
  <c r="AB417" i="8"/>
  <c r="AB432" i="8"/>
  <c r="AB288" i="8"/>
  <c r="AB343" i="8"/>
  <c r="AB317" i="8"/>
  <c r="AB280" i="8"/>
  <c r="AB54" i="8"/>
  <c r="AB407" i="8"/>
  <c r="AB207" i="8"/>
  <c r="AB52" i="8"/>
  <c r="AB188" i="8"/>
  <c r="AB344" i="8"/>
  <c r="AB361" i="8"/>
  <c r="AB133" i="8"/>
  <c r="AB158" i="8"/>
  <c r="AB43" i="8"/>
  <c r="AB249" i="8"/>
  <c r="AB151" i="8"/>
  <c r="AB233" i="8"/>
  <c r="AB386" i="8"/>
  <c r="AB176" i="8"/>
  <c r="AB374" i="8"/>
  <c r="AB98" i="8"/>
  <c r="AB174" i="8"/>
  <c r="AB230" i="8"/>
  <c r="AB275" i="8"/>
  <c r="AB342" i="8"/>
  <c r="AB208" i="8"/>
  <c r="AB320" i="8"/>
  <c r="AB328" i="8"/>
  <c r="AB430" i="8"/>
  <c r="AB189" i="8"/>
  <c r="AB252" i="8"/>
  <c r="AB364" i="8"/>
  <c r="AB75" i="8"/>
  <c r="AB282" i="8"/>
  <c r="AB332" i="8"/>
  <c r="AB500" i="8"/>
  <c r="AB40" i="8"/>
  <c r="AB412" i="8"/>
  <c r="AB398" i="8"/>
  <c r="AB198" i="8"/>
  <c r="AB428" i="8"/>
  <c r="AB421" i="8"/>
  <c r="AB383" i="8"/>
  <c r="AB126" i="8"/>
  <c r="AB494" i="8"/>
  <c r="AB168" i="8"/>
  <c r="AB131" i="8"/>
  <c r="AB113" i="8"/>
  <c r="AB237" i="8"/>
  <c r="AB324" i="8"/>
  <c r="AB473" i="8"/>
  <c r="AB323" i="8"/>
  <c r="AB279" i="8"/>
  <c r="AB229" i="8"/>
  <c r="AB260" i="8"/>
  <c r="AB152" i="8"/>
  <c r="AB387" i="8"/>
  <c r="AB16" i="8"/>
  <c r="AB154" i="8"/>
  <c r="AB291" i="8"/>
  <c r="AB308" i="8"/>
  <c r="AB439" i="8"/>
  <c r="AB302" i="8"/>
  <c r="AB486" i="8"/>
  <c r="AB128" i="8"/>
  <c r="AB148" i="8"/>
  <c r="AB24" i="8"/>
  <c r="AB134" i="8"/>
  <c r="AB402" i="8"/>
  <c r="AB415" i="8"/>
  <c r="AB82" i="8"/>
  <c r="AB261" i="8"/>
  <c r="AB482" i="8"/>
  <c r="AB276" i="8"/>
  <c r="AB469" i="8"/>
  <c r="AB375" i="8"/>
  <c r="AB395" i="8"/>
  <c r="AB321" i="8"/>
  <c r="AB137" i="8"/>
  <c r="AB119" i="8"/>
  <c r="AB334" i="8"/>
  <c r="AB480" i="8"/>
  <c r="AB37" i="8"/>
  <c r="AB271" i="8"/>
  <c r="AB177" i="8"/>
  <c r="AB234" i="8"/>
  <c r="AB431" i="8"/>
  <c r="AB118" i="8"/>
  <c r="AB244" i="8"/>
  <c r="AB53" i="8"/>
  <c r="AB140" i="8"/>
  <c r="AB197" i="8"/>
  <c r="AB115" i="8"/>
  <c r="AB303" i="8"/>
  <c r="AB305" i="8"/>
  <c r="AB360" i="8"/>
  <c r="AB316" i="8"/>
  <c r="AB144" i="8"/>
  <c r="AB485" i="8"/>
  <c r="AB162" i="8"/>
  <c r="AB94" i="8"/>
  <c r="AB330" i="8"/>
  <c r="AB266" i="8"/>
  <c r="AB389" i="8"/>
  <c r="AB341" i="8"/>
  <c r="AB181" i="8"/>
  <c r="AB169" i="8"/>
  <c r="AB408" i="8"/>
  <c r="AB499" i="8"/>
  <c r="AB335" i="8"/>
  <c r="AB175" i="8"/>
  <c r="AB247" i="8"/>
  <c r="AB463" i="8"/>
  <c r="AB445" i="8"/>
  <c r="AB388" i="8"/>
  <c r="AB109" i="8"/>
  <c r="AB107" i="8"/>
  <c r="AB460" i="8"/>
  <c r="AB90" i="8"/>
  <c r="AB313" i="8"/>
  <c r="AB112" i="8"/>
  <c r="AB329" i="8"/>
  <c r="AB490" i="8"/>
  <c r="AB42" i="8"/>
  <c r="AB100" i="8"/>
  <c r="AB97" i="8"/>
  <c r="AB241" i="8"/>
  <c r="AB232" i="8"/>
  <c r="AB213" i="8"/>
  <c r="AB312" i="8"/>
  <c r="AB99" i="8"/>
  <c r="AB130" i="8"/>
  <c r="AB227" i="8"/>
  <c r="AB161" i="8"/>
  <c r="AB441" i="8"/>
  <c r="AB56" i="8"/>
  <c r="AB202" i="8"/>
  <c r="AB30" i="8"/>
  <c r="AB110" i="8"/>
  <c r="AB33" i="8"/>
  <c r="AB86" i="8"/>
  <c r="AB165" i="8"/>
  <c r="AB209" i="8"/>
  <c r="AB362" i="8"/>
  <c r="AB263" i="8"/>
  <c r="AB108" i="8"/>
  <c r="AB464" i="8"/>
  <c r="AB245" i="8"/>
  <c r="AB456" i="8"/>
  <c r="AB218" i="8"/>
  <c r="AB455" i="8"/>
  <c r="AB476" i="8"/>
  <c r="AB436" i="8"/>
  <c r="AB306" i="8"/>
  <c r="AB351" i="8"/>
  <c r="AB64" i="8"/>
  <c r="AB451" i="8"/>
  <c r="AB103" i="8"/>
  <c r="AB411" i="8"/>
  <c r="AB311" i="8"/>
  <c r="AB19" i="8"/>
  <c r="AB304" i="8"/>
  <c r="AB380" i="8"/>
  <c r="AB318" i="8"/>
  <c r="AB235" i="8"/>
  <c r="AB57" i="8"/>
  <c r="AB285" i="8"/>
  <c r="AB55" i="8"/>
  <c r="AB240" i="8"/>
  <c r="AB393" i="8"/>
  <c r="AB484" i="8"/>
  <c r="AB50" i="8"/>
  <c r="AB426" i="8"/>
  <c r="AB307" i="8"/>
  <c r="AB474" i="8"/>
  <c r="AB420" i="8"/>
  <c r="AB29" i="8"/>
  <c r="AB290" i="8"/>
  <c r="AB31" i="8"/>
  <c r="AB73" i="8"/>
  <c r="AB296" i="8"/>
  <c r="AB475" i="8"/>
  <c r="AB71" i="8"/>
  <c r="AB78" i="8"/>
  <c r="AB160" i="8"/>
  <c r="AB81" i="8"/>
  <c r="AB182" i="8"/>
  <c r="AB185" i="8"/>
  <c r="AB21" i="8"/>
  <c r="AB496" i="8"/>
  <c r="AB457" i="8"/>
  <c r="AB477" i="8"/>
  <c r="AB79" i="8"/>
  <c r="AB171" i="8"/>
  <c r="AB239" i="8"/>
  <c r="AB88" i="8"/>
  <c r="AB153" i="8"/>
  <c r="AB258" i="8"/>
  <c r="AB225" i="8"/>
  <c r="AB49" i="8"/>
  <c r="AB122" i="8"/>
  <c r="AB221" i="8"/>
  <c r="AB447" i="8"/>
  <c r="AB32" i="8"/>
  <c r="AB125" i="8"/>
  <c r="AB423" i="8"/>
  <c r="AB301" i="8"/>
  <c r="AB170" i="8"/>
  <c r="AB487" i="8"/>
  <c r="AB199" i="8"/>
  <c r="AB195" i="8"/>
  <c r="AB315" i="8"/>
  <c r="AB273" i="8"/>
  <c r="AB385" i="8"/>
  <c r="AB333" i="8"/>
  <c r="AB46" i="8"/>
  <c r="AB193" i="8"/>
  <c r="AB70" i="8"/>
  <c r="AB377" i="8"/>
  <c r="AB350" i="8"/>
  <c r="AB337" i="8"/>
  <c r="AB369" i="8"/>
  <c r="AB434" i="8"/>
  <c r="AB300" i="8"/>
  <c r="AB471" i="8"/>
  <c r="AB157" i="8"/>
  <c r="AB327" i="8"/>
  <c r="AB62" i="8"/>
  <c r="AB326" i="8"/>
  <c r="AB159" i="8"/>
  <c r="AB27" i="8"/>
  <c r="AB191" i="8"/>
  <c r="AB22" i="8"/>
  <c r="AB492" i="8"/>
  <c r="AB440" i="8"/>
  <c r="AB413" i="8"/>
  <c r="AB481" i="8"/>
  <c r="AB45" i="8"/>
  <c r="AB264" i="8"/>
  <c r="AB84" i="8"/>
  <c r="AB200" i="8"/>
  <c r="AB143" i="8"/>
  <c r="AB68" i="8"/>
  <c r="AB379" i="8"/>
  <c r="AB60" i="8"/>
  <c r="AB256" i="8"/>
  <c r="AB391" i="8"/>
  <c r="AB80" i="8"/>
  <c r="AB58" i="8"/>
  <c r="AB289" i="8"/>
  <c r="AB67" i="8"/>
  <c r="AB74" i="8"/>
  <c r="AB376" i="8"/>
  <c r="AB104" i="8"/>
  <c r="AB89" i="8"/>
  <c r="AB212" i="8"/>
  <c r="AB489" i="8"/>
  <c r="AB222" i="8"/>
  <c r="AB223" i="8"/>
  <c r="AB294" i="8"/>
  <c r="AB458" i="8"/>
  <c r="AB224" i="8"/>
  <c r="AB61" i="8"/>
  <c r="AB268" i="8"/>
  <c r="AB348" i="8"/>
  <c r="AB194" i="8"/>
  <c r="AB96" i="8"/>
  <c r="AB414" i="8"/>
  <c r="AB309" i="8"/>
  <c r="AB269" i="8"/>
  <c r="AB422" i="8"/>
  <c r="AB363" i="8"/>
  <c r="AB310" i="8"/>
  <c r="AB483" i="8"/>
  <c r="AB353" i="8"/>
  <c r="AB453" i="8"/>
  <c r="AB394" i="8"/>
  <c r="AB142" i="8"/>
  <c r="AB35" i="8"/>
  <c r="AB250" i="8"/>
  <c r="AB498" i="8"/>
  <c r="AB373" i="8"/>
  <c r="AB438" i="8"/>
  <c r="AB135" i="8"/>
  <c r="AB401" i="8"/>
  <c r="AB156" i="8"/>
  <c r="AB354" i="8"/>
  <c r="AB339" i="8"/>
  <c r="AB217" i="8"/>
  <c r="AB418" i="8"/>
  <c r="AB77" i="8"/>
  <c r="AB443" i="8"/>
  <c r="AB38" i="8"/>
  <c r="AB396" i="8"/>
  <c r="AB65" i="8"/>
  <c r="AB139" i="8"/>
  <c r="AB101" i="8"/>
  <c r="AB36" i="8"/>
  <c r="AB111" i="8"/>
  <c r="AB298" i="8"/>
  <c r="AB470" i="8"/>
  <c r="AB488" i="8"/>
  <c r="AB255" i="8"/>
  <c r="AB444" i="8"/>
  <c r="AB201" i="8"/>
  <c r="AB59" i="8"/>
  <c r="AB358" i="8"/>
  <c r="AB450" i="8"/>
  <c r="AB95" i="8"/>
  <c r="AB166" i="8"/>
  <c r="AB399" i="8"/>
  <c r="AB404" i="8"/>
  <c r="AB105" i="8"/>
  <c r="AB192" i="8"/>
  <c r="AB23" i="8"/>
  <c r="AB410" i="8"/>
  <c r="AB468" i="8"/>
  <c r="AB331" i="8"/>
  <c r="AB416" i="8"/>
  <c r="AB136" i="8"/>
  <c r="AB465" i="8"/>
  <c r="AB366" i="8"/>
  <c r="AB322" i="8"/>
  <c r="AB254" i="8"/>
  <c r="AB446" i="8"/>
  <c r="AB47" i="8"/>
  <c r="AB251" i="8"/>
  <c r="AB452" i="8"/>
  <c r="AB368" i="8"/>
  <c r="AB478" i="8"/>
  <c r="AB466" i="8"/>
  <c r="AB345" i="8"/>
  <c r="AB367" i="8"/>
  <c r="AB357" i="8"/>
  <c r="AB403" i="8"/>
  <c r="AB479" i="8"/>
  <c r="AB462" i="8"/>
  <c r="AB287" i="8"/>
  <c r="AB283" i="8"/>
  <c r="AB406" i="8"/>
  <c r="AB340" i="8"/>
  <c r="AB117" i="8"/>
  <c r="AB259" i="8"/>
  <c r="AB69" i="8"/>
  <c r="AB121" i="8"/>
  <c r="AB41" i="8"/>
  <c r="AB155" i="8"/>
  <c r="AB72" i="8"/>
  <c r="AB20" i="8"/>
  <c r="AB277" i="8"/>
  <c r="AB248" i="8"/>
  <c r="AB226" i="8"/>
  <c r="AB352" i="8"/>
  <c r="AB427" i="8"/>
  <c r="AB228" i="8"/>
  <c r="AB210" i="8"/>
  <c r="AB187" i="8"/>
  <c r="AB114" i="8"/>
  <c r="AB17" i="8"/>
  <c r="AB184" i="8"/>
  <c r="AB257" i="8"/>
  <c r="AB372" i="8"/>
  <c r="AB66" i="8"/>
  <c r="AB293" i="8"/>
  <c r="AB409" i="8"/>
  <c r="AB204" i="8"/>
  <c r="AB336" i="8"/>
  <c r="AB138" i="8"/>
  <c r="AB219" i="8"/>
  <c r="AB425" i="8"/>
  <c r="AB127" i="8"/>
  <c r="AB349" i="8"/>
  <c r="AB392" i="8"/>
  <c r="AB359" i="8"/>
  <c r="AB83" i="8"/>
  <c r="AB355" i="8"/>
  <c r="AB270" i="8"/>
  <c r="AB91" i="8"/>
  <c r="AB493" i="8"/>
  <c r="AB272" i="8"/>
  <c r="AB34" i="8"/>
  <c r="AB459" i="8"/>
  <c r="AB205" i="8"/>
  <c r="AB370" i="8"/>
  <c r="AB253" i="8"/>
  <c r="AB145" i="8"/>
  <c r="AB93" i="8"/>
  <c r="AB243" i="8"/>
  <c r="AB419" i="8"/>
  <c r="AB132" i="8"/>
  <c r="AB215" i="8"/>
  <c r="AB85" i="8"/>
  <c r="AB146" i="8"/>
  <c r="AB262" i="8"/>
  <c r="AB238" i="8"/>
  <c r="AB497" i="8"/>
  <c r="AB390" i="8"/>
  <c r="AB319" i="8"/>
  <c r="AB284" i="8"/>
  <c r="AB18" i="8"/>
  <c r="AB76" i="8"/>
  <c r="AB48" i="8"/>
  <c r="AB347" i="8"/>
  <c r="AB400" i="8"/>
  <c r="AB274" i="8"/>
  <c r="AB435" i="8"/>
  <c r="AB173" i="8"/>
  <c r="AB356" i="8"/>
  <c r="AB292" i="8"/>
  <c r="AB190" i="8"/>
  <c r="AB26" i="8"/>
  <c r="AB231" i="8"/>
  <c r="AB281" i="8"/>
  <c r="AB371" i="8"/>
  <c r="AB211" i="8"/>
  <c r="AB424" i="8"/>
  <c r="AB286" i="8"/>
  <c r="AB163" i="8"/>
  <c r="AB28" i="8"/>
  <c r="AB429" i="8"/>
  <c r="AB116" i="8"/>
  <c r="AB216" i="8"/>
  <c r="AB433" i="8"/>
  <c r="AB338" i="8"/>
  <c r="AB39" i="8"/>
  <c r="AB314" i="8"/>
  <c r="AB267" i="8"/>
  <c r="AB382" i="8"/>
  <c r="AB397" i="8"/>
  <c r="AB449" i="8"/>
  <c r="AB106" i="8"/>
  <c r="AB15" i="8"/>
  <c r="U14" i="8"/>
  <c r="V14" i="8" s="1"/>
  <c r="R16" i="8"/>
  <c r="T15" i="8"/>
  <c r="AI8" i="8" l="1"/>
  <c r="AJ7" i="8"/>
  <c r="AF6" i="8"/>
  <c r="AG5" i="8"/>
  <c r="AC193" i="8"/>
  <c r="AC397" i="8"/>
  <c r="AC384" i="8"/>
  <c r="AC145" i="8"/>
  <c r="AC130" i="8"/>
  <c r="AC409" i="8"/>
  <c r="AC282" i="8"/>
  <c r="AC242" i="8"/>
  <c r="AC76" i="8"/>
  <c r="AC166" i="8"/>
  <c r="AC100" i="8"/>
  <c r="AC163" i="8"/>
  <c r="AC61" i="8"/>
  <c r="AC344" i="8"/>
  <c r="AC110" i="8"/>
  <c r="AC113" i="8"/>
  <c r="AC188" i="8"/>
  <c r="AC217" i="8"/>
  <c r="AC72" i="8"/>
  <c r="AC43" i="8"/>
  <c r="AC420" i="8"/>
  <c r="AC443" i="8"/>
  <c r="AC255" i="8"/>
  <c r="AC183" i="8"/>
  <c r="AC327" i="8"/>
  <c r="AC104" i="8"/>
  <c r="AC491" i="8"/>
  <c r="AC386" i="8"/>
  <c r="AC235" i="8"/>
  <c r="AC458" i="8"/>
  <c r="AC161" i="8"/>
  <c r="AC294" i="8"/>
  <c r="AC173" i="8"/>
  <c r="AC480" i="8"/>
  <c r="AC442" i="8"/>
  <c r="AC184" i="8"/>
  <c r="AC383" i="8"/>
  <c r="AC394" i="8"/>
  <c r="AC369" i="8"/>
  <c r="AC177" i="8"/>
  <c r="AC450" i="8"/>
  <c r="AC269" i="8"/>
  <c r="AC382" i="8"/>
  <c r="AC212" i="8"/>
  <c r="AC94" i="8"/>
  <c r="AC317" i="8"/>
  <c r="AC343" i="8"/>
  <c r="AC66" i="8"/>
  <c r="AC64" i="8"/>
  <c r="AC334" i="8"/>
  <c r="AC202" i="8"/>
  <c r="AC154" i="8"/>
  <c r="AC52" i="8"/>
  <c r="AC89" i="8"/>
  <c r="AC283" i="8"/>
  <c r="AC422" i="8"/>
  <c r="AC353" i="8"/>
  <c r="AC381" i="8"/>
  <c r="AC378" i="8"/>
  <c r="AC214" i="8"/>
  <c r="AC51" i="8"/>
  <c r="AC322" i="8"/>
  <c r="AC73" i="8"/>
  <c r="AC350" i="8"/>
  <c r="AC500" i="8"/>
  <c r="AC32" i="8"/>
  <c r="AC476" i="8"/>
  <c r="AC107" i="8"/>
  <c r="AC257" i="8"/>
  <c r="AC408" i="8"/>
  <c r="AC141" i="8"/>
  <c r="AC292" i="8"/>
  <c r="AC291" i="8"/>
  <c r="AC441" i="8"/>
  <c r="AC57" i="8"/>
  <c r="AC351" i="8"/>
  <c r="AC31" i="8"/>
  <c r="AC256" i="8"/>
  <c r="AC306" i="8"/>
  <c r="AC239" i="8"/>
  <c r="AC419" i="8"/>
  <c r="AC418" i="8"/>
  <c r="AC465" i="8"/>
  <c r="AC423" i="8"/>
  <c r="AC456" i="8"/>
  <c r="AC455" i="8"/>
  <c r="AC263" i="8"/>
  <c r="AC427" i="8"/>
  <c r="AC225" i="8"/>
  <c r="AC392" i="8"/>
  <c r="AC204" i="8"/>
  <c r="AC363" i="8"/>
  <c r="AC101" i="8"/>
  <c r="AC91" i="8"/>
  <c r="AC63" i="8"/>
  <c r="AC324" i="8"/>
  <c r="AC69" i="8"/>
  <c r="AC55" i="8"/>
  <c r="AC260" i="8"/>
  <c r="AC175" i="8"/>
  <c r="AC131" i="8"/>
  <c r="AC388" i="8"/>
  <c r="AC499" i="8"/>
  <c r="AC336" i="8"/>
  <c r="AC211" i="8"/>
  <c r="AC209" i="8"/>
  <c r="AC341" i="8"/>
  <c r="AC164" i="8"/>
  <c r="AC293" i="8"/>
  <c r="AC467" i="8"/>
  <c r="AC391" i="8"/>
  <c r="AC39" i="8"/>
  <c r="AC297" i="8"/>
  <c r="AC106" i="8"/>
  <c r="AC105" i="8"/>
  <c r="AC96" i="8"/>
  <c r="AC79" i="8"/>
  <c r="AC261" i="8"/>
  <c r="AC296" i="8"/>
  <c r="AC264" i="8"/>
  <c r="AC36" i="8"/>
  <c r="AC268" i="8"/>
  <c r="AC90" i="8"/>
  <c r="AC48" i="8"/>
  <c r="AC109" i="8"/>
  <c r="AC102" i="8"/>
  <c r="AC81" i="8"/>
  <c r="AC40" i="8"/>
  <c r="AC390" i="8"/>
  <c r="AC314" i="8"/>
  <c r="AC312" i="8"/>
  <c r="AC252" i="8"/>
  <c r="AC84" i="8"/>
  <c r="AC497" i="8"/>
  <c r="AC424" i="8"/>
  <c r="AC477" i="8"/>
  <c r="AC454" i="8"/>
  <c r="AC498" i="8"/>
  <c r="AC444" i="8"/>
  <c r="AC482" i="8"/>
  <c r="AC315" i="8"/>
  <c r="AC486" i="8"/>
  <c r="AC485" i="8"/>
  <c r="AC411" i="8"/>
  <c r="AC333" i="8"/>
  <c r="AC262" i="8"/>
  <c r="AC330" i="8"/>
  <c r="AC137" i="8"/>
  <c r="AC160" i="8"/>
  <c r="AC15" i="8"/>
  <c r="AC16" i="8"/>
  <c r="AC28" i="8"/>
  <c r="AC17" i="8"/>
  <c r="AC19" i="8"/>
  <c r="AC20" i="8"/>
  <c r="AC18" i="8"/>
  <c r="AC21" i="8"/>
  <c r="AC25" i="8"/>
  <c r="AC27" i="8"/>
  <c r="AC22" i="8"/>
  <c r="AC23" i="8"/>
  <c r="AC24" i="8"/>
  <c r="AC26" i="8"/>
  <c r="AC440" i="8"/>
  <c r="AC271" i="8"/>
  <c r="AC320" i="8"/>
  <c r="AC231" i="8"/>
  <c r="AC434" i="8"/>
  <c r="AC399" i="8"/>
  <c r="AC136" i="8"/>
  <c r="AC432" i="8"/>
  <c r="AC365" i="8"/>
  <c r="AC481" i="8"/>
  <c r="AC35" i="8"/>
  <c r="AC439" i="8"/>
  <c r="AC469" i="8"/>
  <c r="AC215" i="8"/>
  <c r="AC246" i="8"/>
  <c r="AC67" i="8"/>
  <c r="AC278" i="8"/>
  <c r="AC244" i="8"/>
  <c r="AC368" i="8"/>
  <c r="AC457" i="8"/>
  <c r="AC258" i="8"/>
  <c r="AC142" i="8"/>
  <c r="AC446" i="8"/>
  <c r="AC229" i="8"/>
  <c r="AC203" i="8"/>
  <c r="AC332" i="8"/>
  <c r="AC158" i="8"/>
  <c r="AC372" i="8"/>
  <c r="AC385" i="8"/>
  <c r="AC290" i="8"/>
  <c r="AC300" i="8"/>
  <c r="AC60" i="8"/>
  <c r="AC205" i="8"/>
  <c r="AC501" i="8"/>
  <c r="AC431" i="8"/>
  <c r="AC155" i="8"/>
  <c r="AC207" i="8"/>
  <c r="AC117" i="8"/>
  <c r="AC156" i="8"/>
  <c r="AC172" i="8"/>
  <c r="AC83" i="8"/>
  <c r="AC436" i="8"/>
  <c r="AC488" i="8"/>
  <c r="AC406" i="8"/>
  <c r="AC116" i="8"/>
  <c r="AC121" i="8"/>
  <c r="AC174" i="8"/>
  <c r="AC342" i="8"/>
  <c r="AC348" i="8"/>
  <c r="AC157" i="8"/>
  <c r="AC247" i="8"/>
  <c r="AC289" i="8"/>
  <c r="AC452" i="8"/>
  <c r="AC337" i="8"/>
  <c r="AC425" i="8"/>
  <c r="AC221" i="8"/>
  <c r="AC219" i="8"/>
  <c r="AC56" i="8"/>
  <c r="AC356" i="8"/>
  <c r="AC192" i="8"/>
  <c r="AC38" i="8"/>
  <c r="AC180" i="8"/>
  <c r="AC129" i="8"/>
  <c r="AC305" i="8"/>
  <c r="AC403" i="8"/>
  <c r="AC266" i="8"/>
  <c r="AC405" i="8"/>
  <c r="AC270" i="8"/>
  <c r="AC33" i="8"/>
  <c r="AC475" i="8"/>
  <c r="AC474" i="8"/>
  <c r="AC459" i="8"/>
  <c r="AC118" i="8"/>
  <c r="AC483" i="8"/>
  <c r="AC230" i="8"/>
  <c r="AC407" i="8"/>
  <c r="AC361" i="8"/>
  <c r="AC359" i="8"/>
  <c r="AC389" i="8"/>
  <c r="AC213" i="8"/>
  <c r="AC339" i="8"/>
  <c r="AC338" i="8"/>
  <c r="AC206" i="8"/>
  <c r="AC138" i="8"/>
  <c r="AC92" i="8"/>
  <c r="AC309" i="8"/>
  <c r="AC308" i="8"/>
  <c r="AC253" i="8"/>
  <c r="AC464" i="8"/>
  <c r="AC276" i="8"/>
  <c r="AC240" i="8"/>
  <c r="AC125" i="8"/>
  <c r="AC329" i="8"/>
  <c r="AC190" i="8"/>
  <c r="AC495" i="8"/>
  <c r="AC321" i="8"/>
  <c r="AC250" i="8"/>
  <c r="AC53" i="8"/>
  <c r="AC355" i="8"/>
  <c r="AC171" i="8"/>
  <c r="AC301" i="8"/>
  <c r="AC233" i="8"/>
  <c r="AC199" i="8"/>
  <c r="AC133" i="8"/>
  <c r="AC85" i="8"/>
  <c r="AC417" i="8"/>
  <c r="AC352" i="8"/>
  <c r="AC281" i="8"/>
  <c r="AC97" i="8"/>
  <c r="AC59" i="8"/>
  <c r="AC86" i="8"/>
  <c r="AC375" i="8"/>
  <c r="AC326" i="8"/>
  <c r="AC284" i="8"/>
  <c r="AC126" i="8"/>
  <c r="AC146" i="8"/>
  <c r="AC259" i="8"/>
  <c r="AC186" i="8"/>
  <c r="AC218" i="8"/>
  <c r="AC30" i="8"/>
  <c r="AC335" i="8"/>
  <c r="AC412" i="8"/>
  <c r="AC366" i="8"/>
  <c r="AC74" i="8"/>
  <c r="AC340" i="8"/>
  <c r="AC346" i="8"/>
  <c r="AC44" i="8"/>
  <c r="AC298" i="8"/>
  <c r="AC112" i="8"/>
  <c r="AC103" i="8"/>
  <c r="AC50" i="8"/>
  <c r="AC144" i="8"/>
  <c r="AC462" i="8"/>
  <c r="AC448" i="8"/>
  <c r="AC275" i="8"/>
  <c r="AC127" i="8"/>
  <c r="AC54" i="8"/>
  <c r="AC370" i="8"/>
  <c r="AC49" i="8"/>
  <c r="AC169" i="8"/>
  <c r="AC496" i="8"/>
  <c r="AC237" i="8"/>
  <c r="AC170" i="8"/>
  <c r="AC398" i="8"/>
  <c r="AC234" i="8"/>
  <c r="AC319" i="8"/>
  <c r="AC178" i="8"/>
  <c r="AC325" i="8"/>
  <c r="AC316" i="8"/>
  <c r="AC493" i="8"/>
  <c r="AC181" i="8"/>
  <c r="AC295" i="8"/>
  <c r="AC410" i="8"/>
  <c r="AC159" i="8"/>
  <c r="AC200" i="8"/>
  <c r="AC478" i="8"/>
  <c r="AC108" i="8"/>
  <c r="AC114" i="8"/>
  <c r="AC414" i="8"/>
  <c r="AC323" i="8"/>
  <c r="AC471" i="8"/>
  <c r="AC71" i="8"/>
  <c r="AC494" i="8"/>
  <c r="AC484" i="8"/>
  <c r="AC286" i="8"/>
  <c r="AC135" i="8"/>
  <c r="AC34" i="8"/>
  <c r="AC42" i="8"/>
  <c r="AC248" i="8"/>
  <c r="AC449" i="8"/>
  <c r="AC99" i="8"/>
  <c r="AC226" i="8"/>
  <c r="AC120" i="8"/>
  <c r="AC354" i="8"/>
  <c r="AC128" i="8"/>
  <c r="AC347" i="8"/>
  <c r="AC415" i="8"/>
  <c r="AC400" i="8"/>
  <c r="AC88" i="8"/>
  <c r="AC111" i="8"/>
  <c r="AC201" i="8"/>
  <c r="AC115" i="8"/>
  <c r="AC191" i="8"/>
  <c r="AC197" i="8"/>
  <c r="AC267" i="8"/>
  <c r="AC466" i="8"/>
  <c r="AC75" i="8"/>
  <c r="AC490" i="8"/>
  <c r="AC68" i="8"/>
  <c r="AC143" i="8"/>
  <c r="AC373" i="8"/>
  <c r="AC304" i="8"/>
  <c r="AC288" i="8"/>
  <c r="AC119" i="8"/>
  <c r="AC251" i="8"/>
  <c r="AC168" i="8"/>
  <c r="AC124" i="8"/>
  <c r="AC80" i="8"/>
  <c r="AC460" i="8"/>
  <c r="AC364" i="8"/>
  <c r="AC182" i="8"/>
  <c r="AC95" i="8"/>
  <c r="AC345" i="8"/>
  <c r="AC374" i="8"/>
  <c r="AC162" i="8"/>
  <c r="AC176" i="8"/>
  <c r="AC438" i="8"/>
  <c r="AC179" i="8"/>
  <c r="AC58" i="8"/>
  <c r="AC70" i="8"/>
  <c r="AC194" i="8"/>
  <c r="AC428" i="8"/>
  <c r="AC187" i="8"/>
  <c r="AC196" i="8"/>
  <c r="AC299" i="8"/>
  <c r="AC47" i="8"/>
  <c r="AC380" i="8"/>
  <c r="AC395" i="8"/>
  <c r="AC437" i="8"/>
  <c r="AC413" i="8"/>
  <c r="AC98" i="8"/>
  <c r="AC285" i="8"/>
  <c r="AC151" i="8"/>
  <c r="AC223" i="8"/>
  <c r="AC82" i="8"/>
  <c r="AC358" i="8"/>
  <c r="AC149" i="8"/>
  <c r="AC463" i="8"/>
  <c r="AC152" i="8"/>
  <c r="AC148" i="8"/>
  <c r="AC376" i="8"/>
  <c r="AC307" i="8"/>
  <c r="AC93" i="8"/>
  <c r="AC426" i="8"/>
  <c r="AC313" i="8"/>
  <c r="AC328" i="8"/>
  <c r="AC62" i="8"/>
  <c r="AC198" i="8"/>
  <c r="AC433" i="8"/>
  <c r="AC331" i="8"/>
  <c r="AC489" i="8"/>
  <c r="AC46" i="8"/>
  <c r="AC245" i="8"/>
  <c r="AC122" i="8"/>
  <c r="AC402" i="8"/>
  <c r="AC210" i="8"/>
  <c r="AC132" i="8"/>
  <c r="AC147" i="8"/>
  <c r="AC165" i="8"/>
  <c r="AC139" i="8"/>
  <c r="AC377" i="8"/>
  <c r="AC387" i="8"/>
  <c r="AC65" i="8"/>
  <c r="AC227" i="8"/>
  <c r="AC249" i="8"/>
  <c r="AC461" i="8"/>
  <c r="AC362" i="8"/>
  <c r="AC492" i="8"/>
  <c r="AC311" i="8"/>
  <c r="AC87" i="8"/>
  <c r="AC45" i="8"/>
  <c r="AC77" i="8"/>
  <c r="AC421" i="8"/>
  <c r="AC274" i="8"/>
  <c r="AC445" i="8"/>
  <c r="AC41" i="8"/>
  <c r="AC140" i="8"/>
  <c r="AC416" i="8"/>
  <c r="AC367" i="8"/>
  <c r="AC277" i="8"/>
  <c r="AC470" i="8"/>
  <c r="AC222" i="8"/>
  <c r="AC318" i="8"/>
  <c r="AC167" i="8"/>
  <c r="AC243" i="8"/>
  <c r="AC430" i="8"/>
  <c r="AC472" i="8"/>
  <c r="AC379" i="8"/>
  <c r="AC302" i="8"/>
  <c r="AC303" i="8"/>
  <c r="AC473" i="8"/>
  <c r="AC29" i="8"/>
  <c r="AC357" i="8"/>
  <c r="AC216" i="8"/>
  <c r="AC287" i="8"/>
  <c r="AC232" i="8"/>
  <c r="AC134" i="8"/>
  <c r="AC280" i="8"/>
  <c r="AC224" i="8"/>
  <c r="AC360" i="8"/>
  <c r="AC228" i="8"/>
  <c r="AC349" i="8"/>
  <c r="AC241" i="8"/>
  <c r="AC272" i="8"/>
  <c r="AC479" i="8"/>
  <c r="AC429" i="8"/>
  <c r="AC371" i="8"/>
  <c r="AC78" i="8"/>
  <c r="AC451" i="8"/>
  <c r="AC435" i="8"/>
  <c r="AC236" i="8"/>
  <c r="AC404" i="8"/>
  <c r="AC453" i="8"/>
  <c r="AC447" i="8"/>
  <c r="AC208" i="8"/>
  <c r="AC238" i="8"/>
  <c r="AC195" i="8"/>
  <c r="AC487" i="8"/>
  <c r="AC393" i="8"/>
  <c r="AC468" i="8"/>
  <c r="AC123" i="8"/>
  <c r="AC254" i="8"/>
  <c r="AC401" i="8"/>
  <c r="AC279" i="8"/>
  <c r="AC153" i="8"/>
  <c r="AC150" i="8"/>
  <c r="AC37" i="8"/>
  <c r="AC273" i="8"/>
  <c r="AC396" i="8"/>
  <c r="AC265" i="8"/>
  <c r="AC189" i="8"/>
  <c r="AC220" i="8"/>
  <c r="AC185" i="8"/>
  <c r="AC310" i="8"/>
  <c r="U15" i="8"/>
  <c r="V15" i="8" s="1"/>
  <c r="R17" i="8"/>
  <c r="T16" i="8"/>
  <c r="AI9" i="8" l="1"/>
  <c r="AJ8" i="8"/>
  <c r="AF7" i="8"/>
  <c r="AG6" i="8"/>
  <c r="U16" i="8"/>
  <c r="V16" i="8" s="1"/>
  <c r="R18" i="8"/>
  <c r="T17" i="8"/>
  <c r="AI10" i="8" l="1"/>
  <c r="AJ9" i="8"/>
  <c r="AF8" i="8"/>
  <c r="AG7" i="8"/>
  <c r="U17" i="8"/>
  <c r="V17" i="8" s="1"/>
  <c r="R19" i="8"/>
  <c r="T18" i="8"/>
  <c r="AI11" i="8" l="1"/>
  <c r="AJ10" i="8"/>
  <c r="AF9" i="8"/>
  <c r="AG8" i="8"/>
  <c r="U18" i="8"/>
  <c r="V18" i="8" s="1"/>
  <c r="R20" i="8"/>
  <c r="T19" i="8"/>
  <c r="AI12" i="8" l="1"/>
  <c r="AJ11" i="8"/>
  <c r="AF10" i="8"/>
  <c r="AG9" i="8"/>
  <c r="U19" i="8"/>
  <c r="V19" i="8" s="1"/>
  <c r="R21" i="8"/>
  <c r="T20" i="8"/>
  <c r="AI13" i="8" l="1"/>
  <c r="AJ12" i="8"/>
  <c r="AF11" i="8"/>
  <c r="AG10" i="8"/>
  <c r="U20" i="8"/>
  <c r="V20" i="8" s="1"/>
  <c r="R22" i="8"/>
  <c r="T21" i="8"/>
  <c r="AI14" i="8" l="1"/>
  <c r="AJ13" i="8"/>
  <c r="AF12" i="8"/>
  <c r="AG11" i="8"/>
  <c r="U21" i="8"/>
  <c r="V21" i="8" s="1"/>
  <c r="R23" i="8"/>
  <c r="T22" i="8"/>
  <c r="AI15" i="8" l="1"/>
  <c r="AJ14" i="8"/>
  <c r="AF13" i="8"/>
  <c r="AG12" i="8"/>
  <c r="U22" i="8"/>
  <c r="V22" i="8" s="1"/>
  <c r="R24" i="8"/>
  <c r="T23" i="8"/>
  <c r="AI16" i="8" l="1"/>
  <c r="AJ15" i="8"/>
  <c r="AF14" i="8"/>
  <c r="AG13" i="8"/>
  <c r="U23" i="8"/>
  <c r="V23" i="8" s="1"/>
  <c r="R25" i="8"/>
  <c r="T24" i="8"/>
  <c r="AI17" i="8" l="1"/>
  <c r="AJ16" i="8"/>
  <c r="AF15" i="8"/>
  <c r="AG14" i="8"/>
  <c r="U24" i="8"/>
  <c r="V24" i="8" s="1"/>
  <c r="R26" i="8"/>
  <c r="T25" i="8"/>
  <c r="AI18" i="8" l="1"/>
  <c r="AJ17" i="8"/>
  <c r="AF16" i="8"/>
  <c r="AG15" i="8"/>
  <c r="U25" i="8"/>
  <c r="V25" i="8" s="1"/>
  <c r="R27" i="8"/>
  <c r="T26" i="8"/>
  <c r="AI19" i="8" l="1"/>
  <c r="AJ18" i="8"/>
  <c r="AF17" i="8"/>
  <c r="AG16" i="8"/>
  <c r="U26" i="8"/>
  <c r="V26" i="8" s="1"/>
  <c r="R28" i="8"/>
  <c r="T27" i="8"/>
  <c r="AI20" i="8" l="1"/>
  <c r="AJ19" i="8"/>
  <c r="AF18" i="8"/>
  <c r="AG17" i="8"/>
  <c r="U27" i="8"/>
  <c r="V27" i="8" s="1"/>
  <c r="R29" i="8"/>
  <c r="T28" i="8"/>
  <c r="AI21" i="8" l="1"/>
  <c r="AJ20" i="8"/>
  <c r="AF19" i="8"/>
  <c r="AG18" i="8"/>
  <c r="U28" i="8"/>
  <c r="V28" i="8" s="1"/>
  <c r="R30" i="8"/>
  <c r="T29" i="8"/>
  <c r="AI22" i="8" l="1"/>
  <c r="AJ21" i="8"/>
  <c r="AF20" i="8"/>
  <c r="AG19" i="8"/>
  <c r="U29" i="8"/>
  <c r="V29" i="8" s="1"/>
  <c r="R31" i="8"/>
  <c r="T30" i="8"/>
  <c r="AI23" i="8" l="1"/>
  <c r="AJ22" i="8"/>
  <c r="AF21" i="8"/>
  <c r="AG20" i="8"/>
  <c r="U30" i="8"/>
  <c r="V30" i="8" s="1"/>
  <c r="R32" i="8"/>
  <c r="T31" i="8"/>
  <c r="AI24" i="8" l="1"/>
  <c r="AJ23" i="8"/>
  <c r="AF22" i="8"/>
  <c r="AG21" i="8"/>
  <c r="U31" i="8"/>
  <c r="V31" i="8" s="1"/>
  <c r="R33" i="8"/>
  <c r="T32" i="8"/>
  <c r="AI25" i="8" l="1"/>
  <c r="AJ24" i="8"/>
  <c r="AF23" i="8"/>
  <c r="AG22" i="8"/>
  <c r="U32" i="8"/>
  <c r="V32" i="8" s="1"/>
  <c r="R34" i="8"/>
  <c r="T33" i="8"/>
  <c r="AI26" i="8" l="1"/>
  <c r="AJ25" i="8"/>
  <c r="AF24" i="8"/>
  <c r="AG23" i="8"/>
  <c r="U33" i="8"/>
  <c r="V33" i="8" s="1"/>
  <c r="R35" i="8"/>
  <c r="T34" i="8"/>
  <c r="AI27" i="8" l="1"/>
  <c r="AJ26" i="8"/>
  <c r="AF25" i="8"/>
  <c r="AG24" i="8"/>
  <c r="U34" i="8"/>
  <c r="V34" i="8" s="1"/>
  <c r="R36" i="8"/>
  <c r="T35" i="8"/>
  <c r="AI28" i="8" l="1"/>
  <c r="AJ27" i="8"/>
  <c r="AF26" i="8"/>
  <c r="AG25" i="8"/>
  <c r="U35" i="8"/>
  <c r="V35" i="8" s="1"/>
  <c r="R37" i="8"/>
  <c r="T36" i="8"/>
  <c r="AI29" i="8" l="1"/>
  <c r="AJ28" i="8"/>
  <c r="AF27" i="8"/>
  <c r="AG26" i="8"/>
  <c r="U36" i="8"/>
  <c r="V36" i="8" s="1"/>
  <c r="R38" i="8"/>
  <c r="T37" i="8"/>
  <c r="AI30" i="8" l="1"/>
  <c r="AJ29" i="8"/>
  <c r="AF28" i="8"/>
  <c r="AG27" i="8"/>
  <c r="U37" i="8"/>
  <c r="V37" i="8" s="1"/>
  <c r="R39" i="8"/>
  <c r="T38" i="8"/>
  <c r="AI31" i="8" l="1"/>
  <c r="AJ30" i="8"/>
  <c r="AF29" i="8"/>
  <c r="AG28" i="8"/>
  <c r="U38" i="8"/>
  <c r="V38" i="8" s="1"/>
  <c r="R40" i="8"/>
  <c r="T39" i="8"/>
  <c r="AI32" i="8" l="1"/>
  <c r="AJ31" i="8"/>
  <c r="AF30" i="8"/>
  <c r="AG29" i="8"/>
  <c r="U39" i="8"/>
  <c r="V39" i="8" s="1"/>
  <c r="R41" i="8"/>
  <c r="T40" i="8"/>
  <c r="AI33" i="8" l="1"/>
  <c r="AJ32" i="8"/>
  <c r="AF31" i="8"/>
  <c r="AG30" i="8"/>
  <c r="U40" i="8"/>
  <c r="V40" i="8" s="1"/>
  <c r="R42" i="8"/>
  <c r="T41" i="8"/>
  <c r="AI34" i="8" l="1"/>
  <c r="AJ33" i="8"/>
  <c r="AF32" i="8"/>
  <c r="AG31" i="8"/>
  <c r="U41" i="8"/>
  <c r="V41" i="8" s="1"/>
  <c r="R43" i="8"/>
  <c r="T42" i="8"/>
  <c r="AI35" i="8" l="1"/>
  <c r="AJ34" i="8"/>
  <c r="AF33" i="8"/>
  <c r="AG32" i="8"/>
  <c r="U42" i="8"/>
  <c r="V42" i="8" s="1"/>
  <c r="R44" i="8"/>
  <c r="T43" i="8"/>
  <c r="AI36" i="8" l="1"/>
  <c r="AJ35" i="8"/>
  <c r="AF34" i="8"/>
  <c r="AG33" i="8"/>
  <c r="U43" i="8"/>
  <c r="V43" i="8" s="1"/>
  <c r="R45" i="8"/>
  <c r="T44" i="8"/>
  <c r="AI37" i="8" l="1"/>
  <c r="AJ36" i="8"/>
  <c r="AF35" i="8"/>
  <c r="AG34" i="8"/>
  <c r="U44" i="8"/>
  <c r="V44" i="8" s="1"/>
  <c r="R46" i="8"/>
  <c r="T45" i="8"/>
  <c r="AI38" i="8" l="1"/>
  <c r="AJ37" i="8"/>
  <c r="AF36" i="8"/>
  <c r="AG35" i="8"/>
  <c r="U45" i="8"/>
  <c r="V45" i="8" s="1"/>
  <c r="R47" i="8"/>
  <c r="T46" i="8"/>
  <c r="AI39" i="8" l="1"/>
  <c r="AJ38" i="8"/>
  <c r="AF37" i="8"/>
  <c r="AG36" i="8"/>
  <c r="U46" i="8"/>
  <c r="V46" i="8" s="1"/>
  <c r="R48" i="8"/>
  <c r="T47" i="8"/>
  <c r="AI40" i="8" l="1"/>
  <c r="AJ39" i="8"/>
  <c r="AF38" i="8"/>
  <c r="AG37" i="8"/>
  <c r="U47" i="8"/>
  <c r="V47" i="8" s="1"/>
  <c r="R49" i="8"/>
  <c r="T48" i="8"/>
  <c r="AI41" i="8" l="1"/>
  <c r="AJ40" i="8"/>
  <c r="AF39" i="8"/>
  <c r="AG38" i="8"/>
  <c r="U48" i="8"/>
  <c r="V48" i="8" s="1"/>
  <c r="R50" i="8"/>
  <c r="T49" i="8"/>
  <c r="AI42" i="8" l="1"/>
  <c r="AJ41" i="8"/>
  <c r="AF40" i="8"/>
  <c r="AG39" i="8"/>
  <c r="U49" i="8"/>
  <c r="V49" i="8" s="1"/>
  <c r="R51" i="8"/>
  <c r="T50" i="8"/>
  <c r="AI43" i="8" l="1"/>
  <c r="AJ42" i="8"/>
  <c r="AF41" i="8"/>
  <c r="AG40" i="8"/>
  <c r="U50" i="8"/>
  <c r="V50" i="8" s="1"/>
  <c r="R52" i="8"/>
  <c r="T51" i="8"/>
  <c r="AI44" i="8" l="1"/>
  <c r="AJ43" i="8"/>
  <c r="AF42" i="8"/>
  <c r="AG41" i="8"/>
  <c r="U51" i="8"/>
  <c r="V51" i="8" s="1"/>
  <c r="R53" i="8"/>
  <c r="T52" i="8"/>
  <c r="AI45" i="8" l="1"/>
  <c r="AJ44" i="8"/>
  <c r="AF43" i="8"/>
  <c r="AG42" i="8"/>
  <c r="U52" i="8"/>
  <c r="V52" i="8" s="1"/>
  <c r="R54" i="8"/>
  <c r="T53" i="8"/>
  <c r="AI46" i="8" l="1"/>
  <c r="AJ45" i="8"/>
  <c r="AF44" i="8"/>
  <c r="AG43" i="8"/>
  <c r="U53" i="8"/>
  <c r="V53" i="8" s="1"/>
  <c r="R55" i="8"/>
  <c r="T54" i="8"/>
  <c r="AI47" i="8" l="1"/>
  <c r="AJ46" i="8"/>
  <c r="AF45" i="8"/>
  <c r="AG44" i="8"/>
  <c r="U54" i="8"/>
  <c r="V54" i="8" s="1"/>
  <c r="R56" i="8"/>
  <c r="T55" i="8"/>
  <c r="AI48" i="8" l="1"/>
  <c r="AJ47" i="8"/>
  <c r="AF46" i="8"/>
  <c r="AG45" i="8"/>
  <c r="U55" i="8"/>
  <c r="V55" i="8" s="1"/>
  <c r="R57" i="8"/>
  <c r="T56" i="8"/>
  <c r="AI49" i="8" l="1"/>
  <c r="AJ48" i="8"/>
  <c r="AF47" i="8"/>
  <c r="AG46" i="8"/>
  <c r="U56" i="8"/>
  <c r="V56" i="8" s="1"/>
  <c r="R58" i="8"/>
  <c r="T57" i="8"/>
  <c r="AI50" i="8" l="1"/>
  <c r="AJ49" i="8"/>
  <c r="AF48" i="8"/>
  <c r="AG47" i="8"/>
  <c r="U57" i="8"/>
  <c r="V57" i="8" s="1"/>
  <c r="R59" i="8"/>
  <c r="T58" i="8"/>
  <c r="AI51" i="8" l="1"/>
  <c r="AJ50" i="8"/>
  <c r="AF49" i="8"/>
  <c r="AG48" i="8"/>
  <c r="U58" i="8"/>
  <c r="V58" i="8" s="1"/>
  <c r="R60" i="8"/>
  <c r="T59" i="8"/>
  <c r="AI52" i="8" l="1"/>
  <c r="AJ51" i="8"/>
  <c r="AF50" i="8"/>
  <c r="AG49" i="8"/>
  <c r="U59" i="8"/>
  <c r="V59" i="8" s="1"/>
  <c r="R61" i="8"/>
  <c r="T60" i="8"/>
  <c r="AI53" i="8" l="1"/>
  <c r="AJ52" i="8"/>
  <c r="AF51" i="8"/>
  <c r="AG50" i="8"/>
  <c r="U60" i="8"/>
  <c r="V60" i="8" s="1"/>
  <c r="R62" i="8"/>
  <c r="T61" i="8"/>
  <c r="AI54" i="8" l="1"/>
  <c r="AJ53" i="8"/>
  <c r="AF52" i="8"/>
  <c r="AG51" i="8"/>
  <c r="U61" i="8"/>
  <c r="V61" i="8" s="1"/>
  <c r="R63" i="8"/>
  <c r="T62" i="8"/>
  <c r="AI55" i="8" l="1"/>
  <c r="AJ54" i="8"/>
  <c r="AF53" i="8"/>
  <c r="AG52" i="8"/>
  <c r="U62" i="8"/>
  <c r="V62" i="8" s="1"/>
  <c r="R64" i="8"/>
  <c r="T63" i="8"/>
  <c r="AI56" i="8" l="1"/>
  <c r="AJ55" i="8"/>
  <c r="AF54" i="8"/>
  <c r="AG53" i="8"/>
  <c r="U63" i="8"/>
  <c r="V63" i="8" s="1"/>
  <c r="R65" i="8"/>
  <c r="T64" i="8"/>
  <c r="AI57" i="8" l="1"/>
  <c r="AJ56" i="8"/>
  <c r="AF55" i="8"/>
  <c r="AG54" i="8"/>
  <c r="U64" i="8"/>
  <c r="V64" i="8" s="1"/>
  <c r="R66" i="8"/>
  <c r="T65" i="8"/>
  <c r="AI58" i="8" l="1"/>
  <c r="AJ57" i="8"/>
  <c r="AF56" i="8"/>
  <c r="AG55" i="8"/>
  <c r="U65" i="8"/>
  <c r="V65" i="8" s="1"/>
  <c r="R67" i="8"/>
  <c r="T66" i="8"/>
  <c r="AI59" i="8" l="1"/>
  <c r="AJ58" i="8"/>
  <c r="AF57" i="8"/>
  <c r="AG56" i="8"/>
  <c r="U66" i="8"/>
  <c r="V66" i="8" s="1"/>
  <c r="R68" i="8"/>
  <c r="T67" i="8"/>
  <c r="AI60" i="8" l="1"/>
  <c r="AJ59" i="8"/>
  <c r="AF58" i="8"/>
  <c r="AG57" i="8"/>
  <c r="U67" i="8"/>
  <c r="V67" i="8" s="1"/>
  <c r="R69" i="8"/>
  <c r="T68" i="8"/>
  <c r="AI61" i="8" l="1"/>
  <c r="AJ60" i="8"/>
  <c r="AF59" i="8"/>
  <c r="AG58" i="8"/>
  <c r="U68" i="8"/>
  <c r="V68" i="8" s="1"/>
  <c r="R70" i="8"/>
  <c r="T69" i="8"/>
  <c r="AI62" i="8" l="1"/>
  <c r="AJ61" i="8"/>
  <c r="AF60" i="8"/>
  <c r="AG59" i="8"/>
  <c r="U69" i="8"/>
  <c r="V69" i="8" s="1"/>
  <c r="R71" i="8"/>
  <c r="T70" i="8"/>
  <c r="AI63" i="8" l="1"/>
  <c r="AJ62" i="8"/>
  <c r="AF61" i="8"/>
  <c r="AG60" i="8"/>
  <c r="U70" i="8"/>
  <c r="V70" i="8" s="1"/>
  <c r="R72" i="8"/>
  <c r="T71" i="8"/>
  <c r="AI64" i="8" l="1"/>
  <c r="AJ63" i="8"/>
  <c r="AF62" i="8"/>
  <c r="AG61" i="8"/>
  <c r="U71" i="8"/>
  <c r="V71" i="8" s="1"/>
  <c r="R73" i="8"/>
  <c r="T72" i="8"/>
  <c r="AI65" i="8" l="1"/>
  <c r="AJ64" i="8"/>
  <c r="AF63" i="8"/>
  <c r="AG62" i="8"/>
  <c r="U72" i="8"/>
  <c r="V72" i="8" s="1"/>
  <c r="R74" i="8"/>
  <c r="T73" i="8"/>
  <c r="AI66" i="8" l="1"/>
  <c r="AJ65" i="8"/>
  <c r="AF64" i="8"/>
  <c r="AG63" i="8"/>
  <c r="U73" i="8"/>
  <c r="V73" i="8" s="1"/>
  <c r="R75" i="8"/>
  <c r="T74" i="8"/>
  <c r="AI67" i="8" l="1"/>
  <c r="AJ66" i="8"/>
  <c r="AF65" i="8"/>
  <c r="AG64" i="8"/>
  <c r="U74" i="8"/>
  <c r="V74" i="8" s="1"/>
  <c r="R76" i="8"/>
  <c r="T75" i="8"/>
  <c r="AI68" i="8" l="1"/>
  <c r="AJ67" i="8"/>
  <c r="AF66" i="8"/>
  <c r="AG65" i="8"/>
  <c r="U75" i="8"/>
  <c r="V75" i="8" s="1"/>
  <c r="R77" i="8"/>
  <c r="T76" i="8"/>
  <c r="AI69" i="8" l="1"/>
  <c r="AJ68" i="8"/>
  <c r="AF67" i="8"/>
  <c r="AG66" i="8"/>
  <c r="U76" i="8"/>
  <c r="V76" i="8" s="1"/>
  <c r="R78" i="8"/>
  <c r="T77" i="8"/>
  <c r="AI70" i="8" l="1"/>
  <c r="AJ69" i="8"/>
  <c r="AF68" i="8"/>
  <c r="AG67" i="8"/>
  <c r="U77" i="8"/>
  <c r="V77" i="8" s="1"/>
  <c r="R79" i="8"/>
  <c r="T78" i="8"/>
  <c r="AI71" i="8" l="1"/>
  <c r="AJ70" i="8"/>
  <c r="AF69" i="8"/>
  <c r="AG68" i="8"/>
  <c r="U78" i="8"/>
  <c r="V78" i="8" s="1"/>
  <c r="R80" i="8"/>
  <c r="T79" i="8"/>
  <c r="AI72" i="8" l="1"/>
  <c r="AJ71" i="8"/>
  <c r="AF70" i="8"/>
  <c r="AG69" i="8"/>
  <c r="U79" i="8"/>
  <c r="V79" i="8" s="1"/>
  <c r="R81" i="8"/>
  <c r="T80" i="8"/>
  <c r="AI73" i="8" l="1"/>
  <c r="AJ72" i="8"/>
  <c r="AF71" i="8"/>
  <c r="AG70" i="8"/>
  <c r="U80" i="8"/>
  <c r="V80" i="8" s="1"/>
  <c r="R82" i="8"/>
  <c r="T81" i="8"/>
  <c r="AI74" i="8" l="1"/>
  <c r="AJ73" i="8"/>
  <c r="AF72" i="8"/>
  <c r="AG71" i="8"/>
  <c r="U81" i="8"/>
  <c r="V81" i="8" s="1"/>
  <c r="R83" i="8"/>
  <c r="T82" i="8"/>
  <c r="AI75" i="8" l="1"/>
  <c r="AJ74" i="8"/>
  <c r="AF73" i="8"/>
  <c r="AG72" i="8"/>
  <c r="U82" i="8"/>
  <c r="V82" i="8" s="1"/>
  <c r="R84" i="8"/>
  <c r="T83" i="8"/>
  <c r="AI76" i="8" l="1"/>
  <c r="AJ75" i="8"/>
  <c r="AF74" i="8"/>
  <c r="AG73" i="8"/>
  <c r="U83" i="8"/>
  <c r="V83" i="8" s="1"/>
  <c r="R85" i="8"/>
  <c r="T84" i="8"/>
  <c r="AI77" i="8" l="1"/>
  <c r="AJ76" i="8"/>
  <c r="AF75" i="8"/>
  <c r="AG74" i="8"/>
  <c r="U84" i="8"/>
  <c r="V84" i="8" s="1"/>
  <c r="R86" i="8"/>
  <c r="T85" i="8"/>
  <c r="AI78" i="8" l="1"/>
  <c r="AJ77" i="8"/>
  <c r="AF76" i="8"/>
  <c r="AG75" i="8"/>
  <c r="U85" i="8"/>
  <c r="V85" i="8" s="1"/>
  <c r="R87" i="8"/>
  <c r="T86" i="8"/>
  <c r="AI79" i="8" l="1"/>
  <c r="AJ78" i="8"/>
  <c r="AF77" i="8"/>
  <c r="AG76" i="8"/>
  <c r="U86" i="8"/>
  <c r="V86" i="8" s="1"/>
  <c r="R88" i="8"/>
  <c r="T87" i="8"/>
  <c r="AI80" i="8" l="1"/>
  <c r="AJ79" i="8"/>
  <c r="AF78" i="8"/>
  <c r="AG77" i="8"/>
  <c r="U87" i="8"/>
  <c r="V87" i="8" s="1"/>
  <c r="R89" i="8"/>
  <c r="T88" i="8"/>
  <c r="AI81" i="8" l="1"/>
  <c r="AJ80" i="8"/>
  <c r="AF79" i="8"/>
  <c r="AG78" i="8"/>
  <c r="U88" i="8"/>
  <c r="V88" i="8" s="1"/>
  <c r="R90" i="8"/>
  <c r="T89" i="8"/>
  <c r="AI82" i="8" l="1"/>
  <c r="AJ81" i="8"/>
  <c r="AF80" i="8"/>
  <c r="AG79" i="8"/>
  <c r="U89" i="8"/>
  <c r="V89" i="8" s="1"/>
  <c r="R91" i="8"/>
  <c r="T90" i="8"/>
  <c r="AI83" i="8" l="1"/>
  <c r="AJ82" i="8"/>
  <c r="AF81" i="8"/>
  <c r="AG80" i="8"/>
  <c r="U90" i="8"/>
  <c r="V90" i="8" s="1"/>
  <c r="R92" i="8"/>
  <c r="T91" i="8"/>
  <c r="AI84" i="8" l="1"/>
  <c r="AJ83" i="8"/>
  <c r="AF82" i="8"/>
  <c r="AG81" i="8"/>
  <c r="U91" i="8"/>
  <c r="V91" i="8" s="1"/>
  <c r="R93" i="8"/>
  <c r="T92" i="8"/>
  <c r="AI85" i="8" l="1"/>
  <c r="AJ84" i="8"/>
  <c r="AF83" i="8"/>
  <c r="AG82" i="8"/>
  <c r="U92" i="8"/>
  <c r="V92" i="8" s="1"/>
  <c r="R94" i="8"/>
  <c r="T93" i="8"/>
  <c r="AI86" i="8" l="1"/>
  <c r="AJ85" i="8"/>
  <c r="AF84" i="8"/>
  <c r="AG83" i="8"/>
  <c r="U93" i="8"/>
  <c r="V93" i="8" s="1"/>
  <c r="R95" i="8"/>
  <c r="T94" i="8"/>
  <c r="AI87" i="8" l="1"/>
  <c r="AJ86" i="8"/>
  <c r="AF85" i="8"/>
  <c r="AG84" i="8"/>
  <c r="U94" i="8"/>
  <c r="V94" i="8" s="1"/>
  <c r="R96" i="8"/>
  <c r="T95" i="8"/>
  <c r="AI88" i="8" l="1"/>
  <c r="AJ87" i="8"/>
  <c r="AF86" i="8"/>
  <c r="AG85" i="8"/>
  <c r="U95" i="8"/>
  <c r="V95" i="8" s="1"/>
  <c r="R97" i="8"/>
  <c r="T96" i="8"/>
  <c r="AI89" i="8" l="1"/>
  <c r="AJ88" i="8"/>
  <c r="AF87" i="8"/>
  <c r="AG86" i="8"/>
  <c r="U96" i="8"/>
  <c r="V96" i="8" s="1"/>
  <c r="R98" i="8"/>
  <c r="T97" i="8"/>
  <c r="AI90" i="8" l="1"/>
  <c r="AJ89" i="8"/>
  <c r="AF88" i="8"/>
  <c r="AG87" i="8"/>
  <c r="U97" i="8"/>
  <c r="V97" i="8" s="1"/>
  <c r="R99" i="8"/>
  <c r="T98" i="8"/>
  <c r="AI91" i="8" l="1"/>
  <c r="AJ90" i="8"/>
  <c r="AF89" i="8"/>
  <c r="AG88" i="8"/>
  <c r="U98" i="8"/>
  <c r="V98" i="8" s="1"/>
  <c r="R100" i="8"/>
  <c r="T99" i="8"/>
  <c r="AI92" i="8" l="1"/>
  <c r="AJ91" i="8"/>
  <c r="AF90" i="8"/>
  <c r="AG89" i="8"/>
  <c r="U99" i="8"/>
  <c r="V99" i="8" s="1"/>
  <c r="R101" i="8"/>
  <c r="T100" i="8"/>
  <c r="AI93" i="8" l="1"/>
  <c r="AJ92" i="8"/>
  <c r="AF91" i="8"/>
  <c r="AG90" i="8"/>
  <c r="U100" i="8"/>
  <c r="V100" i="8" s="1"/>
  <c r="R102" i="8"/>
  <c r="T101" i="8"/>
  <c r="AI94" i="8" l="1"/>
  <c r="AJ93" i="8"/>
  <c r="AF92" i="8"/>
  <c r="AG91" i="8"/>
  <c r="U101" i="8"/>
  <c r="V101" i="8" s="1"/>
  <c r="R103" i="8"/>
  <c r="T102" i="8"/>
  <c r="AI95" i="8" l="1"/>
  <c r="AJ94" i="8"/>
  <c r="AF93" i="8"/>
  <c r="AG92" i="8"/>
  <c r="U102" i="8"/>
  <c r="V102" i="8" s="1"/>
  <c r="R104" i="8"/>
  <c r="T103" i="8"/>
  <c r="AI96" i="8" l="1"/>
  <c r="AJ95" i="8"/>
  <c r="AF94" i="8"/>
  <c r="AG93" i="8"/>
  <c r="U103" i="8"/>
  <c r="V103" i="8" s="1"/>
  <c r="R105" i="8"/>
  <c r="T104" i="8"/>
  <c r="AI97" i="8" l="1"/>
  <c r="AJ96" i="8"/>
  <c r="AF95" i="8"/>
  <c r="AG94" i="8"/>
  <c r="U104" i="8"/>
  <c r="V104" i="8" s="1"/>
  <c r="R106" i="8"/>
  <c r="T105" i="8"/>
  <c r="AI98" i="8" l="1"/>
  <c r="AJ97" i="8"/>
  <c r="AF96" i="8"/>
  <c r="AG95" i="8"/>
  <c r="U105" i="8"/>
  <c r="V105" i="8" s="1"/>
  <c r="R107" i="8"/>
  <c r="T106" i="8"/>
  <c r="AI99" i="8" l="1"/>
  <c r="AJ98" i="8"/>
  <c r="AF97" i="8"/>
  <c r="AG96" i="8"/>
  <c r="U106" i="8"/>
  <c r="V106" i="8" s="1"/>
  <c r="R108" i="8"/>
  <c r="T107" i="8"/>
  <c r="AI100" i="8" l="1"/>
  <c r="AJ99" i="8"/>
  <c r="AF98" i="8"/>
  <c r="AG97" i="8"/>
  <c r="U107" i="8"/>
  <c r="V107" i="8" s="1"/>
  <c r="R109" i="8"/>
  <c r="T108" i="8"/>
  <c r="AI101" i="8" l="1"/>
  <c r="AJ100" i="8"/>
  <c r="AF99" i="8"/>
  <c r="AG98" i="8"/>
  <c r="U108" i="8"/>
  <c r="V108" i="8" s="1"/>
  <c r="R110" i="8"/>
  <c r="T109" i="8"/>
  <c r="AI102" i="8" l="1"/>
  <c r="AJ101" i="8"/>
  <c r="AF100" i="8"/>
  <c r="AG99" i="8"/>
  <c r="U109" i="8"/>
  <c r="V109" i="8" s="1"/>
  <c r="R111" i="8"/>
  <c r="T110" i="8"/>
  <c r="AI103" i="8" l="1"/>
  <c r="AJ102" i="8"/>
  <c r="AF101" i="8"/>
  <c r="AG100" i="8"/>
  <c r="U110" i="8"/>
  <c r="V110" i="8" s="1"/>
  <c r="R112" i="8"/>
  <c r="T111" i="8"/>
  <c r="AI104" i="8" l="1"/>
  <c r="AJ103" i="8"/>
  <c r="AF102" i="8"/>
  <c r="AG101" i="8"/>
  <c r="U111" i="8"/>
  <c r="V111" i="8" s="1"/>
  <c r="R113" i="8"/>
  <c r="T112" i="8"/>
  <c r="AI105" i="8" l="1"/>
  <c r="AJ104" i="8"/>
  <c r="AF103" i="8"/>
  <c r="AG102" i="8"/>
  <c r="U112" i="8"/>
  <c r="V112" i="8" s="1"/>
  <c r="R114" i="8"/>
  <c r="T113" i="8"/>
  <c r="AI106" i="8" l="1"/>
  <c r="AJ105" i="8"/>
  <c r="AF104" i="8"/>
  <c r="AG103" i="8"/>
  <c r="U113" i="8"/>
  <c r="V113" i="8" s="1"/>
  <c r="R115" i="8"/>
  <c r="T114" i="8"/>
  <c r="AI107" i="8" l="1"/>
  <c r="AJ106" i="8"/>
  <c r="AF105" i="8"/>
  <c r="AG104" i="8"/>
  <c r="U114" i="8"/>
  <c r="V114" i="8" s="1"/>
  <c r="R116" i="8"/>
  <c r="T115" i="8"/>
  <c r="AI108" i="8" l="1"/>
  <c r="AJ107" i="8"/>
  <c r="AF106" i="8"/>
  <c r="AG105" i="8"/>
  <c r="U115" i="8"/>
  <c r="V115" i="8" s="1"/>
  <c r="R117" i="8"/>
  <c r="T116" i="8"/>
  <c r="AI109" i="8" l="1"/>
  <c r="AJ108" i="8"/>
  <c r="AF107" i="8"/>
  <c r="AG106" i="8"/>
  <c r="U116" i="8"/>
  <c r="V116" i="8" s="1"/>
  <c r="R118" i="8"/>
  <c r="T117" i="8"/>
  <c r="AI110" i="8" l="1"/>
  <c r="AJ109" i="8"/>
  <c r="AF108" i="8"/>
  <c r="AG107" i="8"/>
  <c r="U117" i="8"/>
  <c r="V117" i="8" s="1"/>
  <c r="R119" i="8"/>
  <c r="T118" i="8"/>
  <c r="AI111" i="8" l="1"/>
  <c r="AJ110" i="8"/>
  <c r="AF109" i="8"/>
  <c r="AG108" i="8"/>
  <c r="U118" i="8"/>
  <c r="V118" i="8" s="1"/>
  <c r="R120" i="8"/>
  <c r="T119" i="8"/>
  <c r="AI112" i="8" l="1"/>
  <c r="AJ111" i="8"/>
  <c r="AF110" i="8"/>
  <c r="AG109" i="8"/>
  <c r="U119" i="8"/>
  <c r="V119" i="8" s="1"/>
  <c r="R121" i="8"/>
  <c r="T120" i="8"/>
  <c r="AI113" i="8" l="1"/>
  <c r="AJ112" i="8"/>
  <c r="AF111" i="8"/>
  <c r="AG110" i="8"/>
  <c r="U120" i="8"/>
  <c r="V120" i="8" s="1"/>
  <c r="R122" i="8"/>
  <c r="T121" i="8"/>
  <c r="AI114" i="8" l="1"/>
  <c r="AJ113" i="8"/>
  <c r="AF112" i="8"/>
  <c r="AG111" i="8"/>
  <c r="U121" i="8"/>
  <c r="V121" i="8" s="1"/>
  <c r="R123" i="8"/>
  <c r="T122" i="8"/>
  <c r="AI115" i="8" l="1"/>
  <c r="AJ114" i="8"/>
  <c r="AF113" i="8"/>
  <c r="AG112" i="8"/>
  <c r="U122" i="8"/>
  <c r="V122" i="8" s="1"/>
  <c r="R124" i="8"/>
  <c r="T123" i="8"/>
  <c r="AI116" i="8" l="1"/>
  <c r="AJ115" i="8"/>
  <c r="AF114" i="8"/>
  <c r="AG113" i="8"/>
  <c r="U123" i="8"/>
  <c r="V123" i="8" s="1"/>
  <c r="R125" i="8"/>
  <c r="T124" i="8"/>
  <c r="AI117" i="8" l="1"/>
  <c r="AJ116" i="8"/>
  <c r="AF115" i="8"/>
  <c r="AG114" i="8"/>
  <c r="U124" i="8"/>
  <c r="V124" i="8" s="1"/>
  <c r="R126" i="8"/>
  <c r="T125" i="8"/>
  <c r="AI118" i="8" l="1"/>
  <c r="AJ117" i="8"/>
  <c r="AF116" i="8"/>
  <c r="AG115" i="8"/>
  <c r="U125" i="8"/>
  <c r="V125" i="8" s="1"/>
  <c r="R127" i="8"/>
  <c r="T126" i="8"/>
  <c r="AI119" i="8" l="1"/>
  <c r="AJ118" i="8"/>
  <c r="AF117" i="8"/>
  <c r="AG116" i="8"/>
  <c r="U126" i="8"/>
  <c r="V126" i="8" s="1"/>
  <c r="R128" i="8"/>
  <c r="T127" i="8"/>
  <c r="AI120" i="8" l="1"/>
  <c r="AJ119" i="8"/>
  <c r="AF118" i="8"/>
  <c r="AG117" i="8"/>
  <c r="U127" i="8"/>
  <c r="V127" i="8" s="1"/>
  <c r="R129" i="8"/>
  <c r="T128" i="8"/>
  <c r="AI121" i="8" l="1"/>
  <c r="AJ120" i="8"/>
  <c r="AF119" i="8"/>
  <c r="AG118" i="8"/>
  <c r="U128" i="8"/>
  <c r="V128" i="8" s="1"/>
  <c r="R130" i="8"/>
  <c r="T129" i="8"/>
  <c r="AI122" i="8" l="1"/>
  <c r="AJ121" i="8"/>
  <c r="AF120" i="8"/>
  <c r="AG119" i="8"/>
  <c r="U129" i="8"/>
  <c r="V129" i="8" s="1"/>
  <c r="R131" i="8"/>
  <c r="T130" i="8"/>
  <c r="AI123" i="8" l="1"/>
  <c r="AJ122" i="8"/>
  <c r="AF121" i="8"/>
  <c r="AG120" i="8"/>
  <c r="U130" i="8"/>
  <c r="V130" i="8" s="1"/>
  <c r="R132" i="8"/>
  <c r="T131" i="8"/>
  <c r="AI124" i="8" l="1"/>
  <c r="AJ123" i="8"/>
  <c r="AF122" i="8"/>
  <c r="AG121" i="8"/>
  <c r="U131" i="8"/>
  <c r="V131" i="8" s="1"/>
  <c r="R133" i="8"/>
  <c r="T132" i="8"/>
  <c r="AI125" i="8" l="1"/>
  <c r="AJ124" i="8"/>
  <c r="AF123" i="8"/>
  <c r="AG122" i="8"/>
  <c r="U132" i="8"/>
  <c r="V132" i="8" s="1"/>
  <c r="R134" i="8"/>
  <c r="T133" i="8"/>
  <c r="AI126" i="8" l="1"/>
  <c r="AJ125" i="8"/>
  <c r="AF124" i="8"/>
  <c r="AG123" i="8"/>
  <c r="U133" i="8"/>
  <c r="V133" i="8" s="1"/>
  <c r="R135" i="8"/>
  <c r="T134" i="8"/>
  <c r="AI127" i="8" l="1"/>
  <c r="AJ126" i="8"/>
  <c r="AF125" i="8"/>
  <c r="AG124" i="8"/>
  <c r="U134" i="8"/>
  <c r="V134" i="8" s="1"/>
  <c r="R136" i="8"/>
  <c r="T135" i="8"/>
  <c r="AI128" i="8" l="1"/>
  <c r="AJ127" i="8"/>
  <c r="AF126" i="8"/>
  <c r="AG125" i="8"/>
  <c r="U135" i="8"/>
  <c r="V135" i="8" s="1"/>
  <c r="R137" i="8"/>
  <c r="T136" i="8"/>
  <c r="AI129" i="8" l="1"/>
  <c r="AJ128" i="8"/>
  <c r="AF127" i="8"/>
  <c r="AG126" i="8"/>
  <c r="U136" i="8"/>
  <c r="V136" i="8" s="1"/>
  <c r="R138" i="8"/>
  <c r="T137" i="8"/>
  <c r="AI130" i="8" l="1"/>
  <c r="AJ129" i="8"/>
  <c r="AF128" i="8"/>
  <c r="AG127" i="8"/>
  <c r="U137" i="8"/>
  <c r="V137" i="8" s="1"/>
  <c r="R139" i="8"/>
  <c r="T138" i="8"/>
  <c r="AI131" i="8" l="1"/>
  <c r="AJ130" i="8"/>
  <c r="AF129" i="8"/>
  <c r="AG128" i="8"/>
  <c r="U138" i="8"/>
  <c r="V138" i="8" s="1"/>
  <c r="R140" i="8"/>
  <c r="T139" i="8"/>
  <c r="AI132" i="8" l="1"/>
  <c r="AJ131" i="8"/>
  <c r="AF130" i="8"/>
  <c r="AG129" i="8"/>
  <c r="U139" i="8"/>
  <c r="V139" i="8" s="1"/>
  <c r="R141" i="8"/>
  <c r="T140" i="8"/>
  <c r="AI133" i="8" l="1"/>
  <c r="AJ132" i="8"/>
  <c r="AF131" i="8"/>
  <c r="AG130" i="8"/>
  <c r="U140" i="8"/>
  <c r="V140" i="8" s="1"/>
  <c r="R142" i="8"/>
  <c r="T141" i="8"/>
  <c r="AI134" i="8" l="1"/>
  <c r="AJ133" i="8"/>
  <c r="AF132" i="8"/>
  <c r="AG131" i="8"/>
  <c r="U141" i="8"/>
  <c r="V141" i="8" s="1"/>
  <c r="R143" i="8"/>
  <c r="T142" i="8"/>
  <c r="AI135" i="8" l="1"/>
  <c r="AJ134" i="8"/>
  <c r="AF133" i="8"/>
  <c r="AG132" i="8"/>
  <c r="U142" i="8"/>
  <c r="V142" i="8" s="1"/>
  <c r="R144" i="8"/>
  <c r="T143" i="8"/>
  <c r="AI136" i="8" l="1"/>
  <c r="AJ135" i="8"/>
  <c r="AF134" i="8"/>
  <c r="AG133" i="8"/>
  <c r="U143" i="8"/>
  <c r="V143" i="8" s="1"/>
  <c r="R145" i="8"/>
  <c r="T144" i="8"/>
  <c r="AI137" i="8" l="1"/>
  <c r="AJ136" i="8"/>
  <c r="AF135" i="8"/>
  <c r="AG134" i="8"/>
  <c r="U144" i="8"/>
  <c r="V144" i="8" s="1"/>
  <c r="R146" i="8"/>
  <c r="T145" i="8"/>
  <c r="AI138" i="8" l="1"/>
  <c r="AJ137" i="8"/>
  <c r="AF136" i="8"/>
  <c r="AG135" i="8"/>
  <c r="U145" i="8"/>
  <c r="V145" i="8" s="1"/>
  <c r="R147" i="8"/>
  <c r="T146" i="8"/>
  <c r="AI139" i="8" l="1"/>
  <c r="AJ138" i="8"/>
  <c r="AF137" i="8"/>
  <c r="AG136" i="8"/>
  <c r="U146" i="8"/>
  <c r="V146" i="8" s="1"/>
  <c r="R148" i="8"/>
  <c r="T147" i="8"/>
  <c r="AI140" i="8" l="1"/>
  <c r="AJ139" i="8"/>
  <c r="AF138" i="8"/>
  <c r="AG137" i="8"/>
  <c r="U147" i="8"/>
  <c r="V147" i="8" s="1"/>
  <c r="R149" i="8"/>
  <c r="T148" i="8"/>
  <c r="AI141" i="8" l="1"/>
  <c r="AJ140" i="8"/>
  <c r="AF139" i="8"/>
  <c r="AG138" i="8"/>
  <c r="U148" i="8"/>
  <c r="V148" i="8" s="1"/>
  <c r="R150" i="8"/>
  <c r="T149" i="8"/>
  <c r="AI142" i="8" l="1"/>
  <c r="AJ141" i="8"/>
  <c r="AF140" i="8"/>
  <c r="AG139" i="8"/>
  <c r="U149" i="8"/>
  <c r="V149" i="8" s="1"/>
  <c r="R151" i="8"/>
  <c r="T150" i="8"/>
  <c r="AI143" i="8" l="1"/>
  <c r="AJ142" i="8"/>
  <c r="AF141" i="8"/>
  <c r="AG140" i="8"/>
  <c r="U150" i="8"/>
  <c r="V150" i="8" s="1"/>
  <c r="R152" i="8"/>
  <c r="T151" i="8"/>
  <c r="AI144" i="8" l="1"/>
  <c r="AJ143" i="8"/>
  <c r="AF142" i="8"/>
  <c r="AG141" i="8"/>
  <c r="U151" i="8"/>
  <c r="V151" i="8" s="1"/>
  <c r="R153" i="8"/>
  <c r="T152" i="8"/>
  <c r="AI145" i="8" l="1"/>
  <c r="AJ144" i="8"/>
  <c r="AF143" i="8"/>
  <c r="AG142" i="8"/>
  <c r="U152" i="8"/>
  <c r="V152" i="8" s="1"/>
  <c r="R154" i="8"/>
  <c r="T153" i="8"/>
  <c r="AI146" i="8" l="1"/>
  <c r="AJ145" i="8"/>
  <c r="AF144" i="8"/>
  <c r="AG143" i="8"/>
  <c r="U153" i="8"/>
  <c r="V153" i="8" s="1"/>
  <c r="R155" i="8"/>
  <c r="T154" i="8"/>
  <c r="AI147" i="8" l="1"/>
  <c r="AJ146" i="8"/>
  <c r="AF145" i="8"/>
  <c r="AG144" i="8"/>
  <c r="U154" i="8"/>
  <c r="V154" i="8" s="1"/>
  <c r="R156" i="8"/>
  <c r="T155" i="8"/>
  <c r="AI148" i="8" l="1"/>
  <c r="AJ147" i="8"/>
  <c r="AF146" i="8"/>
  <c r="AG145" i="8"/>
  <c r="U155" i="8"/>
  <c r="V155" i="8" s="1"/>
  <c r="R157" i="8"/>
  <c r="T156" i="8"/>
  <c r="AI149" i="8" l="1"/>
  <c r="AJ148" i="8"/>
  <c r="AF147" i="8"/>
  <c r="AG146" i="8"/>
  <c r="U156" i="8"/>
  <c r="V156" i="8" s="1"/>
  <c r="R158" i="8"/>
  <c r="T157" i="8"/>
  <c r="AI150" i="8" l="1"/>
  <c r="AJ149" i="8"/>
  <c r="AF148" i="8"/>
  <c r="AG147" i="8"/>
  <c r="U157" i="8"/>
  <c r="V157" i="8" s="1"/>
  <c r="R159" i="8"/>
  <c r="T158" i="8"/>
  <c r="AI151" i="8" l="1"/>
  <c r="AJ150" i="8"/>
  <c r="AF149" i="8"/>
  <c r="AG148" i="8"/>
  <c r="U158" i="8"/>
  <c r="V158" i="8" s="1"/>
  <c r="R160" i="8"/>
  <c r="T159" i="8"/>
  <c r="AI152" i="8" l="1"/>
  <c r="AJ151" i="8"/>
  <c r="AF150" i="8"/>
  <c r="AG149" i="8"/>
  <c r="U159" i="8"/>
  <c r="V159" i="8" s="1"/>
  <c r="R161" i="8"/>
  <c r="T160" i="8"/>
  <c r="AI153" i="8" l="1"/>
  <c r="AJ152" i="8"/>
  <c r="AF151" i="8"/>
  <c r="AG150" i="8"/>
  <c r="U160" i="8"/>
  <c r="V160" i="8" s="1"/>
  <c r="R162" i="8"/>
  <c r="T161" i="8"/>
  <c r="AI154" i="8" l="1"/>
  <c r="AJ153" i="8"/>
  <c r="AF152" i="8"/>
  <c r="AG151" i="8"/>
  <c r="U161" i="8"/>
  <c r="V161" i="8" s="1"/>
  <c r="R163" i="8"/>
  <c r="T162" i="8"/>
  <c r="AI155" i="8" l="1"/>
  <c r="AJ154" i="8"/>
  <c r="AF153" i="8"/>
  <c r="AG152" i="8"/>
  <c r="U162" i="8"/>
  <c r="V162" i="8" s="1"/>
  <c r="R164" i="8"/>
  <c r="T163" i="8"/>
  <c r="AI156" i="8" l="1"/>
  <c r="AJ155" i="8"/>
  <c r="AF154" i="8"/>
  <c r="AG153" i="8"/>
  <c r="U163" i="8"/>
  <c r="V163" i="8" s="1"/>
  <c r="R165" i="8"/>
  <c r="T164" i="8"/>
  <c r="AI157" i="8" l="1"/>
  <c r="AJ156" i="8"/>
  <c r="AF155" i="8"/>
  <c r="AG154" i="8"/>
  <c r="U164" i="8"/>
  <c r="V164" i="8" s="1"/>
  <c r="R166" i="8"/>
  <c r="T165" i="8"/>
  <c r="AI158" i="8" l="1"/>
  <c r="AJ157" i="8"/>
  <c r="AF156" i="8"/>
  <c r="AG155" i="8"/>
  <c r="U165" i="8"/>
  <c r="V165" i="8" s="1"/>
  <c r="R167" i="8"/>
  <c r="T166" i="8"/>
  <c r="AI159" i="8" l="1"/>
  <c r="AJ158" i="8"/>
  <c r="AF157" i="8"/>
  <c r="AG156" i="8"/>
  <c r="U166" i="8"/>
  <c r="V166" i="8" s="1"/>
  <c r="R168" i="8"/>
  <c r="T167" i="8"/>
  <c r="AI160" i="8" l="1"/>
  <c r="AJ159" i="8"/>
  <c r="AF158" i="8"/>
  <c r="AG157" i="8"/>
  <c r="U167" i="8"/>
  <c r="V167" i="8" s="1"/>
  <c r="R169" i="8"/>
  <c r="T168" i="8"/>
  <c r="AI161" i="8" l="1"/>
  <c r="AJ160" i="8"/>
  <c r="AF159" i="8"/>
  <c r="AG158" i="8"/>
  <c r="U168" i="8"/>
  <c r="V168" i="8" s="1"/>
  <c r="R170" i="8"/>
  <c r="T169" i="8"/>
  <c r="AI162" i="8" l="1"/>
  <c r="AJ161" i="8"/>
  <c r="AF160" i="8"/>
  <c r="AG159" i="8"/>
  <c r="U169" i="8"/>
  <c r="V169" i="8" s="1"/>
  <c r="R171" i="8"/>
  <c r="T170" i="8"/>
  <c r="AI163" i="8" l="1"/>
  <c r="AJ162" i="8"/>
  <c r="AF161" i="8"/>
  <c r="AG160" i="8"/>
  <c r="U170" i="8"/>
  <c r="V170" i="8" s="1"/>
  <c r="R172" i="8"/>
  <c r="T171" i="8"/>
  <c r="AI164" i="8" l="1"/>
  <c r="AJ163" i="8"/>
  <c r="AF162" i="8"/>
  <c r="AG161" i="8"/>
  <c r="U171" i="8"/>
  <c r="V171" i="8" s="1"/>
  <c r="R173" i="8"/>
  <c r="T172" i="8"/>
  <c r="AI165" i="8" l="1"/>
  <c r="AJ164" i="8"/>
  <c r="AF163" i="8"/>
  <c r="AG162" i="8"/>
  <c r="U172" i="8"/>
  <c r="V172" i="8" s="1"/>
  <c r="R174" i="8"/>
  <c r="T173" i="8"/>
  <c r="AI166" i="8" l="1"/>
  <c r="AJ165" i="8"/>
  <c r="AF164" i="8"/>
  <c r="AG163" i="8"/>
  <c r="U173" i="8"/>
  <c r="V173" i="8" s="1"/>
  <c r="R175" i="8"/>
  <c r="T174" i="8"/>
  <c r="AI167" i="8" l="1"/>
  <c r="AJ166" i="8"/>
  <c r="AF165" i="8"/>
  <c r="AG164" i="8"/>
  <c r="U174" i="8"/>
  <c r="V174" i="8" s="1"/>
  <c r="R176" i="8"/>
  <c r="T175" i="8"/>
  <c r="AI168" i="8" l="1"/>
  <c r="AJ167" i="8"/>
  <c r="AF166" i="8"/>
  <c r="AG165" i="8"/>
  <c r="U175" i="8"/>
  <c r="V175" i="8" s="1"/>
  <c r="R177" i="8"/>
  <c r="T176" i="8"/>
  <c r="AI169" i="8" l="1"/>
  <c r="AJ168" i="8"/>
  <c r="AF167" i="8"/>
  <c r="AG166" i="8"/>
  <c r="U176" i="8"/>
  <c r="V176" i="8" s="1"/>
  <c r="R178" i="8"/>
  <c r="T177" i="8"/>
  <c r="AI170" i="8" l="1"/>
  <c r="AJ169" i="8"/>
  <c r="AF168" i="8"/>
  <c r="AG167" i="8"/>
  <c r="U177" i="8"/>
  <c r="V177" i="8" s="1"/>
  <c r="R179" i="8"/>
  <c r="T178" i="8"/>
  <c r="AI171" i="8" l="1"/>
  <c r="AJ170" i="8"/>
  <c r="AF169" i="8"/>
  <c r="AG168" i="8"/>
  <c r="U178" i="8"/>
  <c r="V178" i="8" s="1"/>
  <c r="R180" i="8"/>
  <c r="T179" i="8"/>
  <c r="AI172" i="8" l="1"/>
  <c r="AJ171" i="8"/>
  <c r="AF170" i="8"/>
  <c r="AG169" i="8"/>
  <c r="U179" i="8"/>
  <c r="V179" i="8" s="1"/>
  <c r="R181" i="8"/>
  <c r="T180" i="8"/>
  <c r="AI173" i="8" l="1"/>
  <c r="AJ172" i="8"/>
  <c r="AF171" i="8"/>
  <c r="AG170" i="8"/>
  <c r="U180" i="8"/>
  <c r="V180" i="8" s="1"/>
  <c r="R182" i="8"/>
  <c r="T181" i="8"/>
  <c r="AI174" i="8" l="1"/>
  <c r="AJ173" i="8"/>
  <c r="AF172" i="8"/>
  <c r="AG171" i="8"/>
  <c r="U181" i="8"/>
  <c r="V181" i="8" s="1"/>
  <c r="R183" i="8"/>
  <c r="T182" i="8"/>
  <c r="AI175" i="8" l="1"/>
  <c r="AJ174" i="8"/>
  <c r="AF173" i="8"/>
  <c r="AG172" i="8"/>
  <c r="U182" i="8"/>
  <c r="V182" i="8" s="1"/>
  <c r="R184" i="8"/>
  <c r="T183" i="8"/>
  <c r="AI176" i="8" l="1"/>
  <c r="AJ175" i="8"/>
  <c r="AF174" i="8"/>
  <c r="AG173" i="8"/>
  <c r="U183" i="8"/>
  <c r="V183" i="8" s="1"/>
  <c r="R185" i="8"/>
  <c r="T184" i="8"/>
  <c r="AI177" i="8" l="1"/>
  <c r="AJ176" i="8"/>
  <c r="AF175" i="8"/>
  <c r="AG174" i="8"/>
  <c r="U184" i="8"/>
  <c r="V184" i="8" s="1"/>
  <c r="R186" i="8"/>
  <c r="T185" i="8"/>
  <c r="AI178" i="8" l="1"/>
  <c r="AJ177" i="8"/>
  <c r="AF176" i="8"/>
  <c r="AG175" i="8"/>
  <c r="U185" i="8"/>
  <c r="V185" i="8" s="1"/>
  <c r="R187" i="8"/>
  <c r="T186" i="8"/>
  <c r="AI179" i="8" l="1"/>
  <c r="AJ178" i="8"/>
  <c r="AF177" i="8"/>
  <c r="AG176" i="8"/>
  <c r="U186" i="8"/>
  <c r="V186" i="8" s="1"/>
  <c r="R188" i="8"/>
  <c r="T187" i="8"/>
  <c r="AI180" i="8" l="1"/>
  <c r="AJ179" i="8"/>
  <c r="AF178" i="8"/>
  <c r="AG177" i="8"/>
  <c r="U187" i="8"/>
  <c r="V187" i="8" s="1"/>
  <c r="R189" i="8"/>
  <c r="T188" i="8"/>
  <c r="AI181" i="8" l="1"/>
  <c r="AJ180" i="8"/>
  <c r="AF179" i="8"/>
  <c r="AG178" i="8"/>
  <c r="U188" i="8"/>
  <c r="V188" i="8" s="1"/>
  <c r="R190" i="8"/>
  <c r="T189" i="8"/>
  <c r="AI182" i="8" l="1"/>
  <c r="AJ181" i="8"/>
  <c r="AF180" i="8"/>
  <c r="AG179" i="8"/>
  <c r="U189" i="8"/>
  <c r="V189" i="8" s="1"/>
  <c r="R191" i="8"/>
  <c r="T190" i="8"/>
  <c r="AI183" i="8" l="1"/>
  <c r="AJ182" i="8"/>
  <c r="AF181" i="8"/>
  <c r="AG180" i="8"/>
  <c r="U190" i="8"/>
  <c r="V190" i="8" s="1"/>
  <c r="R192" i="8"/>
  <c r="T191" i="8"/>
  <c r="AI184" i="8" l="1"/>
  <c r="AJ183" i="8"/>
  <c r="AF182" i="8"/>
  <c r="AG181" i="8"/>
  <c r="U191" i="8"/>
  <c r="V191" i="8" s="1"/>
  <c r="R193" i="8"/>
  <c r="T192" i="8"/>
  <c r="AI185" i="8" l="1"/>
  <c r="AJ184" i="8"/>
  <c r="AF183" i="8"/>
  <c r="AG182" i="8"/>
  <c r="U192" i="8"/>
  <c r="V192" i="8" s="1"/>
  <c r="R194" i="8"/>
  <c r="T193" i="8"/>
  <c r="AI186" i="8" l="1"/>
  <c r="AJ185" i="8"/>
  <c r="AF184" i="8"/>
  <c r="AG183" i="8"/>
  <c r="U193" i="8"/>
  <c r="V193" i="8" s="1"/>
  <c r="R195" i="8"/>
  <c r="T194" i="8"/>
  <c r="AI187" i="8" l="1"/>
  <c r="AJ186" i="8"/>
  <c r="AF185" i="8"/>
  <c r="AG184" i="8"/>
  <c r="U194" i="8"/>
  <c r="V194" i="8" s="1"/>
  <c r="R196" i="8"/>
  <c r="T195" i="8"/>
  <c r="AI188" i="8" l="1"/>
  <c r="AJ187" i="8"/>
  <c r="AF186" i="8"/>
  <c r="AG185" i="8"/>
  <c r="U195" i="8"/>
  <c r="V195" i="8" s="1"/>
  <c r="R197" i="8"/>
  <c r="T196" i="8"/>
  <c r="AI189" i="8" l="1"/>
  <c r="AJ188" i="8"/>
  <c r="AF187" i="8"/>
  <c r="AG186" i="8"/>
  <c r="U196" i="8"/>
  <c r="V196" i="8" s="1"/>
  <c r="R198" i="8"/>
  <c r="T197" i="8"/>
  <c r="AI190" i="8" l="1"/>
  <c r="AJ189" i="8"/>
  <c r="AF188" i="8"/>
  <c r="AG187" i="8"/>
  <c r="U197" i="8"/>
  <c r="V197" i="8" s="1"/>
  <c r="R199" i="8"/>
  <c r="T198" i="8"/>
  <c r="AI191" i="8" l="1"/>
  <c r="AJ190" i="8"/>
  <c r="AF189" i="8"/>
  <c r="AG188" i="8"/>
  <c r="U198" i="8"/>
  <c r="V198" i="8" s="1"/>
  <c r="R200" i="8"/>
  <c r="T199" i="8"/>
  <c r="AI192" i="8" l="1"/>
  <c r="AJ191" i="8"/>
  <c r="AF190" i="8"/>
  <c r="AG189" i="8"/>
  <c r="U199" i="8"/>
  <c r="V199" i="8" s="1"/>
  <c r="R201" i="8"/>
  <c r="T200" i="8"/>
  <c r="AI193" i="8" l="1"/>
  <c r="AJ192" i="8"/>
  <c r="AF191" i="8"/>
  <c r="AG190" i="8"/>
  <c r="U200" i="8"/>
  <c r="V200" i="8" s="1"/>
  <c r="R202" i="8"/>
  <c r="T201" i="8"/>
  <c r="AI194" i="8" l="1"/>
  <c r="AJ193" i="8"/>
  <c r="AF192" i="8"/>
  <c r="AG191" i="8"/>
  <c r="U201" i="8"/>
  <c r="V201" i="8" s="1"/>
  <c r="R203" i="8"/>
  <c r="T202" i="8"/>
  <c r="AI195" i="8" l="1"/>
  <c r="AJ194" i="8"/>
  <c r="AF193" i="8"/>
  <c r="AG192" i="8"/>
  <c r="U202" i="8"/>
  <c r="V202" i="8" s="1"/>
  <c r="R204" i="8"/>
  <c r="T203" i="8"/>
  <c r="AI196" i="8" l="1"/>
  <c r="AJ195" i="8"/>
  <c r="AF194" i="8"/>
  <c r="AG193" i="8"/>
  <c r="U203" i="8"/>
  <c r="V203" i="8" s="1"/>
  <c r="R205" i="8"/>
  <c r="T204" i="8"/>
  <c r="AI197" i="8" l="1"/>
  <c r="AJ196" i="8"/>
  <c r="AF195" i="8"/>
  <c r="AG194" i="8"/>
  <c r="U204" i="8"/>
  <c r="V204" i="8" s="1"/>
  <c r="R206" i="8"/>
  <c r="T205" i="8"/>
  <c r="AI198" i="8" l="1"/>
  <c r="AJ197" i="8"/>
  <c r="AF196" i="8"/>
  <c r="AG195" i="8"/>
  <c r="U205" i="8"/>
  <c r="V205" i="8" s="1"/>
  <c r="R207" i="8"/>
  <c r="T206" i="8"/>
  <c r="AI199" i="8" l="1"/>
  <c r="AJ198" i="8"/>
  <c r="AF197" i="8"/>
  <c r="AG196" i="8"/>
  <c r="U206" i="8"/>
  <c r="V206" i="8" s="1"/>
  <c r="R208" i="8"/>
  <c r="T207" i="8"/>
  <c r="AI200" i="8" l="1"/>
  <c r="AJ199" i="8"/>
  <c r="AF198" i="8"/>
  <c r="AG197" i="8"/>
  <c r="U207" i="8"/>
  <c r="V207" i="8" s="1"/>
  <c r="R209" i="8"/>
  <c r="T208" i="8"/>
  <c r="AI201" i="8" l="1"/>
  <c r="AJ200" i="8"/>
  <c r="AF199" i="8"/>
  <c r="AG198" i="8"/>
  <c r="U208" i="8"/>
  <c r="V208" i="8" s="1"/>
  <c r="R210" i="8"/>
  <c r="T209" i="8"/>
  <c r="AI202" i="8" l="1"/>
  <c r="AJ201" i="8"/>
  <c r="AF200" i="8"/>
  <c r="AG199" i="8"/>
  <c r="U209" i="8"/>
  <c r="V209" i="8" s="1"/>
  <c r="R211" i="8"/>
  <c r="T210" i="8"/>
  <c r="AI203" i="8" l="1"/>
  <c r="AJ202" i="8"/>
  <c r="AF201" i="8"/>
  <c r="AG200" i="8"/>
  <c r="U210" i="8"/>
  <c r="V210" i="8" s="1"/>
  <c r="R212" i="8"/>
  <c r="T211" i="8"/>
  <c r="AI204" i="8" l="1"/>
  <c r="AJ203" i="8"/>
  <c r="AF202" i="8"/>
  <c r="AG201" i="8"/>
  <c r="U211" i="8"/>
  <c r="V211" i="8" s="1"/>
  <c r="R213" i="8"/>
  <c r="T212" i="8"/>
  <c r="AI205" i="8" l="1"/>
  <c r="AJ204" i="8"/>
  <c r="AF203" i="8"/>
  <c r="AG202" i="8"/>
  <c r="U212" i="8"/>
  <c r="V212" i="8" s="1"/>
  <c r="R214" i="8"/>
  <c r="T213" i="8"/>
  <c r="AI206" i="8" l="1"/>
  <c r="AJ205" i="8"/>
  <c r="AF204" i="8"/>
  <c r="AG203" i="8"/>
  <c r="U213" i="8"/>
  <c r="V213" i="8" s="1"/>
  <c r="R215" i="8"/>
  <c r="T214" i="8"/>
  <c r="AI207" i="8" l="1"/>
  <c r="AJ206" i="8"/>
  <c r="AF205" i="8"/>
  <c r="AG204" i="8"/>
  <c r="U214" i="8"/>
  <c r="V214" i="8" s="1"/>
  <c r="R216" i="8"/>
  <c r="T215" i="8"/>
  <c r="AI208" i="8" l="1"/>
  <c r="AJ207" i="8"/>
  <c r="AF206" i="8"/>
  <c r="AG205" i="8"/>
  <c r="U215" i="8"/>
  <c r="V215" i="8" s="1"/>
  <c r="R217" i="8"/>
  <c r="T216" i="8"/>
  <c r="AI209" i="8" l="1"/>
  <c r="AJ208" i="8"/>
  <c r="AF207" i="8"/>
  <c r="AG206" i="8"/>
  <c r="U216" i="8"/>
  <c r="V216" i="8" s="1"/>
  <c r="R218" i="8"/>
  <c r="T217" i="8"/>
  <c r="AI210" i="8" l="1"/>
  <c r="AJ209" i="8"/>
  <c r="AF208" i="8"/>
  <c r="AG207" i="8"/>
  <c r="U217" i="8"/>
  <c r="V217" i="8" s="1"/>
  <c r="R219" i="8"/>
  <c r="T218" i="8"/>
  <c r="AI211" i="8" l="1"/>
  <c r="AJ210" i="8"/>
  <c r="AF209" i="8"/>
  <c r="AG208" i="8"/>
  <c r="U218" i="8"/>
  <c r="V218" i="8" s="1"/>
  <c r="R220" i="8"/>
  <c r="T219" i="8"/>
  <c r="AI212" i="8" l="1"/>
  <c r="AJ211" i="8"/>
  <c r="AF210" i="8"/>
  <c r="AG209" i="8"/>
  <c r="U219" i="8"/>
  <c r="V219" i="8" s="1"/>
  <c r="R221" i="8"/>
  <c r="T220" i="8"/>
  <c r="AI213" i="8" l="1"/>
  <c r="AJ212" i="8"/>
  <c r="AF211" i="8"/>
  <c r="AG210" i="8"/>
  <c r="U220" i="8"/>
  <c r="V220" i="8" s="1"/>
  <c r="R222" i="8"/>
  <c r="T221" i="8"/>
  <c r="AI214" i="8" l="1"/>
  <c r="AJ213" i="8"/>
  <c r="AF212" i="8"/>
  <c r="AG211" i="8"/>
  <c r="U221" i="8"/>
  <c r="V221" i="8" s="1"/>
  <c r="R223" i="8"/>
  <c r="T222" i="8"/>
  <c r="AI215" i="8" l="1"/>
  <c r="AJ214" i="8"/>
  <c r="AF213" i="8"/>
  <c r="AG212" i="8"/>
  <c r="U222" i="8"/>
  <c r="V222" i="8" s="1"/>
  <c r="R224" i="8"/>
  <c r="T223" i="8"/>
  <c r="AI216" i="8" l="1"/>
  <c r="AJ215" i="8"/>
  <c r="AF214" i="8"/>
  <c r="AG213" i="8"/>
  <c r="U223" i="8"/>
  <c r="V223" i="8" s="1"/>
  <c r="R225" i="8"/>
  <c r="T224" i="8"/>
  <c r="AI217" i="8" l="1"/>
  <c r="AJ216" i="8"/>
  <c r="AF215" i="8"/>
  <c r="AG214" i="8"/>
  <c r="U224" i="8"/>
  <c r="V224" i="8" s="1"/>
  <c r="R226" i="8"/>
  <c r="T225" i="8"/>
  <c r="AI218" i="8" l="1"/>
  <c r="AJ217" i="8"/>
  <c r="AF216" i="8"/>
  <c r="AG215" i="8"/>
  <c r="U225" i="8"/>
  <c r="V225" i="8" s="1"/>
  <c r="R227" i="8"/>
  <c r="T226" i="8"/>
  <c r="AI219" i="8" l="1"/>
  <c r="AJ218" i="8"/>
  <c r="AF217" i="8"/>
  <c r="AG216" i="8"/>
  <c r="U226" i="8"/>
  <c r="V226" i="8" s="1"/>
  <c r="R228" i="8"/>
  <c r="T227" i="8"/>
  <c r="AI220" i="8" l="1"/>
  <c r="AJ219" i="8"/>
  <c r="AF218" i="8"/>
  <c r="AG217" i="8"/>
  <c r="U227" i="8"/>
  <c r="V227" i="8" s="1"/>
  <c r="R229" i="8"/>
  <c r="T228" i="8"/>
  <c r="AI221" i="8" l="1"/>
  <c r="AJ220" i="8"/>
  <c r="AF219" i="8"/>
  <c r="AG218" i="8"/>
  <c r="U228" i="8"/>
  <c r="V228" i="8" s="1"/>
  <c r="R230" i="8"/>
  <c r="T229" i="8"/>
  <c r="AI222" i="8" l="1"/>
  <c r="AJ221" i="8"/>
  <c r="AF220" i="8"/>
  <c r="AG219" i="8"/>
  <c r="U229" i="8"/>
  <c r="V229" i="8" s="1"/>
  <c r="R231" i="8"/>
  <c r="T230" i="8"/>
  <c r="AI223" i="8" l="1"/>
  <c r="AJ222" i="8"/>
  <c r="AF221" i="8"/>
  <c r="AG220" i="8"/>
  <c r="U230" i="8"/>
  <c r="V230" i="8" s="1"/>
  <c r="R232" i="8"/>
  <c r="T231" i="8"/>
  <c r="AI224" i="8" l="1"/>
  <c r="AJ223" i="8"/>
  <c r="AF222" i="8"/>
  <c r="AG221" i="8"/>
  <c r="U231" i="8"/>
  <c r="V231" i="8" s="1"/>
  <c r="R233" i="8"/>
  <c r="T232" i="8"/>
  <c r="AI225" i="8" l="1"/>
  <c r="AJ224" i="8"/>
  <c r="AF223" i="8"/>
  <c r="AG222" i="8"/>
  <c r="U232" i="8"/>
  <c r="V232" i="8" s="1"/>
  <c r="R234" i="8"/>
  <c r="T233" i="8"/>
  <c r="AI226" i="8" l="1"/>
  <c r="AJ225" i="8"/>
  <c r="AF224" i="8"/>
  <c r="AG223" i="8"/>
  <c r="U233" i="8"/>
  <c r="V233" i="8" s="1"/>
  <c r="R235" i="8"/>
  <c r="T234" i="8"/>
  <c r="AI227" i="8" l="1"/>
  <c r="AJ226" i="8"/>
  <c r="AF225" i="8"/>
  <c r="AG224" i="8"/>
  <c r="U234" i="8"/>
  <c r="V234" i="8" s="1"/>
  <c r="R236" i="8"/>
  <c r="T235" i="8"/>
  <c r="AI228" i="8" l="1"/>
  <c r="AJ227" i="8"/>
  <c r="AF226" i="8"/>
  <c r="AG225" i="8"/>
  <c r="U235" i="8"/>
  <c r="V235" i="8" s="1"/>
  <c r="R237" i="8"/>
  <c r="T236" i="8"/>
  <c r="AI229" i="8" l="1"/>
  <c r="AJ228" i="8"/>
  <c r="AF227" i="8"/>
  <c r="AG226" i="8"/>
  <c r="U236" i="8"/>
  <c r="V236" i="8" s="1"/>
  <c r="R238" i="8"/>
  <c r="T237" i="8"/>
  <c r="AI230" i="8" l="1"/>
  <c r="AJ229" i="8"/>
  <c r="AF228" i="8"/>
  <c r="AG227" i="8"/>
  <c r="U237" i="8"/>
  <c r="V237" i="8" s="1"/>
  <c r="R239" i="8"/>
  <c r="T238" i="8"/>
  <c r="AI231" i="8" l="1"/>
  <c r="AJ230" i="8"/>
  <c r="AF229" i="8"/>
  <c r="AG228" i="8"/>
  <c r="U238" i="8"/>
  <c r="V238" i="8" s="1"/>
  <c r="R240" i="8"/>
  <c r="T239" i="8"/>
  <c r="AI232" i="8" l="1"/>
  <c r="AJ231" i="8"/>
  <c r="AF230" i="8"/>
  <c r="AG229" i="8"/>
  <c r="U239" i="8"/>
  <c r="V239" i="8" s="1"/>
  <c r="R241" i="8"/>
  <c r="T240" i="8"/>
  <c r="AI233" i="8" l="1"/>
  <c r="AJ232" i="8"/>
  <c r="AF231" i="8"/>
  <c r="AG230" i="8"/>
  <c r="U240" i="8"/>
  <c r="V240" i="8" s="1"/>
  <c r="R242" i="8"/>
  <c r="T241" i="8"/>
  <c r="AI234" i="8" l="1"/>
  <c r="AJ233" i="8"/>
  <c r="AF232" i="8"/>
  <c r="AG231" i="8"/>
  <c r="U241" i="8"/>
  <c r="V241" i="8" s="1"/>
  <c r="R243" i="8"/>
  <c r="T242" i="8"/>
  <c r="AI235" i="8" l="1"/>
  <c r="AJ234" i="8"/>
  <c r="AF233" i="8"/>
  <c r="AG232" i="8"/>
  <c r="U242" i="8"/>
  <c r="V242" i="8" s="1"/>
  <c r="R244" i="8"/>
  <c r="T243" i="8"/>
  <c r="AI236" i="8" l="1"/>
  <c r="AJ235" i="8"/>
  <c r="AF234" i="8"/>
  <c r="AG233" i="8"/>
  <c r="U243" i="8"/>
  <c r="V243" i="8" s="1"/>
  <c r="R245" i="8"/>
  <c r="T244" i="8"/>
  <c r="AI237" i="8" l="1"/>
  <c r="AJ236" i="8"/>
  <c r="AF235" i="8"/>
  <c r="AG234" i="8"/>
  <c r="U244" i="8"/>
  <c r="V244" i="8" s="1"/>
  <c r="R246" i="8"/>
  <c r="T245" i="8"/>
  <c r="AI238" i="8" l="1"/>
  <c r="AJ237" i="8"/>
  <c r="AF236" i="8"/>
  <c r="AG235" i="8"/>
  <c r="U245" i="8"/>
  <c r="V245" i="8" s="1"/>
  <c r="R247" i="8"/>
  <c r="T246" i="8"/>
  <c r="AI239" i="8" l="1"/>
  <c r="AJ238" i="8"/>
  <c r="AF237" i="8"/>
  <c r="AG236" i="8"/>
  <c r="U246" i="8"/>
  <c r="V246" i="8" s="1"/>
  <c r="R248" i="8"/>
  <c r="T247" i="8"/>
  <c r="AI240" i="8" l="1"/>
  <c r="AJ239" i="8"/>
  <c r="AF238" i="8"/>
  <c r="AG237" i="8"/>
  <c r="U247" i="8"/>
  <c r="V247" i="8" s="1"/>
  <c r="R249" i="8"/>
  <c r="T248" i="8"/>
  <c r="AI241" i="8" l="1"/>
  <c r="AJ240" i="8"/>
  <c r="AF239" i="8"/>
  <c r="AG238" i="8"/>
  <c r="U248" i="8"/>
  <c r="V248" i="8" s="1"/>
  <c r="R250" i="8"/>
  <c r="T249" i="8"/>
  <c r="AI242" i="8" l="1"/>
  <c r="AJ241" i="8"/>
  <c r="AF240" i="8"/>
  <c r="AG239" i="8"/>
  <c r="U249" i="8"/>
  <c r="V249" i="8" s="1"/>
  <c r="R251" i="8"/>
  <c r="T250" i="8"/>
  <c r="AI243" i="8" l="1"/>
  <c r="AJ242" i="8"/>
  <c r="AF241" i="8"/>
  <c r="AG240" i="8"/>
  <c r="U250" i="8"/>
  <c r="V250" i="8" s="1"/>
  <c r="R252" i="8"/>
  <c r="T251" i="8"/>
  <c r="AI244" i="8" l="1"/>
  <c r="AJ243" i="8"/>
  <c r="AF242" i="8"/>
  <c r="AG241" i="8"/>
  <c r="U251" i="8"/>
  <c r="V251" i="8" s="1"/>
  <c r="R253" i="8"/>
  <c r="T252" i="8"/>
  <c r="AI245" i="8" l="1"/>
  <c r="AJ244" i="8"/>
  <c r="AF243" i="8"/>
  <c r="AG242" i="8"/>
  <c r="U252" i="8"/>
  <c r="V252" i="8" s="1"/>
  <c r="R254" i="8"/>
  <c r="T253" i="8"/>
  <c r="AI246" i="8" l="1"/>
  <c r="AJ245" i="8"/>
  <c r="AF244" i="8"/>
  <c r="AG243" i="8"/>
  <c r="U253" i="8"/>
  <c r="V253" i="8" s="1"/>
  <c r="R255" i="8"/>
  <c r="T254" i="8"/>
  <c r="AI247" i="8" l="1"/>
  <c r="AJ246" i="8"/>
  <c r="AF245" i="8"/>
  <c r="AG244" i="8"/>
  <c r="U254" i="8"/>
  <c r="V254" i="8" s="1"/>
  <c r="R256" i="8"/>
  <c r="T255" i="8"/>
  <c r="AI248" i="8" l="1"/>
  <c r="AJ247" i="8"/>
  <c r="AF246" i="8"/>
  <c r="AG245" i="8"/>
  <c r="U255" i="8"/>
  <c r="V255" i="8" s="1"/>
  <c r="R257" i="8"/>
  <c r="T256" i="8"/>
  <c r="AI249" i="8" l="1"/>
  <c r="AJ248" i="8"/>
  <c r="AF247" i="8"/>
  <c r="AG246" i="8"/>
  <c r="U256" i="8"/>
  <c r="V256" i="8" s="1"/>
  <c r="R258" i="8"/>
  <c r="T257" i="8"/>
  <c r="AI250" i="8" l="1"/>
  <c r="AJ249" i="8"/>
  <c r="AF248" i="8"/>
  <c r="AG247" i="8"/>
  <c r="U257" i="8"/>
  <c r="V257" i="8" s="1"/>
  <c r="R259" i="8"/>
  <c r="T258" i="8"/>
  <c r="AI251" i="8" l="1"/>
  <c r="AJ250" i="8"/>
  <c r="AF249" i="8"/>
  <c r="AG248" i="8"/>
  <c r="U258" i="8"/>
  <c r="V258" i="8" s="1"/>
  <c r="R260" i="8"/>
  <c r="T259" i="8"/>
  <c r="AI252" i="8" l="1"/>
  <c r="AJ251" i="8"/>
  <c r="AF250" i="8"/>
  <c r="AG249" i="8"/>
  <c r="U259" i="8"/>
  <c r="V259" i="8" s="1"/>
  <c r="R261" i="8"/>
  <c r="T260" i="8"/>
  <c r="AI253" i="8" l="1"/>
  <c r="AJ252" i="8"/>
  <c r="AF251" i="8"/>
  <c r="AG250" i="8"/>
  <c r="U260" i="8"/>
  <c r="V260" i="8" s="1"/>
  <c r="R262" i="8"/>
  <c r="T261" i="8"/>
  <c r="AI254" i="8" l="1"/>
  <c r="AJ253" i="8"/>
  <c r="AF252" i="8"/>
  <c r="AG251" i="8"/>
  <c r="U261" i="8"/>
  <c r="V261" i="8" s="1"/>
  <c r="R263" i="8"/>
  <c r="T262" i="8"/>
  <c r="AI255" i="8" l="1"/>
  <c r="AJ254" i="8"/>
  <c r="AF253" i="8"/>
  <c r="AG252" i="8"/>
  <c r="U262" i="8"/>
  <c r="V262" i="8" s="1"/>
  <c r="R264" i="8"/>
  <c r="T263" i="8"/>
  <c r="AI256" i="8" l="1"/>
  <c r="AJ255" i="8"/>
  <c r="AF254" i="8"/>
  <c r="AG253" i="8"/>
  <c r="U263" i="8"/>
  <c r="V263" i="8" s="1"/>
  <c r="R265" i="8"/>
  <c r="T264" i="8"/>
  <c r="AI257" i="8" l="1"/>
  <c r="AJ256" i="8"/>
  <c r="AF255" i="8"/>
  <c r="AG254" i="8"/>
  <c r="U264" i="8"/>
  <c r="V264" i="8" s="1"/>
  <c r="R266" i="8"/>
  <c r="T265" i="8"/>
  <c r="AI258" i="8" l="1"/>
  <c r="AJ257" i="8"/>
  <c r="AF256" i="8"/>
  <c r="AG255" i="8"/>
  <c r="U265" i="8"/>
  <c r="V265" i="8" s="1"/>
  <c r="R267" i="8"/>
  <c r="T266" i="8"/>
  <c r="AI259" i="8" l="1"/>
  <c r="AJ258" i="8"/>
  <c r="AF257" i="8"/>
  <c r="AG256" i="8"/>
  <c r="U266" i="8"/>
  <c r="V266" i="8" s="1"/>
  <c r="R268" i="8"/>
  <c r="T267" i="8"/>
  <c r="AI260" i="8" l="1"/>
  <c r="AJ259" i="8"/>
  <c r="AF258" i="8"/>
  <c r="AG257" i="8"/>
  <c r="U267" i="8"/>
  <c r="V267" i="8" s="1"/>
  <c r="R269" i="8"/>
  <c r="T268" i="8"/>
  <c r="AI261" i="8" l="1"/>
  <c r="AJ260" i="8"/>
  <c r="AF259" i="8"/>
  <c r="AG258" i="8"/>
  <c r="U268" i="8"/>
  <c r="V268" i="8" s="1"/>
  <c r="R270" i="8"/>
  <c r="T269" i="8"/>
  <c r="AI262" i="8" l="1"/>
  <c r="AJ261" i="8"/>
  <c r="AF260" i="8"/>
  <c r="AG259" i="8"/>
  <c r="U269" i="8"/>
  <c r="V269" i="8" s="1"/>
  <c r="R271" i="8"/>
  <c r="T270" i="8"/>
  <c r="AI263" i="8" l="1"/>
  <c r="AJ262" i="8"/>
  <c r="AF261" i="8"/>
  <c r="AG260" i="8"/>
  <c r="U270" i="8"/>
  <c r="V270" i="8" s="1"/>
  <c r="R272" i="8"/>
  <c r="T271" i="8"/>
  <c r="AI264" i="8" l="1"/>
  <c r="AJ263" i="8"/>
  <c r="AF262" i="8"/>
  <c r="AG261" i="8"/>
  <c r="U271" i="8"/>
  <c r="V271" i="8" s="1"/>
  <c r="R273" i="8"/>
  <c r="T272" i="8"/>
  <c r="AI265" i="8" l="1"/>
  <c r="AJ264" i="8"/>
  <c r="AF263" i="8"/>
  <c r="AG262" i="8"/>
  <c r="U272" i="8"/>
  <c r="V272" i="8" s="1"/>
  <c r="R274" i="8"/>
  <c r="T273" i="8"/>
  <c r="AI266" i="8" l="1"/>
  <c r="AJ265" i="8"/>
  <c r="AF264" i="8"/>
  <c r="AG263" i="8"/>
  <c r="U273" i="8"/>
  <c r="V273" i="8" s="1"/>
  <c r="R275" i="8"/>
  <c r="T274" i="8"/>
  <c r="AI267" i="8" l="1"/>
  <c r="AJ266" i="8"/>
  <c r="AF265" i="8"/>
  <c r="AG264" i="8"/>
  <c r="U274" i="8"/>
  <c r="V274" i="8" s="1"/>
  <c r="R276" i="8"/>
  <c r="T275" i="8"/>
  <c r="AI268" i="8" l="1"/>
  <c r="AJ267" i="8"/>
  <c r="AF266" i="8"/>
  <c r="AG265" i="8"/>
  <c r="U275" i="8"/>
  <c r="V275" i="8" s="1"/>
  <c r="R277" i="8"/>
  <c r="T276" i="8"/>
  <c r="AI269" i="8" l="1"/>
  <c r="AJ268" i="8"/>
  <c r="AF267" i="8"/>
  <c r="AG266" i="8"/>
  <c r="U276" i="8"/>
  <c r="V276" i="8" s="1"/>
  <c r="R278" i="8"/>
  <c r="T277" i="8"/>
  <c r="AI270" i="8" l="1"/>
  <c r="AJ269" i="8"/>
  <c r="AF268" i="8"/>
  <c r="AG267" i="8"/>
  <c r="U277" i="8"/>
  <c r="V277" i="8" s="1"/>
  <c r="R279" i="8"/>
  <c r="T278" i="8"/>
  <c r="AI271" i="8" l="1"/>
  <c r="AJ270" i="8"/>
  <c r="AF269" i="8"/>
  <c r="AG268" i="8"/>
  <c r="U278" i="8"/>
  <c r="V278" i="8" s="1"/>
  <c r="R280" i="8"/>
  <c r="T279" i="8"/>
  <c r="AI272" i="8" l="1"/>
  <c r="AJ271" i="8"/>
  <c r="AF270" i="8"/>
  <c r="AG269" i="8"/>
  <c r="U279" i="8"/>
  <c r="V279" i="8" s="1"/>
  <c r="R281" i="8"/>
  <c r="T280" i="8"/>
  <c r="AI273" i="8" l="1"/>
  <c r="AJ272" i="8"/>
  <c r="AF271" i="8"/>
  <c r="AG270" i="8"/>
  <c r="U280" i="8"/>
  <c r="V280" i="8" s="1"/>
  <c r="R282" i="8"/>
  <c r="T281" i="8"/>
  <c r="AI274" i="8" l="1"/>
  <c r="AJ273" i="8"/>
  <c r="AF272" i="8"/>
  <c r="AG271" i="8"/>
  <c r="U281" i="8"/>
  <c r="V281" i="8" s="1"/>
  <c r="R283" i="8"/>
  <c r="T282" i="8"/>
  <c r="AI275" i="8" l="1"/>
  <c r="AJ274" i="8"/>
  <c r="AF273" i="8"/>
  <c r="AG272" i="8"/>
  <c r="U282" i="8"/>
  <c r="V282" i="8" s="1"/>
  <c r="R284" i="8"/>
  <c r="T283" i="8"/>
  <c r="AI276" i="8" l="1"/>
  <c r="AJ275" i="8"/>
  <c r="AF274" i="8"/>
  <c r="AG273" i="8"/>
  <c r="U283" i="8"/>
  <c r="V283" i="8" s="1"/>
  <c r="R285" i="8"/>
  <c r="T284" i="8"/>
  <c r="AI277" i="8" l="1"/>
  <c r="AJ276" i="8"/>
  <c r="AF275" i="8"/>
  <c r="AG274" i="8"/>
  <c r="U284" i="8"/>
  <c r="V284" i="8" s="1"/>
  <c r="R286" i="8"/>
  <c r="T285" i="8"/>
  <c r="AI278" i="8" l="1"/>
  <c r="AJ277" i="8"/>
  <c r="AF276" i="8"/>
  <c r="AG275" i="8"/>
  <c r="U285" i="8"/>
  <c r="V285" i="8" s="1"/>
  <c r="R287" i="8"/>
  <c r="T286" i="8"/>
  <c r="AI279" i="8" l="1"/>
  <c r="AJ278" i="8"/>
  <c r="AF277" i="8"/>
  <c r="AG276" i="8"/>
  <c r="U286" i="8"/>
  <c r="V286" i="8" s="1"/>
  <c r="R288" i="8"/>
  <c r="T287" i="8"/>
  <c r="AI280" i="8" l="1"/>
  <c r="AJ279" i="8"/>
  <c r="AF278" i="8"/>
  <c r="AG277" i="8"/>
  <c r="U287" i="8"/>
  <c r="V287" i="8" s="1"/>
  <c r="R289" i="8"/>
  <c r="T288" i="8"/>
  <c r="AI281" i="8" l="1"/>
  <c r="AJ280" i="8"/>
  <c r="AF279" i="8"/>
  <c r="AG278" i="8"/>
  <c r="U288" i="8"/>
  <c r="V288" i="8" s="1"/>
  <c r="R290" i="8"/>
  <c r="T289" i="8"/>
  <c r="AI282" i="8" l="1"/>
  <c r="AJ281" i="8"/>
  <c r="AF280" i="8"/>
  <c r="AG279" i="8"/>
  <c r="U289" i="8"/>
  <c r="V289" i="8" s="1"/>
  <c r="R291" i="8"/>
  <c r="T290" i="8"/>
  <c r="AI283" i="8" l="1"/>
  <c r="AJ282" i="8"/>
  <c r="AF281" i="8"/>
  <c r="AG280" i="8"/>
  <c r="U290" i="8"/>
  <c r="V290" i="8" s="1"/>
  <c r="R292" i="8"/>
  <c r="T291" i="8"/>
  <c r="AI284" i="8" l="1"/>
  <c r="AJ283" i="8"/>
  <c r="AF282" i="8"/>
  <c r="AG281" i="8"/>
  <c r="U291" i="8"/>
  <c r="V291" i="8" s="1"/>
  <c r="R293" i="8"/>
  <c r="T292" i="8"/>
  <c r="AI285" i="8" l="1"/>
  <c r="AJ284" i="8"/>
  <c r="AF283" i="8"/>
  <c r="AG282" i="8"/>
  <c r="U292" i="8"/>
  <c r="V292" i="8" s="1"/>
  <c r="R294" i="8"/>
  <c r="T293" i="8"/>
  <c r="AI286" i="8" l="1"/>
  <c r="AJ285" i="8"/>
  <c r="AF284" i="8"/>
  <c r="AG283" i="8"/>
  <c r="U293" i="8"/>
  <c r="V293" i="8" s="1"/>
  <c r="R295" i="8"/>
  <c r="T294" i="8"/>
  <c r="AI287" i="8" l="1"/>
  <c r="AJ286" i="8"/>
  <c r="AF285" i="8"/>
  <c r="AG284" i="8"/>
  <c r="U294" i="8"/>
  <c r="V294" i="8" s="1"/>
  <c r="R296" i="8"/>
  <c r="T295" i="8"/>
  <c r="AI288" i="8" l="1"/>
  <c r="AJ287" i="8"/>
  <c r="AF286" i="8"/>
  <c r="AG285" i="8"/>
  <c r="U295" i="8"/>
  <c r="V295" i="8" s="1"/>
  <c r="R297" i="8"/>
  <c r="T296" i="8"/>
  <c r="AI289" i="8" l="1"/>
  <c r="AJ288" i="8"/>
  <c r="AF287" i="8"/>
  <c r="AG286" i="8"/>
  <c r="U296" i="8"/>
  <c r="V296" i="8" s="1"/>
  <c r="R298" i="8"/>
  <c r="T297" i="8"/>
  <c r="AI290" i="8" l="1"/>
  <c r="AJ289" i="8"/>
  <c r="AF288" i="8"/>
  <c r="AG287" i="8"/>
  <c r="U297" i="8"/>
  <c r="V297" i="8" s="1"/>
  <c r="R299" i="8"/>
  <c r="T298" i="8"/>
  <c r="AI291" i="8" l="1"/>
  <c r="AJ290" i="8"/>
  <c r="AF289" i="8"/>
  <c r="AG288" i="8"/>
  <c r="U298" i="8"/>
  <c r="V298" i="8" s="1"/>
  <c r="R300" i="8"/>
  <c r="T299" i="8"/>
  <c r="AI292" i="8" l="1"/>
  <c r="AJ291" i="8"/>
  <c r="AF290" i="8"/>
  <c r="AG289" i="8"/>
  <c r="U299" i="8"/>
  <c r="V299" i="8" s="1"/>
  <c r="R301" i="8"/>
  <c r="T300" i="8"/>
  <c r="AI293" i="8" l="1"/>
  <c r="AJ292" i="8"/>
  <c r="AF291" i="8"/>
  <c r="AG290" i="8"/>
  <c r="U300" i="8"/>
  <c r="V300" i="8" s="1"/>
  <c r="R302" i="8"/>
  <c r="T301" i="8"/>
  <c r="AI294" i="8" l="1"/>
  <c r="AJ293" i="8"/>
  <c r="AF292" i="8"/>
  <c r="AG291" i="8"/>
  <c r="U301" i="8"/>
  <c r="V301" i="8" s="1"/>
  <c r="R303" i="8"/>
  <c r="T302" i="8"/>
  <c r="AI295" i="8" l="1"/>
  <c r="AJ294" i="8"/>
  <c r="AF293" i="8"/>
  <c r="AG292" i="8"/>
  <c r="U302" i="8"/>
  <c r="V302" i="8" s="1"/>
  <c r="R304" i="8"/>
  <c r="T303" i="8"/>
  <c r="AI296" i="8" l="1"/>
  <c r="AJ295" i="8"/>
  <c r="AF294" i="8"/>
  <c r="AG293" i="8"/>
  <c r="U303" i="8"/>
  <c r="V303" i="8" s="1"/>
  <c r="R305" i="8"/>
  <c r="T304" i="8"/>
  <c r="AI297" i="8" l="1"/>
  <c r="AJ296" i="8"/>
  <c r="AF295" i="8"/>
  <c r="AG294" i="8"/>
  <c r="U304" i="8"/>
  <c r="V304" i="8" s="1"/>
  <c r="R306" i="8"/>
  <c r="T305" i="8"/>
  <c r="AI298" i="8" l="1"/>
  <c r="AJ297" i="8"/>
  <c r="AF296" i="8"/>
  <c r="AG295" i="8"/>
  <c r="U305" i="8"/>
  <c r="V305" i="8" s="1"/>
  <c r="R307" i="8"/>
  <c r="T306" i="8"/>
  <c r="AI299" i="8" l="1"/>
  <c r="AJ298" i="8"/>
  <c r="AF297" i="8"/>
  <c r="AG296" i="8"/>
  <c r="U306" i="8"/>
  <c r="V306" i="8" s="1"/>
  <c r="R308" i="8"/>
  <c r="T307" i="8"/>
  <c r="AI300" i="8" l="1"/>
  <c r="AJ299" i="8"/>
  <c r="AF298" i="8"/>
  <c r="AG297" i="8"/>
  <c r="U307" i="8"/>
  <c r="V307" i="8" s="1"/>
  <c r="R309" i="8"/>
  <c r="T308" i="8"/>
  <c r="AI301" i="8" l="1"/>
  <c r="AJ300" i="8"/>
  <c r="AF299" i="8"/>
  <c r="AG298" i="8"/>
  <c r="U308" i="8"/>
  <c r="V308" i="8" s="1"/>
  <c r="R310" i="8"/>
  <c r="T309" i="8"/>
  <c r="AI302" i="8" l="1"/>
  <c r="AJ301" i="8"/>
  <c r="AF300" i="8"/>
  <c r="AG299" i="8"/>
  <c r="U309" i="8"/>
  <c r="V309" i="8" s="1"/>
  <c r="R311" i="8"/>
  <c r="T310" i="8"/>
  <c r="AI303" i="8" l="1"/>
  <c r="AJ302" i="8"/>
  <c r="AF301" i="8"/>
  <c r="AG300" i="8"/>
  <c r="U310" i="8"/>
  <c r="V310" i="8" s="1"/>
  <c r="R312" i="8"/>
  <c r="T311" i="8"/>
  <c r="AI304" i="8" l="1"/>
  <c r="AJ303" i="8"/>
  <c r="AF302" i="8"/>
  <c r="AG301" i="8"/>
  <c r="U311" i="8"/>
  <c r="V311" i="8" s="1"/>
  <c r="R313" i="8"/>
  <c r="T312" i="8"/>
  <c r="AI305" i="8" l="1"/>
  <c r="AJ304" i="8"/>
  <c r="AF303" i="8"/>
  <c r="AG302" i="8"/>
  <c r="U312" i="8"/>
  <c r="V312" i="8" s="1"/>
  <c r="R314" i="8"/>
  <c r="T313" i="8"/>
  <c r="AI306" i="8" l="1"/>
  <c r="AJ305" i="8"/>
  <c r="AF304" i="8"/>
  <c r="AG303" i="8"/>
  <c r="U313" i="8"/>
  <c r="V313" i="8" s="1"/>
  <c r="R315" i="8"/>
  <c r="T314" i="8"/>
  <c r="AI307" i="8" l="1"/>
  <c r="AJ306" i="8"/>
  <c r="AF305" i="8"/>
  <c r="AG304" i="8"/>
  <c r="U314" i="8"/>
  <c r="V314" i="8" s="1"/>
  <c r="R316" i="8"/>
  <c r="T315" i="8"/>
  <c r="AI308" i="8" l="1"/>
  <c r="AJ307" i="8"/>
  <c r="AF306" i="8"/>
  <c r="AG305" i="8"/>
  <c r="U315" i="8"/>
  <c r="V315" i="8" s="1"/>
  <c r="R317" i="8"/>
  <c r="T316" i="8"/>
  <c r="AI309" i="8" l="1"/>
  <c r="AJ308" i="8"/>
  <c r="AF307" i="8"/>
  <c r="AG306" i="8"/>
  <c r="U316" i="8"/>
  <c r="V316" i="8" s="1"/>
  <c r="R318" i="8"/>
  <c r="T317" i="8"/>
  <c r="AI310" i="8" l="1"/>
  <c r="AJ309" i="8"/>
  <c r="AF308" i="8"/>
  <c r="AG307" i="8"/>
  <c r="U317" i="8"/>
  <c r="V317" i="8" s="1"/>
  <c r="R319" i="8"/>
  <c r="T318" i="8"/>
  <c r="AI311" i="8" l="1"/>
  <c r="AJ310" i="8"/>
  <c r="AF309" i="8"/>
  <c r="AG308" i="8"/>
  <c r="U318" i="8"/>
  <c r="V318" i="8" s="1"/>
  <c r="R320" i="8"/>
  <c r="T319" i="8"/>
  <c r="AI312" i="8" l="1"/>
  <c r="AJ311" i="8"/>
  <c r="AF310" i="8"/>
  <c r="AG309" i="8"/>
  <c r="U319" i="8"/>
  <c r="V319" i="8" s="1"/>
  <c r="R321" i="8"/>
  <c r="T320" i="8"/>
  <c r="AI313" i="8" l="1"/>
  <c r="AJ312" i="8"/>
  <c r="AF311" i="8"/>
  <c r="AG310" i="8"/>
  <c r="U320" i="8"/>
  <c r="V320" i="8" s="1"/>
  <c r="R322" i="8"/>
  <c r="T321" i="8"/>
  <c r="AI314" i="8" l="1"/>
  <c r="AJ313" i="8"/>
  <c r="AF312" i="8"/>
  <c r="AG311" i="8"/>
  <c r="U321" i="8"/>
  <c r="V321" i="8" s="1"/>
  <c r="R323" i="8"/>
  <c r="T322" i="8"/>
  <c r="AI315" i="8" l="1"/>
  <c r="AJ314" i="8"/>
  <c r="AF313" i="8"/>
  <c r="AG312" i="8"/>
  <c r="U322" i="8"/>
  <c r="V322" i="8" s="1"/>
  <c r="R324" i="8"/>
  <c r="T323" i="8"/>
  <c r="AI316" i="8" l="1"/>
  <c r="AJ315" i="8"/>
  <c r="AF314" i="8"/>
  <c r="AG313" i="8"/>
  <c r="U323" i="8"/>
  <c r="V323" i="8" s="1"/>
  <c r="R325" i="8"/>
  <c r="T324" i="8"/>
  <c r="AI317" i="8" l="1"/>
  <c r="AJ316" i="8"/>
  <c r="AF315" i="8"/>
  <c r="AG314" i="8"/>
  <c r="U324" i="8"/>
  <c r="V324" i="8" s="1"/>
  <c r="R326" i="8"/>
  <c r="T325" i="8"/>
  <c r="AI318" i="8" l="1"/>
  <c r="AJ317" i="8"/>
  <c r="AF316" i="8"/>
  <c r="AG315" i="8"/>
  <c r="U325" i="8"/>
  <c r="V325" i="8" s="1"/>
  <c r="R327" i="8"/>
  <c r="T326" i="8"/>
  <c r="AI319" i="8" l="1"/>
  <c r="AJ318" i="8"/>
  <c r="AF317" i="8"/>
  <c r="AG316" i="8"/>
  <c r="U326" i="8"/>
  <c r="V326" i="8" s="1"/>
  <c r="R328" i="8"/>
  <c r="T327" i="8"/>
  <c r="AI320" i="8" l="1"/>
  <c r="AJ319" i="8"/>
  <c r="AF318" i="8"/>
  <c r="AG317" i="8"/>
  <c r="U327" i="8"/>
  <c r="V327" i="8" s="1"/>
  <c r="R329" i="8"/>
  <c r="T328" i="8"/>
  <c r="AI321" i="8" l="1"/>
  <c r="AJ320" i="8"/>
  <c r="AF319" i="8"/>
  <c r="AG318" i="8"/>
  <c r="U328" i="8"/>
  <c r="V328" i="8" s="1"/>
  <c r="R330" i="8"/>
  <c r="T329" i="8"/>
  <c r="AI322" i="8" l="1"/>
  <c r="AJ321" i="8"/>
  <c r="AF320" i="8"/>
  <c r="AG319" i="8"/>
  <c r="U329" i="8"/>
  <c r="V329" i="8" s="1"/>
  <c r="R331" i="8"/>
  <c r="T330" i="8"/>
  <c r="AI323" i="8" l="1"/>
  <c r="AJ322" i="8"/>
  <c r="AF321" i="8"/>
  <c r="AG320" i="8"/>
  <c r="U330" i="8"/>
  <c r="V330" i="8" s="1"/>
  <c r="R332" i="8"/>
  <c r="T331" i="8"/>
  <c r="AI324" i="8" l="1"/>
  <c r="AJ323" i="8"/>
  <c r="AF322" i="8"/>
  <c r="AG321" i="8"/>
  <c r="U331" i="8"/>
  <c r="V331" i="8" s="1"/>
  <c r="R333" i="8"/>
  <c r="T332" i="8"/>
  <c r="AI325" i="8" l="1"/>
  <c r="AJ324" i="8"/>
  <c r="AF323" i="8"/>
  <c r="AG322" i="8"/>
  <c r="U332" i="8"/>
  <c r="V332" i="8" s="1"/>
  <c r="R334" i="8"/>
  <c r="T333" i="8"/>
  <c r="AI326" i="8" l="1"/>
  <c r="AJ325" i="8"/>
  <c r="AF324" i="8"/>
  <c r="AG323" i="8"/>
  <c r="U333" i="8"/>
  <c r="V333" i="8" s="1"/>
  <c r="R335" i="8"/>
  <c r="T334" i="8"/>
  <c r="AI327" i="8" l="1"/>
  <c r="AJ326" i="8"/>
  <c r="AF325" i="8"/>
  <c r="AG324" i="8"/>
  <c r="U334" i="8"/>
  <c r="V334" i="8" s="1"/>
  <c r="R336" i="8"/>
  <c r="T335" i="8"/>
  <c r="AI328" i="8" l="1"/>
  <c r="AJ327" i="8"/>
  <c r="AF326" i="8"/>
  <c r="AG325" i="8"/>
  <c r="U335" i="8"/>
  <c r="V335" i="8" s="1"/>
  <c r="R337" i="8"/>
  <c r="T336" i="8"/>
  <c r="AI329" i="8" l="1"/>
  <c r="AJ328" i="8"/>
  <c r="AF327" i="8"/>
  <c r="AG326" i="8"/>
  <c r="U336" i="8"/>
  <c r="V336" i="8" s="1"/>
  <c r="R338" i="8"/>
  <c r="T337" i="8"/>
  <c r="AI330" i="8" l="1"/>
  <c r="AJ329" i="8"/>
  <c r="AF328" i="8"/>
  <c r="AG327" i="8"/>
  <c r="U337" i="8"/>
  <c r="V337" i="8" s="1"/>
  <c r="R339" i="8"/>
  <c r="T338" i="8"/>
  <c r="AI331" i="8" l="1"/>
  <c r="AJ330" i="8"/>
  <c r="AF329" i="8"/>
  <c r="AG328" i="8"/>
  <c r="U338" i="8"/>
  <c r="V338" i="8" s="1"/>
  <c r="R340" i="8"/>
  <c r="T339" i="8"/>
  <c r="AI332" i="8" l="1"/>
  <c r="AJ331" i="8"/>
  <c r="AF330" i="8"/>
  <c r="AG329" i="8"/>
  <c r="U339" i="8"/>
  <c r="V339" i="8" s="1"/>
  <c r="R341" i="8"/>
  <c r="T340" i="8"/>
  <c r="AI333" i="8" l="1"/>
  <c r="AJ332" i="8"/>
  <c r="AF331" i="8"/>
  <c r="AG330" i="8"/>
  <c r="U340" i="8"/>
  <c r="V340" i="8" s="1"/>
  <c r="R342" i="8"/>
  <c r="T341" i="8"/>
  <c r="AI334" i="8" l="1"/>
  <c r="AJ333" i="8"/>
  <c r="AF332" i="8"/>
  <c r="AG331" i="8"/>
  <c r="U341" i="8"/>
  <c r="V341" i="8" s="1"/>
  <c r="R343" i="8"/>
  <c r="T342" i="8"/>
  <c r="AI335" i="8" l="1"/>
  <c r="AJ334" i="8"/>
  <c r="AF333" i="8"/>
  <c r="AG332" i="8"/>
  <c r="U342" i="8"/>
  <c r="V342" i="8" s="1"/>
  <c r="R344" i="8"/>
  <c r="T343" i="8"/>
  <c r="AI336" i="8" l="1"/>
  <c r="AJ335" i="8"/>
  <c r="AF334" i="8"/>
  <c r="AG333" i="8"/>
  <c r="U343" i="8"/>
  <c r="V343" i="8" s="1"/>
  <c r="R345" i="8"/>
  <c r="T344" i="8"/>
  <c r="AI337" i="8" l="1"/>
  <c r="AJ336" i="8"/>
  <c r="AF335" i="8"/>
  <c r="AG334" i="8"/>
  <c r="U344" i="8"/>
  <c r="V344" i="8" s="1"/>
  <c r="R346" i="8"/>
  <c r="T345" i="8"/>
  <c r="AI338" i="8" l="1"/>
  <c r="AJ337" i="8"/>
  <c r="AF336" i="8"/>
  <c r="AG335" i="8"/>
  <c r="U345" i="8"/>
  <c r="V345" i="8" s="1"/>
  <c r="R347" i="8"/>
  <c r="T346" i="8"/>
  <c r="AI339" i="8" l="1"/>
  <c r="AJ338" i="8"/>
  <c r="AF337" i="8"/>
  <c r="AG336" i="8"/>
  <c r="U346" i="8"/>
  <c r="V346" i="8" s="1"/>
  <c r="R348" i="8"/>
  <c r="T347" i="8"/>
  <c r="AI340" i="8" l="1"/>
  <c r="AJ339" i="8"/>
  <c r="AF338" i="8"/>
  <c r="AG337" i="8"/>
  <c r="U347" i="8"/>
  <c r="V347" i="8" s="1"/>
  <c r="R349" i="8"/>
  <c r="T348" i="8"/>
  <c r="AI341" i="8" l="1"/>
  <c r="AJ340" i="8"/>
  <c r="AF339" i="8"/>
  <c r="AG338" i="8"/>
  <c r="U348" i="8"/>
  <c r="V348" i="8" s="1"/>
  <c r="R350" i="8"/>
  <c r="T349" i="8"/>
  <c r="AI342" i="8" l="1"/>
  <c r="AJ341" i="8"/>
  <c r="AF340" i="8"/>
  <c r="AG339" i="8"/>
  <c r="U349" i="8"/>
  <c r="V349" i="8" s="1"/>
  <c r="R351" i="8"/>
  <c r="T350" i="8"/>
  <c r="AI343" i="8" l="1"/>
  <c r="AJ342" i="8"/>
  <c r="AF341" i="8"/>
  <c r="AG340" i="8"/>
  <c r="U350" i="8"/>
  <c r="V350" i="8" s="1"/>
  <c r="R352" i="8"/>
  <c r="T351" i="8"/>
  <c r="AI344" i="8" l="1"/>
  <c r="AJ343" i="8"/>
  <c r="AF342" i="8"/>
  <c r="AG341" i="8"/>
  <c r="U351" i="8"/>
  <c r="V351" i="8" s="1"/>
  <c r="R353" i="8"/>
  <c r="T352" i="8"/>
  <c r="AI345" i="8" l="1"/>
  <c r="AJ344" i="8"/>
  <c r="AF343" i="8"/>
  <c r="AG342" i="8"/>
  <c r="U352" i="8"/>
  <c r="V352" i="8" s="1"/>
  <c r="R354" i="8"/>
  <c r="T353" i="8"/>
  <c r="AI346" i="8" l="1"/>
  <c r="AJ345" i="8"/>
  <c r="AF344" i="8"/>
  <c r="AG343" i="8"/>
  <c r="U353" i="8"/>
  <c r="V353" i="8" s="1"/>
  <c r="R355" i="8"/>
  <c r="T354" i="8"/>
  <c r="AI347" i="8" l="1"/>
  <c r="AJ346" i="8"/>
  <c r="AF345" i="8"/>
  <c r="AG344" i="8"/>
  <c r="U354" i="8"/>
  <c r="V354" i="8" s="1"/>
  <c r="R356" i="8"/>
  <c r="T355" i="8"/>
  <c r="AI348" i="8" l="1"/>
  <c r="AJ347" i="8"/>
  <c r="AF346" i="8"/>
  <c r="AG345" i="8"/>
  <c r="U355" i="8"/>
  <c r="V355" i="8" s="1"/>
  <c r="R357" i="8"/>
  <c r="T356" i="8"/>
  <c r="AI349" i="8" l="1"/>
  <c r="AJ348" i="8"/>
  <c r="AF347" i="8"/>
  <c r="AG346" i="8"/>
  <c r="U356" i="8"/>
  <c r="V356" i="8" s="1"/>
  <c r="R358" i="8"/>
  <c r="T357" i="8"/>
  <c r="AI350" i="8" l="1"/>
  <c r="AJ349" i="8"/>
  <c r="AF348" i="8"/>
  <c r="AG347" i="8"/>
  <c r="U357" i="8"/>
  <c r="V357" i="8" s="1"/>
  <c r="R359" i="8"/>
  <c r="T358" i="8"/>
  <c r="AI351" i="8" l="1"/>
  <c r="AJ350" i="8"/>
  <c r="AF349" i="8"/>
  <c r="AG348" i="8"/>
  <c r="U358" i="8"/>
  <c r="V358" i="8" s="1"/>
  <c r="R360" i="8"/>
  <c r="T359" i="8"/>
  <c r="AI352" i="8" l="1"/>
  <c r="AJ351" i="8"/>
  <c r="AF350" i="8"/>
  <c r="AG349" i="8"/>
  <c r="U359" i="8"/>
  <c r="V359" i="8" s="1"/>
  <c r="R361" i="8"/>
  <c r="T360" i="8"/>
  <c r="AI353" i="8" l="1"/>
  <c r="AJ352" i="8"/>
  <c r="AF351" i="8"/>
  <c r="AG350" i="8"/>
  <c r="U360" i="8"/>
  <c r="V360" i="8" s="1"/>
  <c r="R362" i="8"/>
  <c r="T361" i="8"/>
  <c r="AI354" i="8" l="1"/>
  <c r="AJ353" i="8"/>
  <c r="AF352" i="8"/>
  <c r="AG351" i="8"/>
  <c r="U361" i="8"/>
  <c r="V361" i="8" s="1"/>
  <c r="R363" i="8"/>
  <c r="T362" i="8"/>
  <c r="AI355" i="8" l="1"/>
  <c r="AJ354" i="8"/>
  <c r="AF353" i="8"/>
  <c r="AG352" i="8"/>
  <c r="U362" i="8"/>
  <c r="V362" i="8" s="1"/>
  <c r="R364" i="8"/>
  <c r="T363" i="8"/>
  <c r="AI356" i="8" l="1"/>
  <c r="AJ355" i="8"/>
  <c r="AF354" i="8"/>
  <c r="AG353" i="8"/>
  <c r="U363" i="8"/>
  <c r="V363" i="8" s="1"/>
  <c r="R365" i="8"/>
  <c r="T364" i="8"/>
  <c r="AI357" i="8" l="1"/>
  <c r="AJ356" i="8"/>
  <c r="AF355" i="8"/>
  <c r="AG354" i="8"/>
  <c r="U364" i="8"/>
  <c r="V364" i="8" s="1"/>
  <c r="R366" i="8"/>
  <c r="T365" i="8"/>
  <c r="AI358" i="8" l="1"/>
  <c r="AJ357" i="8"/>
  <c r="AF356" i="8"/>
  <c r="AG355" i="8"/>
  <c r="U365" i="8"/>
  <c r="V365" i="8" s="1"/>
  <c r="R367" i="8"/>
  <c r="T366" i="8"/>
  <c r="AI359" i="8" l="1"/>
  <c r="AJ358" i="8"/>
  <c r="AF357" i="8"/>
  <c r="AG356" i="8"/>
  <c r="U366" i="8"/>
  <c r="V366" i="8" s="1"/>
  <c r="R368" i="8"/>
  <c r="T367" i="8"/>
  <c r="AI360" i="8" l="1"/>
  <c r="AJ359" i="8"/>
  <c r="AF358" i="8"/>
  <c r="AG357" i="8"/>
  <c r="U367" i="8"/>
  <c r="V367" i="8" s="1"/>
  <c r="R369" i="8"/>
  <c r="T368" i="8"/>
  <c r="AI361" i="8" l="1"/>
  <c r="AJ360" i="8"/>
  <c r="AF359" i="8"/>
  <c r="AG358" i="8"/>
  <c r="U368" i="8"/>
  <c r="V368" i="8" s="1"/>
  <c r="R370" i="8"/>
  <c r="T369" i="8"/>
  <c r="AI362" i="8" l="1"/>
  <c r="AJ361" i="8"/>
  <c r="AF360" i="8"/>
  <c r="AG359" i="8"/>
  <c r="U369" i="8"/>
  <c r="V369" i="8" s="1"/>
  <c r="R371" i="8"/>
  <c r="T370" i="8"/>
  <c r="AI363" i="8" l="1"/>
  <c r="AJ362" i="8"/>
  <c r="AF361" i="8"/>
  <c r="AG360" i="8"/>
  <c r="U370" i="8"/>
  <c r="V370" i="8" s="1"/>
  <c r="R372" i="8"/>
  <c r="T371" i="8"/>
  <c r="AI364" i="8" l="1"/>
  <c r="AJ363" i="8"/>
  <c r="AF362" i="8"/>
  <c r="AG361" i="8"/>
  <c r="U371" i="8"/>
  <c r="V371" i="8" s="1"/>
  <c r="R373" i="8"/>
  <c r="T372" i="8"/>
  <c r="AI365" i="8" l="1"/>
  <c r="AJ364" i="8"/>
  <c r="AF363" i="8"/>
  <c r="AG362" i="8"/>
  <c r="U372" i="8"/>
  <c r="V372" i="8" s="1"/>
  <c r="R374" i="8"/>
  <c r="T373" i="8"/>
  <c r="AI366" i="8" l="1"/>
  <c r="AJ365" i="8"/>
  <c r="AF364" i="8"/>
  <c r="AG363" i="8"/>
  <c r="U373" i="8"/>
  <c r="V373" i="8" s="1"/>
  <c r="R375" i="8"/>
  <c r="T374" i="8"/>
  <c r="AI367" i="8" l="1"/>
  <c r="AJ366" i="8"/>
  <c r="AF365" i="8"/>
  <c r="AG364" i="8"/>
  <c r="U374" i="8"/>
  <c r="V374" i="8" s="1"/>
  <c r="R376" i="8"/>
  <c r="T375" i="8"/>
  <c r="AI368" i="8" l="1"/>
  <c r="AJ367" i="8"/>
  <c r="AF366" i="8"/>
  <c r="AG365" i="8"/>
  <c r="U375" i="8"/>
  <c r="V375" i="8" s="1"/>
  <c r="R377" i="8"/>
  <c r="T376" i="8"/>
  <c r="AI369" i="8" l="1"/>
  <c r="AJ368" i="8"/>
  <c r="AF367" i="8"/>
  <c r="AG366" i="8"/>
  <c r="U376" i="8"/>
  <c r="V376" i="8" s="1"/>
  <c r="R378" i="8"/>
  <c r="T377" i="8"/>
  <c r="AI370" i="8" l="1"/>
  <c r="AJ369" i="8"/>
  <c r="AF368" i="8"/>
  <c r="AG367" i="8"/>
  <c r="U377" i="8"/>
  <c r="V377" i="8" s="1"/>
  <c r="R379" i="8"/>
  <c r="T378" i="8"/>
  <c r="AI371" i="8" l="1"/>
  <c r="AJ370" i="8"/>
  <c r="AF369" i="8"/>
  <c r="AG368" i="8"/>
  <c r="U378" i="8"/>
  <c r="V378" i="8" s="1"/>
  <c r="R380" i="8"/>
  <c r="T379" i="8"/>
  <c r="AI372" i="8" l="1"/>
  <c r="AJ371" i="8"/>
  <c r="AF370" i="8"/>
  <c r="AG369" i="8"/>
  <c r="U379" i="8"/>
  <c r="V379" i="8" s="1"/>
  <c r="R381" i="8"/>
  <c r="T380" i="8"/>
  <c r="AI373" i="8" l="1"/>
  <c r="AJ372" i="8"/>
  <c r="AF371" i="8"/>
  <c r="AG370" i="8"/>
  <c r="U380" i="8"/>
  <c r="V380" i="8" s="1"/>
  <c r="R382" i="8"/>
  <c r="T381" i="8"/>
  <c r="AI374" i="8" l="1"/>
  <c r="AJ373" i="8"/>
  <c r="AF372" i="8"/>
  <c r="AG371" i="8"/>
  <c r="U381" i="8"/>
  <c r="V381" i="8" s="1"/>
  <c r="R383" i="8"/>
  <c r="T382" i="8"/>
  <c r="AI375" i="8" l="1"/>
  <c r="AJ374" i="8"/>
  <c r="AF373" i="8"/>
  <c r="AG372" i="8"/>
  <c r="U382" i="8"/>
  <c r="V382" i="8" s="1"/>
  <c r="R384" i="8"/>
  <c r="T383" i="8"/>
  <c r="AI376" i="8" l="1"/>
  <c r="AJ375" i="8"/>
  <c r="AF374" i="8"/>
  <c r="AG373" i="8"/>
  <c r="U383" i="8"/>
  <c r="V383" i="8" s="1"/>
  <c r="R385" i="8"/>
  <c r="T384" i="8"/>
  <c r="AI377" i="8" l="1"/>
  <c r="AJ376" i="8"/>
  <c r="AF375" i="8"/>
  <c r="AG374" i="8"/>
  <c r="U384" i="8"/>
  <c r="V384" i="8" s="1"/>
  <c r="R386" i="8"/>
  <c r="T385" i="8"/>
  <c r="AI378" i="8" l="1"/>
  <c r="AJ377" i="8"/>
  <c r="AF376" i="8"/>
  <c r="AG375" i="8"/>
  <c r="U385" i="8"/>
  <c r="V385" i="8" s="1"/>
  <c r="R387" i="8"/>
  <c r="T386" i="8"/>
  <c r="AI379" i="8" l="1"/>
  <c r="AJ378" i="8"/>
  <c r="AF377" i="8"/>
  <c r="AG376" i="8"/>
  <c r="U386" i="8"/>
  <c r="V386" i="8" s="1"/>
  <c r="R388" i="8"/>
  <c r="T387" i="8"/>
  <c r="AI380" i="8" l="1"/>
  <c r="AJ379" i="8"/>
  <c r="AF378" i="8"/>
  <c r="AG377" i="8"/>
  <c r="U387" i="8"/>
  <c r="V387" i="8" s="1"/>
  <c r="R389" i="8"/>
  <c r="T388" i="8"/>
  <c r="AI381" i="8" l="1"/>
  <c r="AJ380" i="8"/>
  <c r="AF379" i="8"/>
  <c r="AG378" i="8"/>
  <c r="U388" i="8"/>
  <c r="V388" i="8" s="1"/>
  <c r="R390" i="8"/>
  <c r="T389" i="8"/>
  <c r="AI382" i="8" l="1"/>
  <c r="AJ381" i="8"/>
  <c r="AF380" i="8"/>
  <c r="AG379" i="8"/>
  <c r="U389" i="8"/>
  <c r="V389" i="8" s="1"/>
  <c r="R391" i="8"/>
  <c r="T390" i="8"/>
  <c r="AI383" i="8" l="1"/>
  <c r="AJ382" i="8"/>
  <c r="AF381" i="8"/>
  <c r="AG380" i="8"/>
  <c r="U390" i="8"/>
  <c r="V390" i="8" s="1"/>
  <c r="R392" i="8"/>
  <c r="T391" i="8"/>
  <c r="AI384" i="8" l="1"/>
  <c r="AJ383" i="8"/>
  <c r="AF382" i="8"/>
  <c r="AG381" i="8"/>
  <c r="U391" i="8"/>
  <c r="V391" i="8" s="1"/>
  <c r="R393" i="8"/>
  <c r="T392" i="8"/>
  <c r="AI385" i="8" l="1"/>
  <c r="AJ384" i="8"/>
  <c r="AF383" i="8"/>
  <c r="AG382" i="8"/>
  <c r="U392" i="8"/>
  <c r="V392" i="8" s="1"/>
  <c r="R394" i="8"/>
  <c r="T393" i="8"/>
  <c r="AI386" i="8" l="1"/>
  <c r="AJ385" i="8"/>
  <c r="AF384" i="8"/>
  <c r="AG383" i="8"/>
  <c r="U393" i="8"/>
  <c r="V393" i="8" s="1"/>
  <c r="R395" i="8"/>
  <c r="T394" i="8"/>
  <c r="AI387" i="8" l="1"/>
  <c r="AJ386" i="8"/>
  <c r="AF385" i="8"/>
  <c r="AG384" i="8"/>
  <c r="U394" i="8"/>
  <c r="V394" i="8" s="1"/>
  <c r="R396" i="8"/>
  <c r="T395" i="8"/>
  <c r="AI388" i="8" l="1"/>
  <c r="AJ387" i="8"/>
  <c r="AF386" i="8"/>
  <c r="AG385" i="8"/>
  <c r="U395" i="8"/>
  <c r="V395" i="8" s="1"/>
  <c r="R397" i="8"/>
  <c r="T396" i="8"/>
  <c r="AI389" i="8" l="1"/>
  <c r="AJ388" i="8"/>
  <c r="AF387" i="8"/>
  <c r="AG386" i="8"/>
  <c r="U396" i="8"/>
  <c r="V396" i="8" s="1"/>
  <c r="R398" i="8"/>
  <c r="T397" i="8"/>
  <c r="AI390" i="8" l="1"/>
  <c r="AJ389" i="8"/>
  <c r="AF388" i="8"/>
  <c r="AG387" i="8"/>
  <c r="U397" i="8"/>
  <c r="V397" i="8" s="1"/>
  <c r="R399" i="8"/>
  <c r="T398" i="8"/>
  <c r="AI391" i="8" l="1"/>
  <c r="AJ390" i="8"/>
  <c r="AF389" i="8"/>
  <c r="AG388" i="8"/>
  <c r="U398" i="8"/>
  <c r="V398" i="8" s="1"/>
  <c r="R400" i="8"/>
  <c r="T399" i="8"/>
  <c r="AI392" i="8" l="1"/>
  <c r="AJ391" i="8"/>
  <c r="AF390" i="8"/>
  <c r="AG389" i="8"/>
  <c r="U399" i="8"/>
  <c r="V399" i="8" s="1"/>
  <c r="R401" i="8"/>
  <c r="T400" i="8"/>
  <c r="AI393" i="8" l="1"/>
  <c r="AJ392" i="8"/>
  <c r="AF391" i="8"/>
  <c r="AG390" i="8"/>
  <c r="U400" i="8"/>
  <c r="V400" i="8" s="1"/>
  <c r="R402" i="8"/>
  <c r="T401" i="8"/>
  <c r="AI394" i="8" l="1"/>
  <c r="AJ393" i="8"/>
  <c r="AF392" i="8"/>
  <c r="AG391" i="8"/>
  <c r="U401" i="8"/>
  <c r="V401" i="8" s="1"/>
  <c r="R403" i="8"/>
  <c r="T402" i="8"/>
  <c r="AI395" i="8" l="1"/>
  <c r="AJ394" i="8"/>
  <c r="AF393" i="8"/>
  <c r="AG392" i="8"/>
  <c r="U402" i="8"/>
  <c r="V402" i="8" s="1"/>
  <c r="R404" i="8"/>
  <c r="T403" i="8"/>
  <c r="AI396" i="8" l="1"/>
  <c r="AJ395" i="8"/>
  <c r="AF394" i="8"/>
  <c r="AG393" i="8"/>
  <c r="U403" i="8"/>
  <c r="V403" i="8" s="1"/>
  <c r="R405" i="8"/>
  <c r="T404" i="8"/>
  <c r="AI397" i="8" l="1"/>
  <c r="AJ396" i="8"/>
  <c r="AF395" i="8"/>
  <c r="AG394" i="8"/>
  <c r="U404" i="8"/>
  <c r="V404" i="8" s="1"/>
  <c r="R406" i="8"/>
  <c r="T405" i="8"/>
  <c r="AI398" i="8" l="1"/>
  <c r="AJ397" i="8"/>
  <c r="AF396" i="8"/>
  <c r="AG395" i="8"/>
  <c r="U405" i="8"/>
  <c r="V405" i="8" s="1"/>
  <c r="R407" i="8"/>
  <c r="T406" i="8"/>
  <c r="AI399" i="8" l="1"/>
  <c r="AJ398" i="8"/>
  <c r="AF397" i="8"/>
  <c r="AG396" i="8"/>
  <c r="U406" i="8"/>
  <c r="V406" i="8" s="1"/>
  <c r="R408" i="8"/>
  <c r="T407" i="8"/>
  <c r="AI400" i="8" l="1"/>
  <c r="AJ399" i="8"/>
  <c r="AF398" i="8"/>
  <c r="AG397" i="8"/>
  <c r="U407" i="8"/>
  <c r="V407" i="8" s="1"/>
  <c r="R409" i="8"/>
  <c r="T408" i="8"/>
  <c r="AI401" i="8" l="1"/>
  <c r="AJ400" i="8"/>
  <c r="AF399" i="8"/>
  <c r="AG398" i="8"/>
  <c r="U408" i="8"/>
  <c r="V408" i="8" s="1"/>
  <c r="R410" i="8"/>
  <c r="T409" i="8"/>
  <c r="AI402" i="8" l="1"/>
  <c r="AJ401" i="8"/>
  <c r="AF400" i="8"/>
  <c r="AG399" i="8"/>
  <c r="U409" i="8"/>
  <c r="V409" i="8" s="1"/>
  <c r="R411" i="8"/>
  <c r="T410" i="8"/>
  <c r="AI403" i="8" l="1"/>
  <c r="AJ402" i="8"/>
  <c r="AF401" i="8"/>
  <c r="AG400" i="8"/>
  <c r="U410" i="8"/>
  <c r="V410" i="8" s="1"/>
  <c r="R412" i="8"/>
  <c r="T411" i="8"/>
  <c r="AI404" i="8" l="1"/>
  <c r="AJ403" i="8"/>
  <c r="AF402" i="8"/>
  <c r="AG401" i="8"/>
  <c r="U411" i="8"/>
  <c r="V411" i="8" s="1"/>
  <c r="R413" i="8"/>
  <c r="T412" i="8"/>
  <c r="AI405" i="8" l="1"/>
  <c r="AJ404" i="8"/>
  <c r="AF403" i="8"/>
  <c r="AG402" i="8"/>
  <c r="U412" i="8"/>
  <c r="V412" i="8" s="1"/>
  <c r="R414" i="8"/>
  <c r="T413" i="8"/>
  <c r="AI406" i="8" l="1"/>
  <c r="AJ405" i="8"/>
  <c r="AF404" i="8"/>
  <c r="AG403" i="8"/>
  <c r="U413" i="8"/>
  <c r="V413" i="8" s="1"/>
  <c r="R415" i="8"/>
  <c r="T414" i="8"/>
  <c r="AI407" i="8" l="1"/>
  <c r="AJ406" i="8"/>
  <c r="AF405" i="8"/>
  <c r="AG404" i="8"/>
  <c r="U414" i="8"/>
  <c r="V414" i="8" s="1"/>
  <c r="R416" i="8"/>
  <c r="T415" i="8"/>
  <c r="AI408" i="8" l="1"/>
  <c r="AJ407" i="8"/>
  <c r="AF406" i="8"/>
  <c r="AG405" i="8"/>
  <c r="U415" i="8"/>
  <c r="V415" i="8" s="1"/>
  <c r="R417" i="8"/>
  <c r="T416" i="8"/>
  <c r="AI409" i="8" l="1"/>
  <c r="AJ408" i="8"/>
  <c r="AF407" i="8"/>
  <c r="AG406" i="8"/>
  <c r="U416" i="8"/>
  <c r="V416" i="8" s="1"/>
  <c r="R418" i="8"/>
  <c r="T417" i="8"/>
  <c r="AI410" i="8" l="1"/>
  <c r="AJ409" i="8"/>
  <c r="AF408" i="8"/>
  <c r="AG407" i="8"/>
  <c r="U417" i="8"/>
  <c r="V417" i="8" s="1"/>
  <c r="R419" i="8"/>
  <c r="T418" i="8"/>
  <c r="AI411" i="8" l="1"/>
  <c r="AJ410" i="8"/>
  <c r="AF409" i="8"/>
  <c r="AG408" i="8"/>
  <c r="U418" i="8"/>
  <c r="V418" i="8" s="1"/>
  <c r="R420" i="8"/>
  <c r="T419" i="8"/>
  <c r="AI412" i="8" l="1"/>
  <c r="AJ411" i="8"/>
  <c r="AF410" i="8"/>
  <c r="AG409" i="8"/>
  <c r="U419" i="8"/>
  <c r="V419" i="8" s="1"/>
  <c r="R421" i="8"/>
  <c r="T420" i="8"/>
  <c r="AI413" i="8" l="1"/>
  <c r="AJ412" i="8"/>
  <c r="AF411" i="8"/>
  <c r="AG410" i="8"/>
  <c r="U420" i="8"/>
  <c r="V420" i="8" s="1"/>
  <c r="R422" i="8"/>
  <c r="T421" i="8"/>
  <c r="AI414" i="8" l="1"/>
  <c r="AJ413" i="8"/>
  <c r="AF412" i="8"/>
  <c r="AG411" i="8"/>
  <c r="U421" i="8"/>
  <c r="V421" i="8" s="1"/>
  <c r="R423" i="8"/>
  <c r="T422" i="8"/>
  <c r="AI415" i="8" l="1"/>
  <c r="AJ414" i="8"/>
  <c r="AF413" i="8"/>
  <c r="AG412" i="8"/>
  <c r="U422" i="8"/>
  <c r="V422" i="8" s="1"/>
  <c r="R424" i="8"/>
  <c r="T423" i="8"/>
  <c r="AI416" i="8" l="1"/>
  <c r="AJ415" i="8"/>
  <c r="AF414" i="8"/>
  <c r="AG413" i="8"/>
  <c r="U423" i="8"/>
  <c r="V423" i="8" s="1"/>
  <c r="R425" i="8"/>
  <c r="T424" i="8"/>
  <c r="AI417" i="8" l="1"/>
  <c r="AJ416" i="8"/>
  <c r="AF415" i="8"/>
  <c r="AG414" i="8"/>
  <c r="U424" i="8"/>
  <c r="V424" i="8" s="1"/>
  <c r="R426" i="8"/>
  <c r="T425" i="8"/>
  <c r="AI418" i="8" l="1"/>
  <c r="AJ417" i="8"/>
  <c r="AF416" i="8"/>
  <c r="AG415" i="8"/>
  <c r="U425" i="8"/>
  <c r="V425" i="8" s="1"/>
  <c r="R427" i="8"/>
  <c r="T426" i="8"/>
  <c r="AI419" i="8" l="1"/>
  <c r="AJ418" i="8"/>
  <c r="AF417" i="8"/>
  <c r="AG416" i="8"/>
  <c r="U426" i="8"/>
  <c r="V426" i="8" s="1"/>
  <c r="R428" i="8"/>
  <c r="T427" i="8"/>
  <c r="AI420" i="8" l="1"/>
  <c r="AJ419" i="8"/>
  <c r="AF418" i="8"/>
  <c r="AG417" i="8"/>
  <c r="U427" i="8"/>
  <c r="V427" i="8" s="1"/>
  <c r="R429" i="8"/>
  <c r="T428" i="8"/>
  <c r="AI421" i="8" l="1"/>
  <c r="AJ420" i="8"/>
  <c r="AF419" i="8"/>
  <c r="AG418" i="8"/>
  <c r="U428" i="8"/>
  <c r="V428" i="8" s="1"/>
  <c r="R430" i="8"/>
  <c r="T429" i="8"/>
  <c r="AI422" i="8" l="1"/>
  <c r="AJ421" i="8"/>
  <c r="AF420" i="8"/>
  <c r="AG419" i="8"/>
  <c r="U429" i="8"/>
  <c r="V429" i="8" s="1"/>
  <c r="R431" i="8"/>
  <c r="T430" i="8"/>
  <c r="AI423" i="8" l="1"/>
  <c r="AJ422" i="8"/>
  <c r="AF421" i="8"/>
  <c r="AG420" i="8"/>
  <c r="U430" i="8"/>
  <c r="V430" i="8" s="1"/>
  <c r="R432" i="8"/>
  <c r="T431" i="8"/>
  <c r="AI424" i="8" l="1"/>
  <c r="AJ423" i="8"/>
  <c r="AF422" i="8"/>
  <c r="AG421" i="8"/>
  <c r="U431" i="8"/>
  <c r="V431" i="8" s="1"/>
  <c r="R433" i="8"/>
  <c r="T432" i="8"/>
  <c r="AI425" i="8" l="1"/>
  <c r="AJ424" i="8"/>
  <c r="AF423" i="8"/>
  <c r="AG422" i="8"/>
  <c r="U432" i="8"/>
  <c r="V432" i="8" s="1"/>
  <c r="R434" i="8"/>
  <c r="T433" i="8"/>
  <c r="AI426" i="8" l="1"/>
  <c r="AJ425" i="8"/>
  <c r="AF424" i="8"/>
  <c r="AG423" i="8"/>
  <c r="U433" i="8"/>
  <c r="V433" i="8" s="1"/>
  <c r="R435" i="8"/>
  <c r="T434" i="8"/>
  <c r="AI427" i="8" l="1"/>
  <c r="AJ426" i="8"/>
  <c r="AF425" i="8"/>
  <c r="AG424" i="8"/>
  <c r="U434" i="8"/>
  <c r="V434" i="8" s="1"/>
  <c r="R436" i="8"/>
  <c r="T435" i="8"/>
  <c r="AI428" i="8" l="1"/>
  <c r="AJ427" i="8"/>
  <c r="AF426" i="8"/>
  <c r="AG425" i="8"/>
  <c r="U435" i="8"/>
  <c r="V435" i="8" s="1"/>
  <c r="R437" i="8"/>
  <c r="T436" i="8"/>
  <c r="AI429" i="8" l="1"/>
  <c r="AJ428" i="8"/>
  <c r="AF427" i="8"/>
  <c r="AG426" i="8"/>
  <c r="U436" i="8"/>
  <c r="V436" i="8" s="1"/>
  <c r="R438" i="8"/>
  <c r="T437" i="8"/>
  <c r="AI430" i="8" l="1"/>
  <c r="AJ429" i="8"/>
  <c r="AF428" i="8"/>
  <c r="AG427" i="8"/>
  <c r="U437" i="8"/>
  <c r="V437" i="8" s="1"/>
  <c r="R439" i="8"/>
  <c r="T438" i="8"/>
  <c r="AI431" i="8" l="1"/>
  <c r="AJ430" i="8"/>
  <c r="AF429" i="8"/>
  <c r="AG428" i="8"/>
  <c r="U438" i="8"/>
  <c r="V438" i="8" s="1"/>
  <c r="R440" i="8"/>
  <c r="T439" i="8"/>
  <c r="AI432" i="8" l="1"/>
  <c r="AJ431" i="8"/>
  <c r="AF430" i="8"/>
  <c r="AG429" i="8"/>
  <c r="U439" i="8"/>
  <c r="V439" i="8" s="1"/>
  <c r="R441" i="8"/>
  <c r="T440" i="8"/>
  <c r="AI433" i="8" l="1"/>
  <c r="AJ432" i="8"/>
  <c r="AF431" i="8"/>
  <c r="AG430" i="8"/>
  <c r="U440" i="8"/>
  <c r="V440" i="8" s="1"/>
  <c r="R442" i="8"/>
  <c r="T441" i="8"/>
  <c r="AI434" i="8" l="1"/>
  <c r="AJ433" i="8"/>
  <c r="AF432" i="8"/>
  <c r="AG431" i="8"/>
  <c r="U441" i="8"/>
  <c r="V441" i="8" s="1"/>
  <c r="R443" i="8"/>
  <c r="T442" i="8"/>
  <c r="AI435" i="8" l="1"/>
  <c r="AJ434" i="8"/>
  <c r="AF433" i="8"/>
  <c r="AG432" i="8"/>
  <c r="U442" i="8"/>
  <c r="V442" i="8" s="1"/>
  <c r="R444" i="8"/>
  <c r="T443" i="8"/>
  <c r="AI436" i="8" l="1"/>
  <c r="AJ435" i="8"/>
  <c r="AF434" i="8"/>
  <c r="AG433" i="8"/>
  <c r="U443" i="8"/>
  <c r="V443" i="8" s="1"/>
  <c r="R445" i="8"/>
  <c r="T444" i="8"/>
  <c r="AI437" i="8" l="1"/>
  <c r="AJ436" i="8"/>
  <c r="AF435" i="8"/>
  <c r="AG434" i="8"/>
  <c r="U444" i="8"/>
  <c r="V444" i="8" s="1"/>
  <c r="R446" i="8"/>
  <c r="T445" i="8"/>
  <c r="AI438" i="8" l="1"/>
  <c r="AJ437" i="8"/>
  <c r="AF436" i="8"/>
  <c r="AG435" i="8"/>
  <c r="U445" i="8"/>
  <c r="V445" i="8" s="1"/>
  <c r="R447" i="8"/>
  <c r="T446" i="8"/>
  <c r="AI439" i="8" l="1"/>
  <c r="AJ438" i="8"/>
  <c r="AF437" i="8"/>
  <c r="AG436" i="8"/>
  <c r="U446" i="8"/>
  <c r="V446" i="8" s="1"/>
  <c r="R448" i="8"/>
  <c r="T447" i="8"/>
  <c r="AI440" i="8" l="1"/>
  <c r="AJ439" i="8"/>
  <c r="AF438" i="8"/>
  <c r="AG437" i="8"/>
  <c r="U447" i="8"/>
  <c r="V447" i="8" s="1"/>
  <c r="R449" i="8"/>
  <c r="T448" i="8"/>
  <c r="AI441" i="8" l="1"/>
  <c r="AJ440" i="8"/>
  <c r="AF439" i="8"/>
  <c r="AG438" i="8"/>
  <c r="U448" i="8"/>
  <c r="V448" i="8" s="1"/>
  <c r="R450" i="8"/>
  <c r="T449" i="8"/>
  <c r="AI442" i="8" l="1"/>
  <c r="AJ441" i="8"/>
  <c r="AF440" i="8"/>
  <c r="AG439" i="8"/>
  <c r="U449" i="8"/>
  <c r="V449" i="8" s="1"/>
  <c r="R451" i="8"/>
  <c r="T450" i="8"/>
  <c r="AI443" i="8" l="1"/>
  <c r="AJ442" i="8"/>
  <c r="AF441" i="8"/>
  <c r="AG440" i="8"/>
  <c r="U450" i="8"/>
  <c r="V450" i="8" s="1"/>
  <c r="R452" i="8"/>
  <c r="T451" i="8"/>
  <c r="AI444" i="8" l="1"/>
  <c r="AJ443" i="8"/>
  <c r="AF442" i="8"/>
  <c r="AG441" i="8"/>
  <c r="U451" i="8"/>
  <c r="V451" i="8" s="1"/>
  <c r="R453" i="8"/>
  <c r="T452" i="8"/>
  <c r="AI445" i="8" l="1"/>
  <c r="AJ444" i="8"/>
  <c r="AF443" i="8"/>
  <c r="AG442" i="8"/>
  <c r="U452" i="8"/>
  <c r="V452" i="8" s="1"/>
  <c r="R454" i="8"/>
  <c r="T453" i="8"/>
  <c r="AI446" i="8" l="1"/>
  <c r="AJ445" i="8"/>
  <c r="AF444" i="8"/>
  <c r="AG443" i="8"/>
  <c r="U453" i="8"/>
  <c r="V453" i="8" s="1"/>
  <c r="R455" i="8"/>
  <c r="T454" i="8"/>
  <c r="AI447" i="8" l="1"/>
  <c r="AJ446" i="8"/>
  <c r="AF445" i="8"/>
  <c r="AG444" i="8"/>
  <c r="U454" i="8"/>
  <c r="V454" i="8" s="1"/>
  <c r="R456" i="8"/>
  <c r="T455" i="8"/>
  <c r="AI448" i="8" l="1"/>
  <c r="AJ447" i="8"/>
  <c r="AF446" i="8"/>
  <c r="AG445" i="8"/>
  <c r="U455" i="8"/>
  <c r="V455" i="8" s="1"/>
  <c r="R457" i="8"/>
  <c r="T456" i="8"/>
  <c r="AI449" i="8" l="1"/>
  <c r="AJ448" i="8"/>
  <c r="AF447" i="8"/>
  <c r="AG446" i="8"/>
  <c r="U456" i="8"/>
  <c r="V456" i="8" s="1"/>
  <c r="R458" i="8"/>
  <c r="T457" i="8"/>
  <c r="AI450" i="8" l="1"/>
  <c r="AJ449" i="8"/>
  <c r="AF448" i="8"/>
  <c r="AG447" i="8"/>
  <c r="U457" i="8"/>
  <c r="V457" i="8" s="1"/>
  <c r="R459" i="8"/>
  <c r="T458" i="8"/>
  <c r="AI451" i="8" l="1"/>
  <c r="AJ450" i="8"/>
  <c r="AF449" i="8"/>
  <c r="AG448" i="8"/>
  <c r="U458" i="8"/>
  <c r="V458" i="8" s="1"/>
  <c r="R460" i="8"/>
  <c r="T459" i="8"/>
  <c r="AI452" i="8" l="1"/>
  <c r="AJ451" i="8"/>
  <c r="AF450" i="8"/>
  <c r="AG449" i="8"/>
  <c r="U459" i="8"/>
  <c r="V459" i="8" s="1"/>
  <c r="R461" i="8"/>
  <c r="T460" i="8"/>
  <c r="AI453" i="8" l="1"/>
  <c r="AJ452" i="8"/>
  <c r="AF451" i="8"/>
  <c r="AG450" i="8"/>
  <c r="U460" i="8"/>
  <c r="V460" i="8" s="1"/>
  <c r="R462" i="8"/>
  <c r="T461" i="8"/>
  <c r="AI454" i="8" l="1"/>
  <c r="AJ453" i="8"/>
  <c r="AF452" i="8"/>
  <c r="AG451" i="8"/>
  <c r="U461" i="8"/>
  <c r="V461" i="8" s="1"/>
  <c r="R463" i="8"/>
  <c r="T462" i="8"/>
  <c r="AI455" i="8" l="1"/>
  <c r="AJ454" i="8"/>
  <c r="AF453" i="8"/>
  <c r="AG452" i="8"/>
  <c r="U462" i="8"/>
  <c r="V462" i="8" s="1"/>
  <c r="R464" i="8"/>
  <c r="T463" i="8"/>
  <c r="AI456" i="8" l="1"/>
  <c r="AJ455" i="8"/>
  <c r="AF454" i="8"/>
  <c r="AG453" i="8"/>
  <c r="U463" i="8"/>
  <c r="V463" i="8" s="1"/>
  <c r="R465" i="8"/>
  <c r="T464" i="8"/>
  <c r="AI457" i="8" l="1"/>
  <c r="AJ456" i="8"/>
  <c r="AF455" i="8"/>
  <c r="AG454" i="8"/>
  <c r="U464" i="8"/>
  <c r="V464" i="8" s="1"/>
  <c r="R466" i="8"/>
  <c r="T465" i="8"/>
  <c r="AI458" i="8" l="1"/>
  <c r="AJ457" i="8"/>
  <c r="AF456" i="8"/>
  <c r="AG455" i="8"/>
  <c r="U465" i="8"/>
  <c r="V465" i="8" s="1"/>
  <c r="R467" i="8"/>
  <c r="T466" i="8"/>
  <c r="AI459" i="8" l="1"/>
  <c r="AJ458" i="8"/>
  <c r="AF457" i="8"/>
  <c r="AG456" i="8"/>
  <c r="U466" i="8"/>
  <c r="V466" i="8" s="1"/>
  <c r="R468" i="8"/>
  <c r="T467" i="8"/>
  <c r="AI460" i="8" l="1"/>
  <c r="AJ459" i="8"/>
  <c r="AF458" i="8"/>
  <c r="AG457" i="8"/>
  <c r="U467" i="8"/>
  <c r="V467" i="8" s="1"/>
  <c r="R469" i="8"/>
  <c r="T468" i="8"/>
  <c r="AI461" i="8" l="1"/>
  <c r="AJ460" i="8"/>
  <c r="AF459" i="8"/>
  <c r="AG458" i="8"/>
  <c r="U468" i="8"/>
  <c r="V468" i="8" s="1"/>
  <c r="R470" i="8"/>
  <c r="T469" i="8"/>
  <c r="AI462" i="8" l="1"/>
  <c r="AJ461" i="8"/>
  <c r="AF460" i="8"/>
  <c r="AG459" i="8"/>
  <c r="U469" i="8"/>
  <c r="V469" i="8" s="1"/>
  <c r="R471" i="8"/>
  <c r="T470" i="8"/>
  <c r="AI463" i="8" l="1"/>
  <c r="AJ462" i="8"/>
  <c r="AF461" i="8"/>
  <c r="AG460" i="8"/>
  <c r="U470" i="8"/>
  <c r="V470" i="8" s="1"/>
  <c r="R472" i="8"/>
  <c r="T471" i="8"/>
  <c r="AI464" i="8" l="1"/>
  <c r="AJ463" i="8"/>
  <c r="AF462" i="8"/>
  <c r="AG461" i="8"/>
  <c r="U471" i="8"/>
  <c r="V471" i="8" s="1"/>
  <c r="R473" i="8"/>
  <c r="T472" i="8"/>
  <c r="AI465" i="8" l="1"/>
  <c r="AJ464" i="8"/>
  <c r="AF463" i="8"/>
  <c r="AG462" i="8"/>
  <c r="U472" i="8"/>
  <c r="V472" i="8" s="1"/>
  <c r="R474" i="8"/>
  <c r="T473" i="8"/>
  <c r="AI466" i="8" l="1"/>
  <c r="AJ465" i="8"/>
  <c r="AF464" i="8"/>
  <c r="AG463" i="8"/>
  <c r="U473" i="8"/>
  <c r="V473" i="8" s="1"/>
  <c r="R475" i="8"/>
  <c r="T474" i="8"/>
  <c r="AI467" i="8" l="1"/>
  <c r="AJ466" i="8"/>
  <c r="AF465" i="8"/>
  <c r="AG464" i="8"/>
  <c r="U474" i="8"/>
  <c r="V474" i="8" s="1"/>
  <c r="R476" i="8"/>
  <c r="T475" i="8"/>
  <c r="AI468" i="8" l="1"/>
  <c r="AJ467" i="8"/>
  <c r="AF466" i="8"/>
  <c r="AG465" i="8"/>
  <c r="U475" i="8"/>
  <c r="V475" i="8" s="1"/>
  <c r="R477" i="8"/>
  <c r="T476" i="8"/>
  <c r="AI469" i="8" l="1"/>
  <c r="AJ468" i="8"/>
  <c r="AF467" i="8"/>
  <c r="AG466" i="8"/>
  <c r="U476" i="8"/>
  <c r="V476" i="8" s="1"/>
  <c r="R478" i="8"/>
  <c r="T477" i="8"/>
  <c r="AI470" i="8" l="1"/>
  <c r="AJ469" i="8"/>
  <c r="AF468" i="8"/>
  <c r="AG467" i="8"/>
  <c r="U477" i="8"/>
  <c r="V477" i="8" s="1"/>
  <c r="R479" i="8"/>
  <c r="T478" i="8"/>
  <c r="AI471" i="8" l="1"/>
  <c r="AJ470" i="8"/>
  <c r="AF469" i="8"/>
  <c r="AG468" i="8"/>
  <c r="U478" i="8"/>
  <c r="V478" i="8" s="1"/>
  <c r="R480" i="8"/>
  <c r="T479" i="8"/>
  <c r="AI472" i="8" l="1"/>
  <c r="AJ471" i="8"/>
  <c r="AF470" i="8"/>
  <c r="AG469" i="8"/>
  <c r="U479" i="8"/>
  <c r="V479" i="8" s="1"/>
  <c r="R481" i="8"/>
  <c r="T480" i="8"/>
  <c r="AI473" i="8" l="1"/>
  <c r="AJ472" i="8"/>
  <c r="AF471" i="8"/>
  <c r="AG470" i="8"/>
  <c r="U480" i="8"/>
  <c r="V480" i="8" s="1"/>
  <c r="R482" i="8"/>
  <c r="T481" i="8"/>
  <c r="AI474" i="8" l="1"/>
  <c r="AJ473" i="8"/>
  <c r="AF472" i="8"/>
  <c r="AG471" i="8"/>
  <c r="U481" i="8"/>
  <c r="V481" i="8" s="1"/>
  <c r="R483" i="8"/>
  <c r="T482" i="8"/>
  <c r="AI475" i="8" l="1"/>
  <c r="AJ474" i="8"/>
  <c r="AF473" i="8"/>
  <c r="AG472" i="8"/>
  <c r="U482" i="8"/>
  <c r="V482" i="8" s="1"/>
  <c r="R484" i="8"/>
  <c r="T483" i="8"/>
  <c r="AI476" i="8" l="1"/>
  <c r="AJ475" i="8"/>
  <c r="AF474" i="8"/>
  <c r="AG473" i="8"/>
  <c r="U483" i="8"/>
  <c r="V483" i="8" s="1"/>
  <c r="R485" i="8"/>
  <c r="T484" i="8"/>
  <c r="AI477" i="8" l="1"/>
  <c r="AJ476" i="8"/>
  <c r="AF475" i="8"/>
  <c r="AG474" i="8"/>
  <c r="U484" i="8"/>
  <c r="V484" i="8" s="1"/>
  <c r="R486" i="8"/>
  <c r="T485" i="8"/>
  <c r="AI478" i="8" l="1"/>
  <c r="AJ477" i="8"/>
  <c r="AF476" i="8"/>
  <c r="AG475" i="8"/>
  <c r="U485" i="8"/>
  <c r="V485" i="8" s="1"/>
  <c r="R487" i="8"/>
  <c r="T486" i="8"/>
  <c r="AI479" i="8" l="1"/>
  <c r="AJ478" i="8"/>
  <c r="AF477" i="8"/>
  <c r="AG476" i="8"/>
  <c r="U486" i="8"/>
  <c r="V486" i="8" s="1"/>
  <c r="R488" i="8"/>
  <c r="T487" i="8"/>
  <c r="AI480" i="8" l="1"/>
  <c r="AJ479" i="8"/>
  <c r="AF478" i="8"/>
  <c r="AG477" i="8"/>
  <c r="U487" i="8"/>
  <c r="V487" i="8" s="1"/>
  <c r="R489" i="8"/>
  <c r="T488" i="8"/>
  <c r="AI481" i="8" l="1"/>
  <c r="AJ480" i="8"/>
  <c r="AF479" i="8"/>
  <c r="AG478" i="8"/>
  <c r="U488" i="8"/>
  <c r="V488" i="8" s="1"/>
  <c r="R490" i="8"/>
  <c r="T489" i="8"/>
  <c r="AI482" i="8" l="1"/>
  <c r="AJ481" i="8"/>
  <c r="AF480" i="8"/>
  <c r="AG479" i="8"/>
  <c r="U489" i="8"/>
  <c r="V489" i="8" s="1"/>
  <c r="R491" i="8"/>
  <c r="T490" i="8"/>
  <c r="AI483" i="8" l="1"/>
  <c r="AJ482" i="8"/>
  <c r="AF481" i="8"/>
  <c r="AG480" i="8"/>
  <c r="U490" i="8"/>
  <c r="V490" i="8" s="1"/>
  <c r="R492" i="8"/>
  <c r="T491" i="8"/>
  <c r="AI484" i="8" l="1"/>
  <c r="AJ483" i="8"/>
  <c r="AF482" i="8"/>
  <c r="AG481" i="8"/>
  <c r="U491" i="8"/>
  <c r="V491" i="8" s="1"/>
  <c r="R493" i="8"/>
  <c r="T492" i="8"/>
  <c r="AI485" i="8" l="1"/>
  <c r="AJ484" i="8"/>
  <c r="AF483" i="8"/>
  <c r="AG482" i="8"/>
  <c r="U492" i="8"/>
  <c r="V492" i="8" s="1"/>
  <c r="R494" i="8"/>
  <c r="T493" i="8"/>
  <c r="AI486" i="8" l="1"/>
  <c r="AJ485" i="8"/>
  <c r="AF484" i="8"/>
  <c r="AG483" i="8"/>
  <c r="U493" i="8"/>
  <c r="V493" i="8" s="1"/>
  <c r="R495" i="8"/>
  <c r="T494" i="8"/>
  <c r="AI487" i="8" l="1"/>
  <c r="AJ486" i="8"/>
  <c r="AF485" i="8"/>
  <c r="AG484" i="8"/>
  <c r="U494" i="8"/>
  <c r="V494" i="8" s="1"/>
  <c r="R496" i="8"/>
  <c r="T495" i="8"/>
  <c r="AI488" i="8" l="1"/>
  <c r="AJ487" i="8"/>
  <c r="AF486" i="8"/>
  <c r="AG485" i="8"/>
  <c r="U495" i="8"/>
  <c r="V495" i="8" s="1"/>
  <c r="R497" i="8"/>
  <c r="T496" i="8"/>
  <c r="AI489" i="8" l="1"/>
  <c r="AJ488" i="8"/>
  <c r="AF487" i="8"/>
  <c r="AG486" i="8"/>
  <c r="U496" i="8"/>
  <c r="V496" i="8" s="1"/>
  <c r="R498" i="8"/>
  <c r="T497" i="8"/>
  <c r="AI490" i="8" l="1"/>
  <c r="AJ489" i="8"/>
  <c r="AF488" i="8"/>
  <c r="AG487" i="8"/>
  <c r="U497" i="8"/>
  <c r="V497" i="8" s="1"/>
  <c r="R499" i="8"/>
  <c r="T498" i="8"/>
  <c r="AI491" i="8" l="1"/>
  <c r="AJ490" i="8"/>
  <c r="AF489" i="8"/>
  <c r="AG488" i="8"/>
  <c r="U498" i="8"/>
  <c r="V498" i="8" s="1"/>
  <c r="R500" i="8"/>
  <c r="T499" i="8"/>
  <c r="AI492" i="8" l="1"/>
  <c r="AJ491" i="8"/>
  <c r="AF490" i="8"/>
  <c r="AG489" i="8"/>
  <c r="U499" i="8"/>
  <c r="V499" i="8" s="1"/>
  <c r="R501" i="8"/>
  <c r="T501" i="8" s="1"/>
  <c r="T500" i="8"/>
  <c r="AI493" i="8" l="1"/>
  <c r="AJ492" i="8"/>
  <c r="AF491" i="8"/>
  <c r="AG490" i="8"/>
  <c r="U500" i="8"/>
  <c r="V500" i="8" s="1"/>
  <c r="AI494" i="8" l="1"/>
  <c r="AJ493" i="8"/>
  <c r="AF492" i="8"/>
  <c r="AG491" i="8"/>
  <c r="U501" i="8"/>
  <c r="V501" i="8" s="1"/>
  <c r="AI495" i="8" l="1"/>
  <c r="AJ494" i="8"/>
  <c r="AF493" i="8"/>
  <c r="AG492" i="8"/>
  <c r="AI496" i="8" l="1"/>
  <c r="AJ495" i="8"/>
  <c r="AF494" i="8"/>
  <c r="AG493" i="8"/>
  <c r="AI497" i="8" l="1"/>
  <c r="AJ496" i="8"/>
  <c r="AF495" i="8"/>
  <c r="AG494" i="8"/>
  <c r="AI498" i="8" l="1"/>
  <c r="AJ497" i="8"/>
  <c r="AF496" i="8"/>
  <c r="AG495" i="8"/>
  <c r="AI499" i="8" l="1"/>
  <c r="AJ498" i="8"/>
  <c r="AF497" i="8"/>
  <c r="AG496" i="8"/>
  <c r="AI500" i="8" l="1"/>
  <c r="AJ499" i="8"/>
  <c r="AF498" i="8"/>
  <c r="AG497" i="8"/>
  <c r="AI501" i="8" l="1"/>
  <c r="AJ501" i="8" s="1"/>
  <c r="AJ500" i="8"/>
  <c r="AF499" i="8"/>
  <c r="AG498" i="8"/>
  <c r="AF500" i="8" l="1"/>
  <c r="AG499" i="8"/>
  <c r="AF501" i="8" l="1"/>
  <c r="AG501" i="8" s="1"/>
  <c r="AG50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tc={3140FAD6-4206-4A0C-A6CB-C7B5E782DCBB}</author>
    <author>tc={130C3BAD-7829-44D0-B0A1-118407FB1768}</author>
    <author>tc={067F7272-4AA1-4F60-94E4-C1937C500D84}</author>
    <author>tc={F4CB5607-70C2-4471-BB05-82A903454A6B}</author>
  </authors>
  <commentList>
    <comment ref="P10" authorId="0" shapeId="0" xr:uid="{3140FAD6-4206-4A0C-A6CB-C7B5E782DCBB}">
      <text>
        <t>[Threaded comment]
Your version of Excel allows you to read this threaded comment; however, any edits to it will get removed if the file is opened in a newer version of Excel. Learn more: https://go.microsoft.com/fwlink/?linkid=870924
Comment:
    Seed (SMA 9)</t>
      </text>
    </comment>
    <comment ref="R13" authorId="1" shapeId="0" xr:uid="{130C3BAD-7829-44D0-B0A1-118407FB1768}">
      <text>
        <t>[Threaded comment]
Your version of Excel allows you to read this threaded comment; however, any edits to it will get removed if the file is opened in a newer version of Excel. Learn more: https://go.microsoft.com/fwlink/?linkid=870924
Comment:
    Seed (SMA 12)</t>
      </text>
    </comment>
    <comment ref="Q22" authorId="2" shapeId="0" xr:uid="{067F7272-4AA1-4F60-94E4-C1937C500D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Seed (SMA 21)</t>
      </text>
    </comment>
    <comment ref="S27" authorId="3" shapeId="0" xr:uid="{F4CB5607-70C2-4471-BB05-82A903454A6B}">
      <text>
        <t>[Threaded comment]
Your version of Excel allows you to read this threaded comment; however, any edits to it will get removed if the file is opened in a newer version of Excel. Learn more: https://go.microsoft.com/fwlink/?linkid=870924
Comment:
    Seed (SMA 26)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<sst xmlns="http://schemas.openxmlformats.org/spreadsheetml/2006/main" count="150" uniqueCount="110">
  <si>
    <t>Interval</t>
  </si>
  <si>
    <t>Category</t>
  </si>
  <si>
    <t>Indicators (Recommended)</t>
  </si>
  <si>
    <t>15m</t>
  </si>
  <si>
    <t>Volatility</t>
  </si>
  <si>
    <t>ATR(14), Bollinger Bands (20), Historical Volatility (HV 10/20)</t>
  </si>
  <si>
    <t>Trend</t>
  </si>
  <si>
    <t>EMA 9–EMA 21, MACD (12,26,9)</t>
  </si>
  <si>
    <t>Momentum</t>
  </si>
  <si>
    <t>RSI (14), Stochastic RSI</t>
  </si>
  <si>
    <t>Volume-based</t>
  </si>
  <si>
    <t>OBV, VWAP (intraday)</t>
  </si>
  <si>
    <t>Risk</t>
  </si>
  <si>
    <t>% Price Change, Max Drawdown (intraday), Volume Spike Index</t>
  </si>
  <si>
    <t>1h</t>
  </si>
  <si>
    <t>SMA 20, SMA 50, EMA 21, EMA 50</t>
  </si>
  <si>
    <t>RSI 14, MACD</t>
  </si>
  <si>
    <t>ATR 14, Bollinger Bands 20</t>
  </si>
  <si>
    <t>Daily VaR from 1h returns, Beta vs BTC Index</t>
  </si>
  <si>
    <t>Volume</t>
  </si>
  <si>
    <t>OBV, Volume MA 20</t>
  </si>
  <si>
    <t>4h</t>
  </si>
  <si>
    <t>EMA 50, EMA 100, SMA 100</t>
  </si>
  <si>
    <t>RSI 14, Stochastic RSI</t>
  </si>
  <si>
    <t>ATR 14×√(4/24), Bollinger Bands 20</t>
  </si>
  <si>
    <t>Institutional</t>
  </si>
  <si>
    <t>Fibonacci Retracement, Multi-timeframe VWAP</t>
  </si>
  <si>
    <t>1d</t>
  </si>
  <si>
    <t>SMA 50, SMA 100, SMA 200, EMA 50</t>
  </si>
  <si>
    <t>ATR 14, Bollinger Bands</t>
  </si>
  <si>
    <t>Risk Metrics (must-have)</t>
  </si>
  <si>
    <t>Daily returns, Annualized Volatility, Beta, Sharpe Ratio, Max Drawdown</t>
  </si>
  <si>
    <t>OBV, VWAP (daily), Volume MA 20</t>
  </si>
  <si>
    <t>Matrix Name</t>
  </si>
  <si>
    <t xml:space="preserve">Value </t>
  </si>
  <si>
    <t>Event time</t>
  </si>
  <si>
    <t>Symbol</t>
  </si>
  <si>
    <t>Price change</t>
  </si>
  <si>
    <t>Price change percent</t>
  </si>
  <si>
    <t>Weighted average price</t>
  </si>
  <si>
    <t>Last price</t>
  </si>
  <si>
    <t>Last quantity</t>
  </si>
  <si>
    <t>Open price</t>
  </si>
  <si>
    <t>High price</t>
  </si>
  <si>
    <t>Low price</t>
  </si>
  <si>
    <t>Total traded base asset volume</t>
  </si>
  <si>
    <t>Total traded quote asset volume</t>
  </si>
  <si>
    <t>Statistics open time</t>
  </si>
  <si>
    <t>Statistics close time</t>
  </si>
  <si>
    <t>First trade ID</t>
  </si>
  <si>
    <t>Last trade Id</t>
  </si>
  <si>
    <t>Total number of trades</t>
  </si>
  <si>
    <t>True Range</t>
  </si>
  <si>
    <t>ATR (14)</t>
  </si>
  <si>
    <t>Middle Band (SMA 20)</t>
  </si>
  <si>
    <t>Standard Deviation</t>
  </si>
  <si>
    <t>Upper Band</t>
  </si>
  <si>
    <t>Lower Band</t>
  </si>
  <si>
    <t>Log Return</t>
  </si>
  <si>
    <t>HV 10</t>
  </si>
  <si>
    <t>HV 20</t>
  </si>
  <si>
    <t xml:space="preserve">Done </t>
  </si>
  <si>
    <t>Status</t>
  </si>
  <si>
    <t>EMA 9</t>
  </si>
  <si>
    <t>EMA 21</t>
  </si>
  <si>
    <t>EMA 12</t>
  </si>
  <si>
    <t>EMA basics</t>
  </si>
  <si>
    <t>Formula</t>
  </si>
  <si>
    <t>Alpha</t>
  </si>
  <si>
    <t>1-Alpha</t>
  </si>
  <si>
    <t>EMA 26</t>
  </si>
  <si>
    <t>MACD Line</t>
  </si>
  <si>
    <t>Signal Line (EMA 9 of MACD)</t>
  </si>
  <si>
    <t>Histogram</t>
  </si>
  <si>
    <t>Price Change</t>
  </si>
  <si>
    <t>Gain</t>
  </si>
  <si>
    <t>Loss</t>
  </si>
  <si>
    <t>Avg Gain (14)</t>
  </si>
  <si>
    <t>Avg Loss (14)</t>
  </si>
  <si>
    <t>RSI (14)</t>
  </si>
  <si>
    <t>Stochastic RSI</t>
  </si>
  <si>
    <t>OBV</t>
  </si>
  <si>
    <t>Typical Price</t>
  </si>
  <si>
    <t>Cumulative TP×Vol</t>
  </si>
  <si>
    <t>VWAP</t>
  </si>
  <si>
    <t>% Price Change</t>
  </si>
  <si>
    <t>Running Peak</t>
  </si>
  <si>
    <t>Drawdown</t>
  </si>
  <si>
    <t>Volume Spike Index</t>
  </si>
  <si>
    <t>BTCUSDT</t>
  </si>
  <si>
    <t>EMA_today = (Close_today × α) + (EMA_yesterday × (1 − α))       Where: α = 2 / (N + 1)</t>
  </si>
  <si>
    <t xml:space="preserve"> </t>
  </si>
  <si>
    <t>Momentum Confirmation</t>
  </si>
  <si>
    <t>BUY Signal</t>
  </si>
  <si>
    <t>SELL Signal</t>
  </si>
  <si>
    <t>Signal Strength</t>
  </si>
  <si>
    <t>Asset</t>
  </si>
  <si>
    <t>BTC</t>
  </si>
  <si>
    <t>Quantity</t>
  </si>
  <si>
    <t>Buy Date</t>
  </si>
  <si>
    <t>Buy Price</t>
  </si>
  <si>
    <t>Invested Amount</t>
  </si>
  <si>
    <t>Current Value</t>
  </si>
  <si>
    <t>Absolute P&amp;L</t>
  </si>
  <si>
    <t>P&amp;L %</t>
  </si>
  <si>
    <t>Holding Days</t>
  </si>
  <si>
    <t>Annualized Return (CAGR-style)</t>
  </si>
  <si>
    <t>Portfolio Value</t>
  </si>
  <si>
    <t>Drawdown %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</si>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</sst>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164" formatCode="yyyy/mm/dd\ hh:mm"/>
    <numFmt numFmtId="165" formatCode="_-[$$-409]* #,##0.00_ ;_-[$$-409]* \-#,##0.00\ ;_-[$$-409]* &quot;-&quot;??_ ;_-@_ "/>
    <numFmt numFmtId="166" formatCode="yyyy/mm/dd\ hh:mm:ss"/>
    <numFmt numFmtId="17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5" fontId="4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925EEFBF-A78E-49D2-99A1-3CC11C35E9C8}"/>
  </tableStyles>
  <colors>
    <mruColors>
      <color rgb="FFFFF8F3"/>
      <color rgb="FFFDCFD7"/>
      <color rgb="FFFCA6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xloil.6mvzyskg6i963xevdiru2s">
      <tp>
        <v>0</v>
        <stp/>
        <stp>{5CD980A4-13A8-46E7-BB7F-F371C7441261}</stp>
        <tr r="B19" s="2"/>
      </tp>
      <tp>
        <v>0</v>
        <stp/>
        <stp>{E6C563AA-CF06-4E9D-BC8C-B8BA1A145A08}</stp>
        <tr r="B14" s="2"/>
      </tp>
      <tp>
        <v>0</v>
        <stp/>
        <stp>{D8C2BDC9-AB5C-4547-A80B-BAD3B52A122A}</stp>
        <tr r="B17" s="2"/>
      </tp>
      <tp>
        <v>0</v>
        <stp/>
        <stp>{B6627AED-D2C7-460D-BAA0-9E6B1E6CB205}</stp>
        <tr r="B18" s="2"/>
      </tp>
      <tp>
        <v>0</v>
        <stp/>
        <stp>{FD94646E-5840-4A11-895F-11BD4146F1F4}</stp>
        <tr r="B13" s="2"/>
      </tp>
      <tp>
        <v>0</v>
        <stp/>
        <stp>{9800D2C9-2C12-441B-B3DD-EC93E42F922C}</stp>
        <tr r="B6" s="2"/>
      </tp>
      <tp>
        <v>0</v>
        <stp/>
        <stp>{C6FC7966-5156-4C7E-881B-14D6E39D2604}</stp>
        <tr r="A1" s="7"/>
      </tp>
      <tp>
        <v>0</v>
        <stp/>
        <stp>{5C2B6EEF-BA75-466D-942D-B763509D654E}</stp>
        <tr r="B15" s="2"/>
      </tp>
      <tp>
        <v>0</v>
        <stp/>
        <stp>{911764A9-FC2E-47FB-AE19-1D7F57F8B638}</stp>
        <tr r="B4" s="2"/>
      </tp>
      <tp>
        <v>0</v>
        <stp/>
        <stp>{13AEC69E-0E4D-4FC4-9B04-ADC3AE161832}</stp>
        <tr r="B11" s="2"/>
      </tp>
      <tp>
        <v>0</v>
        <stp/>
        <stp>{961CAB4B-A852-4802-B797-A02A88ABCD3D}</stp>
        <tr r="B12" s="2"/>
      </tp>
    </main>
    <main first="xloil.6mvzyskg6i963xevdiru2s">
      <tp>
        <v>0</v>
        <stp/>
        <stp>{78B9255D-FCFA-4519-A8DB-E57386A79042}</stp>
        <tr r="B8" s="2"/>
      </tp>
      <tp>
        <v>0</v>
        <stp/>
        <stp>{54B12366-2A6B-4281-8231-3132634D8B25}</stp>
        <tr r="B9" s="2"/>
      </tp>
      <tp>
        <v>0</v>
        <stp/>
        <stp>{EDFD3369-D688-45A2-A1A8-032C28EA5494}</stp>
        <tr r="B16" s="2"/>
      </tp>
      <tp>
        <v>0</v>
        <stp/>
        <stp>{A9C99248-8261-470A-9E54-30EA00B925FA}</stp>
        <tr r="B5" s="2"/>
      </tp>
      <tp>
        <v>0</v>
        <stp/>
        <stp>{19A63D81-EC98-4F60-8CE3-D46A6D66679B}</stp>
        <tr r="B7" s="2"/>
      </tp>
      <tp>
        <v>0</v>
        <stp/>
        <stp>{69918B39-8206-4068-8CCF-5DB1F9F300C2}</stp>
        <tr r="B3" s="2"/>
      </tp>
      <tp>
        <v>0</v>
        <stp/>
        <stp>{F9F359E6-801A-40EA-9A52-5A8EF020DB13}</stp>
        <tr r="B10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Portfolio Value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Portfolio Value</c:v>
          </c:tx>
          <c:spPr>
            <a:gradFill>
              <a:gsLst>
                <a:gs pos="0">
                  <a:srgbClr val="FCA6B4"/>
                </a:gs>
                <a:gs pos="44000">
                  <a:srgbClr val="FDCFD7"/>
                </a:gs>
                <a:gs pos="83000">
                  <a:srgbClr val="FFF8F3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val>
            <c:numRef>
              <c:f>'Performance Report'!$N$2:$N$732</c:f>
              <c:numCache>
                <c:formatCode>_-[$$-409]* #,##0.00_ ;_-[$$-409]* \-#,##0.00\ ;_-[$$-409]* "-"??_ ;_-@_ </c:formatCode>
                <c:ptCount val="731"/>
                <c:pt idx="0">
                  <c:v>4400.0070000000005</c:v>
                </c:pt>
                <c:pt idx="1">
                  <c:v>4275.8205000000007</c:v>
                </c:pt>
                <c:pt idx="2">
                  <c:v>4312.1610000000001</c:v>
                </c:pt>
                <c:pt idx="3">
                  <c:v>4393.1710000000003</c:v>
                </c:pt>
                <c:pt idx="4">
                  <c:v>4321.6040000000003</c:v>
                </c:pt>
                <c:pt idx="5">
                  <c:v>4408.6085000000003</c:v>
                </c:pt>
                <c:pt idx="6">
                  <c:v>4512.0005000000001</c:v>
                </c:pt>
                <c:pt idx="7">
                  <c:v>4513.4210000000003</c:v>
                </c:pt>
                <c:pt idx="8">
                  <c:v>4625.6690000000008</c:v>
                </c:pt>
                <c:pt idx="9">
                  <c:v>4600.7685000000001</c:v>
                </c:pt>
                <c:pt idx="10">
                  <c:v>4633.9400000000005</c:v>
                </c:pt>
                <c:pt idx="11">
                  <c:v>4531.7169999999996</c:v>
                </c:pt>
                <c:pt idx="12">
                  <c:v>4519.7655000000004</c:v>
                </c:pt>
                <c:pt idx="13">
                  <c:v>4461.8395</c:v>
                </c:pt>
                <c:pt idx="14">
                  <c:v>4466.5019999999995</c:v>
                </c:pt>
                <c:pt idx="15">
                  <c:v>4603.9030000000002</c:v>
                </c:pt>
                <c:pt idx="16">
                  <c:v>4671.4975000000004</c:v>
                </c:pt>
                <c:pt idx="17">
                  <c:v>4563.8940000000002</c:v>
                </c:pt>
                <c:pt idx="18">
                  <c:v>4314.3005000000003</c:v>
                </c:pt>
                <c:pt idx="19">
                  <c:v>4518</c:v>
                </c:pt>
                <c:pt idx="20">
                  <c:v>4540.1220000000003</c:v>
                </c:pt>
                <c:pt idx="21">
                  <c:v>4544.5349999999999</c:v>
                </c:pt>
                <c:pt idx="22">
                  <c:v>4566.6975000000002</c:v>
                </c:pt>
                <c:pt idx="23">
                  <c:v>4524.201</c:v>
                </c:pt>
                <c:pt idx="24">
                  <c:v>4368.4980000000005</c:v>
                </c:pt>
                <c:pt idx="25">
                  <c:v>4415.0005000000001</c:v>
                </c:pt>
                <c:pt idx="26">
                  <c:v>4341.5</c:v>
                </c:pt>
                <c:pt idx="27">
                  <c:v>4236.9870000000001</c:v>
                </c:pt>
                <c:pt idx="28">
                  <c:v>4256.4714999999997</c:v>
                </c:pt>
                <c:pt idx="29">
                  <c:v>4331.8615</c:v>
                </c:pt>
                <c:pt idx="30">
                  <c:v>4577.7480000000005</c:v>
                </c:pt>
                <c:pt idx="31">
                  <c:v>4648.0415000000003</c:v>
                </c:pt>
                <c:pt idx="32">
                  <c:v>4610.7570000000005</c:v>
                </c:pt>
                <c:pt idx="33">
                  <c:v>4713.0720000000001</c:v>
                </c:pt>
                <c:pt idx="34">
                  <c:v>4779.8120000000008</c:v>
                </c:pt>
                <c:pt idx="35">
                  <c:v>4729.7</c:v>
                </c:pt>
                <c:pt idx="36">
                  <c:v>4984.6010000000006</c:v>
                </c:pt>
                <c:pt idx="37">
                  <c:v>5082.7184999999999</c:v>
                </c:pt>
                <c:pt idx="38">
                  <c:v>5152.9495000000006</c:v>
                </c:pt>
                <c:pt idx="39">
                  <c:v>5300.5565000000006</c:v>
                </c:pt>
                <c:pt idx="40">
                  <c:v>5236.148000000001</c:v>
                </c:pt>
                <c:pt idx="41">
                  <c:v>5115.6470000000008</c:v>
                </c:pt>
                <c:pt idx="42">
                  <c:v>5166.9540000000006</c:v>
                </c:pt>
                <c:pt idx="43">
                  <c:v>5067.3019999999997</c:v>
                </c:pt>
                <c:pt idx="44">
                  <c:v>5194.2580000000007</c:v>
                </c:pt>
                <c:pt idx="45">
                  <c:v>5074.8610000000008</c:v>
                </c:pt>
                <c:pt idx="46">
                  <c:v>5329.152</c:v>
                </c:pt>
                <c:pt idx="47">
                  <c:v>5527.0339999999997</c:v>
                </c:pt>
                <c:pt idx="48">
                  <c:v>5504.9050000000007</c:v>
                </c:pt>
                <c:pt idx="49">
                  <c:v>5480.4004999999997</c:v>
                </c:pt>
                <c:pt idx="50">
                  <c:v>5416.1440000000002</c:v>
                </c:pt>
                <c:pt idx="51">
                  <c:v>5501.0645000000004</c:v>
                </c:pt>
                <c:pt idx="52">
                  <c:v>5644.9225000000006</c:v>
                </c:pt>
                <c:pt idx="53">
                  <c:v>5705.3824999999997</c:v>
                </c:pt>
                <c:pt idx="54">
                  <c:v>5727.97</c:v>
                </c:pt>
                <c:pt idx="55">
                  <c:v>5582.3135000000002</c:v>
                </c:pt>
                <c:pt idx="56">
                  <c:v>5550.2445000000007</c:v>
                </c:pt>
                <c:pt idx="57">
                  <c:v>5503.9089999999997</c:v>
                </c:pt>
                <c:pt idx="58">
                  <c:v>5378.3720000000003</c:v>
                </c:pt>
                <c:pt idx="59">
                  <c:v>5414.8834999999999</c:v>
                </c:pt>
                <c:pt idx="60">
                  <c:v>5526.6045000000004</c:v>
                </c:pt>
                <c:pt idx="61">
                  <c:v>5432.1390000000001</c:v>
                </c:pt>
                <c:pt idx="62">
                  <c:v>5359.2505000000001</c:v>
                </c:pt>
                <c:pt idx="63">
                  <c:v>5321.5839999999998</c:v>
                </c:pt>
                <c:pt idx="64">
                  <c:v>5409.7139999999999</c:v>
                </c:pt>
                <c:pt idx="65">
                  <c:v>5538.1640000000007</c:v>
                </c:pt>
                <c:pt idx="66">
                  <c:v>5651.4070000000002</c:v>
                </c:pt>
                <c:pt idx="67">
                  <c:v>5758.3</c:v>
                </c:pt>
                <c:pt idx="68">
                  <c:v>5747.9400000000005</c:v>
                </c:pt>
                <c:pt idx="69">
                  <c:v>5532.22</c:v>
                </c:pt>
                <c:pt idx="70">
                  <c:v>5638.7250000000004</c:v>
                </c:pt>
                <c:pt idx="71">
                  <c:v>6083.12</c:v>
                </c:pt>
                <c:pt idx="72">
                  <c:v>6165.3</c:v>
                </c:pt>
                <c:pt idx="73">
                  <c:v>6066.6475</c:v>
                </c:pt>
                <c:pt idx="74">
                  <c:v>6232.9269999999997</c:v>
                </c:pt>
                <c:pt idx="75">
                  <c:v>6174.1154999999999</c:v>
                </c:pt>
                <c:pt idx="76">
                  <c:v>6119.55</c:v>
                </c:pt>
                <c:pt idx="77">
                  <c:v>6111.6</c:v>
                </c:pt>
                <c:pt idx="78">
                  <c:v>6026.4675000000007</c:v>
                </c:pt>
                <c:pt idx="79">
                  <c:v>5929.7495000000008</c:v>
                </c:pt>
                <c:pt idx="80">
                  <c:v>5702.4465</c:v>
                </c:pt>
                <c:pt idx="81">
                  <c:v>5715.5980000000009</c:v>
                </c:pt>
                <c:pt idx="82">
                  <c:v>5608.1975000000002</c:v>
                </c:pt>
                <c:pt idx="83">
                  <c:v>5481.7925000000005</c:v>
                </c:pt>
                <c:pt idx="84">
                  <c:v>5482.1730000000007</c:v>
                </c:pt>
                <c:pt idx="85">
                  <c:v>5449.7245000000003</c:v>
                </c:pt>
                <c:pt idx="86">
                  <c:v>5665.35</c:v>
                </c:pt>
                <c:pt idx="87">
                  <c:v>5599.9400000000005</c:v>
                </c:pt>
                <c:pt idx="88">
                  <c:v>5632.549500000001</c:v>
                </c:pt>
                <c:pt idx="89">
                  <c:v>5761.6144999999997</c:v>
                </c:pt>
                <c:pt idx="90">
                  <c:v>5784.281500000001</c:v>
                </c:pt>
                <c:pt idx="91">
                  <c:v>5781.6190000000006</c:v>
                </c:pt>
                <c:pt idx="92">
                  <c:v>5853.6765000000005</c:v>
                </c:pt>
                <c:pt idx="93">
                  <c:v>5822.3795</c:v>
                </c:pt>
                <c:pt idx="94">
                  <c:v>5839.4480000000003</c:v>
                </c:pt>
                <c:pt idx="95">
                  <c:v>5767.4855000000007</c:v>
                </c:pt>
                <c:pt idx="96">
                  <c:v>5763.4004999999997</c:v>
                </c:pt>
                <c:pt idx="97">
                  <c:v>5795.9144999999999</c:v>
                </c:pt>
                <c:pt idx="98">
                  <c:v>5801.4710000000005</c:v>
                </c:pt>
                <c:pt idx="99">
                  <c:v>5774.1345000000001</c:v>
                </c:pt>
                <c:pt idx="100">
                  <c:v>5698</c:v>
                </c:pt>
                <c:pt idx="101">
                  <c:v>5577.3195000000005</c:v>
                </c:pt>
                <c:pt idx="102">
                  <c:v>5603.2615000000005</c:v>
                </c:pt>
                <c:pt idx="103">
                  <c:v>5556.8670000000002</c:v>
                </c:pt>
                <c:pt idx="104">
                  <c:v>5509.3985000000002</c:v>
                </c:pt>
                <c:pt idx="105">
                  <c:v>5532.9995000000008</c:v>
                </c:pt>
                <c:pt idx="106">
                  <c:v>5536.5434999999998</c:v>
                </c:pt>
                <c:pt idx="107">
                  <c:v>5585.2855000000009</c:v>
                </c:pt>
                <c:pt idx="108">
                  <c:v>5562.0005000000001</c:v>
                </c:pt>
                <c:pt idx="109">
                  <c:v>5461.8710000000001</c:v>
                </c:pt>
                <c:pt idx="110">
                  <c:v>5412.317500000001</c:v>
                </c:pt>
                <c:pt idx="111">
                  <c:v>5440.8165000000008</c:v>
                </c:pt>
                <c:pt idx="112">
                  <c:v>5418.87</c:v>
                </c:pt>
                <c:pt idx="113">
                  <c:v>5628.3450000000003</c:v>
                </c:pt>
                <c:pt idx="114">
                  <c:v>5563.1005000000005</c:v>
                </c:pt>
                <c:pt idx="115">
                  <c:v>5588.1610000000001</c:v>
                </c:pt>
                <c:pt idx="116">
                  <c:v>5505.5990000000002</c:v>
                </c:pt>
                <c:pt idx="117">
                  <c:v>5674.6795000000002</c:v>
                </c:pt>
                <c:pt idx="118">
                  <c:v>5771.9025000000001</c:v>
                </c:pt>
                <c:pt idx="119">
                  <c:v>5846.799500000001</c:v>
                </c:pt>
                <c:pt idx="120">
                  <c:v>5625</c:v>
                </c:pt>
                <c:pt idx="121">
                  <c:v>5713.5620000000008</c:v>
                </c:pt>
                <c:pt idx="122">
                  <c:v>5643.6470000000008</c:v>
                </c:pt>
                <c:pt idx="123">
                  <c:v>5811.3525000000009</c:v>
                </c:pt>
                <c:pt idx="124">
                  <c:v>5870.2505000000001</c:v>
                </c:pt>
                <c:pt idx="125">
                  <c:v>5869.0330000000004</c:v>
                </c:pt>
                <c:pt idx="126">
                  <c:v>5867.1025000000009</c:v>
                </c:pt>
                <c:pt idx="127">
                  <c:v>5914.7545</c:v>
                </c:pt>
                <c:pt idx="128">
                  <c:v>6165.3215</c:v>
                </c:pt>
                <c:pt idx="129">
                  <c:v>6006.7040000000006</c:v>
                </c:pt>
                <c:pt idx="130">
                  <c:v>5934.3</c:v>
                </c:pt>
                <c:pt idx="131">
                  <c:v>5964.7004999999999</c:v>
                </c:pt>
                <c:pt idx="132">
                  <c:v>5823.1125000000002</c:v>
                </c:pt>
                <c:pt idx="133">
                  <c:v>5833.737000000001</c:v>
                </c:pt>
                <c:pt idx="134">
                  <c:v>5873.6005000000005</c:v>
                </c:pt>
                <c:pt idx="135">
                  <c:v>5749.6135000000004</c:v>
                </c:pt>
                <c:pt idx="136">
                  <c:v>5706.4875000000002</c:v>
                </c:pt>
                <c:pt idx="137">
                  <c:v>5752.7515000000003</c:v>
                </c:pt>
                <c:pt idx="138">
                  <c:v>5710.4400000000005</c:v>
                </c:pt>
                <c:pt idx="139">
                  <c:v>5627.317500000001</c:v>
                </c:pt>
                <c:pt idx="140">
                  <c:v>5664.8964999999998</c:v>
                </c:pt>
                <c:pt idx="141">
                  <c:v>5788.2040000000006</c:v>
                </c:pt>
                <c:pt idx="142">
                  <c:v>5892.0150000000003</c:v>
                </c:pt>
                <c:pt idx="143">
                  <c:v>5897.5380000000005</c:v>
                </c:pt>
                <c:pt idx="144">
                  <c:v>5903.1160000000009</c:v>
                </c:pt>
                <c:pt idx="145">
                  <c:v>5970.7775000000001</c:v>
                </c:pt>
                <c:pt idx="146">
                  <c:v>5895.9995000000008</c:v>
                </c:pt>
                <c:pt idx="147">
                  <c:v>5880.7155000000002</c:v>
                </c:pt>
                <c:pt idx="148">
                  <c:v>5917.049500000001</c:v>
                </c:pt>
                <c:pt idx="149">
                  <c:v>5937.799500000001</c:v>
                </c:pt>
                <c:pt idx="150">
                  <c:v>5997.7210000000005</c:v>
                </c:pt>
                <c:pt idx="151">
                  <c:v>5869.018</c:v>
                </c:pt>
                <c:pt idx="152">
                  <c:v>5863.2560000000003</c:v>
                </c:pt>
                <c:pt idx="153">
                  <c:v>5892</c:v>
                </c:pt>
                <c:pt idx="154">
                  <c:v>5896.2420000000002</c:v>
                </c:pt>
                <c:pt idx="155">
                  <c:v>5958.8780000000006</c:v>
                </c:pt>
                <c:pt idx="156">
                  <c:v>5931.5214999999998</c:v>
                </c:pt>
                <c:pt idx="157">
                  <c:v>5887.9045000000006</c:v>
                </c:pt>
                <c:pt idx="158">
                  <c:v>5992.0590000000002</c:v>
                </c:pt>
                <c:pt idx="159">
                  <c:v>5954.3320000000003</c:v>
                </c:pt>
                <c:pt idx="160">
                  <c:v>5871</c:v>
                </c:pt>
                <c:pt idx="161">
                  <c:v>5876.3830000000007</c:v>
                </c:pt>
                <c:pt idx="162">
                  <c:v>5800.5</c:v>
                </c:pt>
                <c:pt idx="163">
                  <c:v>5561.6995000000006</c:v>
                </c:pt>
                <c:pt idx="164">
                  <c:v>5446.1490000000003</c:v>
                </c:pt>
                <c:pt idx="165">
                  <c:v>5413.1470000000008</c:v>
                </c:pt>
                <c:pt idx="166">
                  <c:v>5460.192</c:v>
                </c:pt>
                <c:pt idx="167">
                  <c:v>5409.9059999999999</c:v>
                </c:pt>
                <c:pt idx="168">
                  <c:v>5399.2120000000004</c:v>
                </c:pt>
                <c:pt idx="169">
                  <c:v>5479.2390000000005</c:v>
                </c:pt>
                <c:pt idx="170">
                  <c:v>5442.4800000000005</c:v>
                </c:pt>
                <c:pt idx="171">
                  <c:v>5284.0570000000007</c:v>
                </c:pt>
                <c:pt idx="172">
                  <c:v>5357.3250000000007</c:v>
                </c:pt>
                <c:pt idx="173">
                  <c:v>5417.8464999999997</c:v>
                </c:pt>
                <c:pt idx="174">
                  <c:v>5364.8395</c:v>
                </c:pt>
                <c:pt idx="175">
                  <c:v>5352.3795</c:v>
                </c:pt>
                <c:pt idx="176">
                  <c:v>5347.3530000000001</c:v>
                </c:pt>
                <c:pt idx="177">
                  <c:v>5367.0290000000005</c:v>
                </c:pt>
                <c:pt idx="178">
                  <c:v>5304.1500000000005</c:v>
                </c:pt>
                <c:pt idx="179">
                  <c:v>5266.6965</c:v>
                </c:pt>
                <c:pt idx="180">
                  <c:v>5048.1935000000003</c:v>
                </c:pt>
                <c:pt idx="181">
                  <c:v>5106.0005000000001</c:v>
                </c:pt>
                <c:pt idx="182">
                  <c:v>5164.8995000000004</c:v>
                </c:pt>
                <c:pt idx="183">
                  <c:v>5232.9295000000002</c:v>
                </c:pt>
                <c:pt idx="184">
                  <c:v>5244.3389999999999</c:v>
                </c:pt>
                <c:pt idx="185">
                  <c:v>5227.5585000000001</c:v>
                </c:pt>
                <c:pt idx="186">
                  <c:v>5339.7265000000007</c:v>
                </c:pt>
                <c:pt idx="187">
                  <c:v>5279.7004999999999</c:v>
                </c:pt>
                <c:pt idx="188">
                  <c:v>5270.732</c:v>
                </c:pt>
                <c:pt idx="189">
                  <c:v>5303.3294999999998</c:v>
                </c:pt>
                <c:pt idx="190">
                  <c:v>5283.5865000000003</c:v>
                </c:pt>
                <c:pt idx="191">
                  <c:v>5432.2560000000003</c:v>
                </c:pt>
                <c:pt idx="192">
                  <c:v>5513.7195000000002</c:v>
                </c:pt>
                <c:pt idx="193">
                  <c:v>5513.1510000000007</c:v>
                </c:pt>
                <c:pt idx="194">
                  <c:v>5286.7000000000007</c:v>
                </c:pt>
                <c:pt idx="195">
                  <c:v>5277.6075000000001</c:v>
                </c:pt>
                <c:pt idx="196">
                  <c:v>5214.4220000000005</c:v>
                </c:pt>
                <c:pt idx="197">
                  <c:v>5075.4340000000002</c:v>
                </c:pt>
                <c:pt idx="198">
                  <c:v>5234.8430000000008</c:v>
                </c:pt>
                <c:pt idx="199">
                  <c:v>5268.8445000000002</c:v>
                </c:pt>
                <c:pt idx="200">
                  <c:v>5292.8995000000004</c:v>
                </c:pt>
                <c:pt idx="201">
                  <c:v>5282.1464999999998</c:v>
                </c:pt>
                <c:pt idx="202">
                  <c:v>5229.594000000001</c:v>
                </c:pt>
                <c:pt idx="203">
                  <c:v>5199.2740000000003</c:v>
                </c:pt>
                <c:pt idx="204">
                  <c:v>5279.4875000000002</c:v>
                </c:pt>
                <c:pt idx="205">
                  <c:v>5389.0889999999999</c:v>
                </c:pt>
                <c:pt idx="206">
                  <c:v>5446.9085000000005</c:v>
                </c:pt>
                <c:pt idx="207">
                  <c:v>5471.7394999999997</c:v>
                </c:pt>
                <c:pt idx="208">
                  <c:v>5450.2095000000008</c:v>
                </c:pt>
                <c:pt idx="209">
                  <c:v>5388.0955000000004</c:v>
                </c:pt>
                <c:pt idx="210">
                  <c:v>5365.9150000000009</c:v>
                </c:pt>
                <c:pt idx="211">
                  <c:v>5584.8105000000005</c:v>
                </c:pt>
                <c:pt idx="212">
                  <c:v>5482.1995000000006</c:v>
                </c:pt>
                <c:pt idx="213">
                  <c:v>5342.4995000000008</c:v>
                </c:pt>
                <c:pt idx="214">
                  <c:v>5278.6870000000008</c:v>
                </c:pt>
                <c:pt idx="215">
                  <c:v>5322.7129999999997</c:v>
                </c:pt>
                <c:pt idx="216">
                  <c:v>5156.3325000000004</c:v>
                </c:pt>
                <c:pt idx="217">
                  <c:v>5173.1949999999997</c:v>
                </c:pt>
                <c:pt idx="218">
                  <c:v>5188.1855000000005</c:v>
                </c:pt>
                <c:pt idx="219">
                  <c:v>5175.3910000000005</c:v>
                </c:pt>
                <c:pt idx="220">
                  <c:v>5205.1860000000006</c:v>
                </c:pt>
                <c:pt idx="221">
                  <c:v>5139.5660000000007</c:v>
                </c:pt>
                <c:pt idx="222">
                  <c:v>5205.9000000000005</c:v>
                </c:pt>
                <c:pt idx="223">
                  <c:v>5240.4765000000007</c:v>
                </c:pt>
                <c:pt idx="224">
                  <c:v>5148.5995000000003</c:v>
                </c:pt>
                <c:pt idx="225">
                  <c:v>5163.0800000000008</c:v>
                </c:pt>
                <c:pt idx="226">
                  <c:v>4851.5250000000005</c:v>
                </c:pt>
                <c:pt idx="227">
                  <c:v>4841.701</c:v>
                </c:pt>
                <c:pt idx="228">
                  <c:v>4736.6840000000002</c:v>
                </c:pt>
                <c:pt idx="229">
                  <c:v>4713.8810000000003</c:v>
                </c:pt>
                <c:pt idx="230">
                  <c:v>4792.8209999999999</c:v>
                </c:pt>
                <c:pt idx="231">
                  <c:v>4844.357</c:v>
                </c:pt>
                <c:pt idx="232">
                  <c:v>4824.4955</c:v>
                </c:pt>
                <c:pt idx="233">
                  <c:v>4708.6000000000004</c:v>
                </c:pt>
                <c:pt idx="234">
                  <c:v>4712.8410000000003</c:v>
                </c:pt>
                <c:pt idx="235">
                  <c:v>4750.5590000000002</c:v>
                </c:pt>
                <c:pt idx="236">
                  <c:v>4687.4650000000001</c:v>
                </c:pt>
                <c:pt idx="237">
                  <c:v>4731.4000000000005</c:v>
                </c:pt>
                <c:pt idx="238">
                  <c:v>4731.9340000000002</c:v>
                </c:pt>
                <c:pt idx="239">
                  <c:v>4699.0235000000002</c:v>
                </c:pt>
                <c:pt idx="240">
                  <c:v>4684.5540000000001</c:v>
                </c:pt>
                <c:pt idx="241">
                  <c:v>4672.1495000000004</c:v>
                </c:pt>
                <c:pt idx="242">
                  <c:v>4375.8114999999998</c:v>
                </c:pt>
                <c:pt idx="243">
                  <c:v>4258.9620000000004</c:v>
                </c:pt>
                <c:pt idx="244">
                  <c:v>4253.8504999999996</c:v>
                </c:pt>
                <c:pt idx="245">
                  <c:v>4223.7345000000005</c:v>
                </c:pt>
                <c:pt idx="246">
                  <c:v>4247.3955000000005</c:v>
                </c:pt>
                <c:pt idx="247">
                  <c:v>4201.5190000000002</c:v>
                </c:pt>
                <c:pt idx="248">
                  <c:v>4182.1995000000006</c:v>
                </c:pt>
                <c:pt idx="249">
                  <c:v>4229.5790000000006</c:v>
                </c:pt>
                <c:pt idx="250">
                  <c:v>4188</c:v>
                </c:pt>
                <c:pt idx="251">
                  <c:v>4263.8450000000003</c:v>
                </c:pt>
                <c:pt idx="252">
                  <c:v>4171.192</c:v>
                </c:pt>
                <c:pt idx="253">
                  <c:v>3980.3650000000002</c:v>
                </c:pt>
                <c:pt idx="254">
                  <c:v>4130.7610000000004</c:v>
                </c:pt>
                <c:pt idx="255">
                  <c:v>3816.1210000000001</c:v>
                </c:pt>
                <c:pt idx="256">
                  <c:v>3958.1620000000003</c:v>
                </c:pt>
                <c:pt idx="257">
                  <c:v>3921.5</c:v>
                </c:pt>
                <c:pt idx="258">
                  <c:v>4176.8995000000004</c:v>
                </c:pt>
                <c:pt idx="259">
                  <c:v>4194.4934999999996</c:v>
                </c:pt>
                <c:pt idx="260">
                  <c:v>4160.6544999999996</c:v>
                </c:pt>
                <c:pt idx="261">
                  <c:v>4125.8144999999995</c:v>
                </c:pt>
                <c:pt idx="262">
                  <c:v>4257.9170000000004</c:v>
                </c:pt>
                <c:pt idx="263">
                  <c:v>4127.5005000000001</c:v>
                </c:pt>
                <c:pt idx="264">
                  <c:v>4119.4995000000008</c:v>
                </c:pt>
                <c:pt idx="265">
                  <c:v>4132.4269999999997</c:v>
                </c:pt>
                <c:pt idx="266">
                  <c:v>4221.2190000000001</c:v>
                </c:pt>
                <c:pt idx="267">
                  <c:v>4361.6004999999996</c:v>
                </c:pt>
                <c:pt idx="268">
                  <c:v>4345.4584999999997</c:v>
                </c:pt>
                <c:pt idx="269">
                  <c:v>4369.6435000000001</c:v>
                </c:pt>
                <c:pt idx="270">
                  <c:v>4374.9080000000004</c:v>
                </c:pt>
                <c:pt idx="271">
                  <c:v>4304.125</c:v>
                </c:pt>
                <c:pt idx="272">
                  <c:v>4192.0294999999996</c:v>
                </c:pt>
                <c:pt idx="273">
                  <c:v>4204.4394999999995</c:v>
                </c:pt>
                <c:pt idx="274">
                  <c:v>4211.1695</c:v>
                </c:pt>
                <c:pt idx="275">
                  <c:v>4342.2970000000005</c:v>
                </c:pt>
                <c:pt idx="276">
                  <c:v>4135.7515000000003</c:v>
                </c:pt>
                <c:pt idx="277">
                  <c:v>4200.5015000000003</c:v>
                </c:pt>
                <c:pt idx="278">
                  <c:v>4128.7264999999998</c:v>
                </c:pt>
                <c:pt idx="279">
                  <c:v>4216.9220000000005</c:v>
                </c:pt>
                <c:pt idx="280">
                  <c:v>4199.16</c:v>
                </c:pt>
                <c:pt idx="281">
                  <c:v>4055.7890000000002</c:v>
                </c:pt>
                <c:pt idx="282">
                  <c:v>4184.0060000000003</c:v>
                </c:pt>
                <c:pt idx="283">
                  <c:v>4146.6495000000004</c:v>
                </c:pt>
                <c:pt idx="284">
                  <c:v>3929.7930000000001</c:v>
                </c:pt>
                <c:pt idx="285">
                  <c:v>4036.7184999999999</c:v>
                </c:pt>
                <c:pt idx="286">
                  <c:v>4311.1225000000004</c:v>
                </c:pt>
                <c:pt idx="287">
                  <c:v>4340.0875000000005</c:v>
                </c:pt>
                <c:pt idx="288">
                  <c:v>4496.5945000000002</c:v>
                </c:pt>
                <c:pt idx="289">
                  <c:v>4530.3005000000003</c:v>
                </c:pt>
                <c:pt idx="290">
                  <c:v>4364.0990000000002</c:v>
                </c:pt>
                <c:pt idx="291">
                  <c:v>4311.0304999999998</c:v>
                </c:pt>
                <c:pt idx="292">
                  <c:v>4713.5</c:v>
                </c:pt>
                <c:pt idx="293">
                  <c:v>4303.2264999999998</c:v>
                </c:pt>
                <c:pt idx="294">
                  <c:v>4217.4970000000003</c:v>
                </c:pt>
                <c:pt idx="295">
                  <c:v>4235.4290000000001</c:v>
                </c:pt>
                <c:pt idx="296">
                  <c:v>4212.5045</c:v>
                </c:pt>
                <c:pt idx="297">
                  <c:v>4434.0199999999995</c:v>
                </c:pt>
                <c:pt idx="298">
                  <c:v>4577.6440000000002</c:v>
                </c:pt>
                <c:pt idx="299">
                  <c:v>4812.9000000000005</c:v>
                </c:pt>
                <c:pt idx="300">
                  <c:v>4827.5505000000003</c:v>
                </c:pt>
                <c:pt idx="301">
                  <c:v>4809.0990000000002</c:v>
                </c:pt>
                <c:pt idx="302">
                  <c:v>4915.25</c:v>
                </c:pt>
                <c:pt idx="303">
                  <c:v>4832.2184999999999</c:v>
                </c:pt>
                <c:pt idx="304">
                  <c:v>4783.5870000000004</c:v>
                </c:pt>
                <c:pt idx="305">
                  <c:v>4789</c:v>
                </c:pt>
                <c:pt idx="306">
                  <c:v>4805.9059999999999</c:v>
                </c:pt>
                <c:pt idx="307">
                  <c:v>4878.4830000000002</c:v>
                </c:pt>
                <c:pt idx="308">
                  <c:v>4875.0240000000003</c:v>
                </c:pt>
                <c:pt idx="309">
                  <c:v>4830.4070000000002</c:v>
                </c:pt>
                <c:pt idx="310">
                  <c:v>4893.4995000000008</c:v>
                </c:pt>
                <c:pt idx="311">
                  <c:v>4788.91</c:v>
                </c:pt>
                <c:pt idx="312">
                  <c:v>4871.5410000000002</c:v>
                </c:pt>
                <c:pt idx="313">
                  <c:v>4823.1374999999998</c:v>
                </c:pt>
                <c:pt idx="314">
                  <c:v>4822.2370000000001</c:v>
                </c:pt>
                <c:pt idx="315">
                  <c:v>4825.34</c:v>
                </c:pt>
                <c:pt idx="316">
                  <c:v>4827.7175000000007</c:v>
                </c:pt>
                <c:pt idx="317">
                  <c:v>4830.6215000000002</c:v>
                </c:pt>
                <c:pt idx="318">
                  <c:v>4888.1565000000001</c:v>
                </c:pt>
                <c:pt idx="319">
                  <c:v>5066.4260000000004</c:v>
                </c:pt>
                <c:pt idx="320">
                  <c:v>4885.0294999999996</c:v>
                </c:pt>
                <c:pt idx="321">
                  <c:v>5031.7825000000003</c:v>
                </c:pt>
                <c:pt idx="322">
                  <c:v>5121.4780000000001</c:v>
                </c:pt>
                <c:pt idx="323">
                  <c:v>5236.1470000000008</c:v>
                </c:pt>
                <c:pt idx="324">
                  <c:v>5186.6620000000003</c:v>
                </c:pt>
                <c:pt idx="325">
                  <c:v>5066.7760000000007</c:v>
                </c:pt>
                <c:pt idx="326">
                  <c:v>5104.1415000000006</c:v>
                </c:pt>
                <c:pt idx="327">
                  <c:v>5131</c:v>
                </c:pt>
                <c:pt idx="328">
                  <c:v>5237.3425000000007</c:v>
                </c:pt>
                <c:pt idx="329">
                  <c:v>5243.5250000000005</c:v>
                </c:pt>
                <c:pt idx="330">
                  <c:v>5195.5169999999998</c:v>
                </c:pt>
                <c:pt idx="331">
                  <c:v>5185.3330000000005</c:v>
                </c:pt>
                <c:pt idx="332">
                  <c:v>5307.1910000000007</c:v>
                </c:pt>
                <c:pt idx="333">
                  <c:v>5113.0005000000001</c:v>
                </c:pt>
                <c:pt idx="334">
                  <c:v>5066.5785000000005</c:v>
                </c:pt>
                <c:pt idx="335">
                  <c:v>5227.8114999999998</c:v>
                </c:pt>
                <c:pt idx="336">
                  <c:v>5203.8739999999998</c:v>
                </c:pt>
                <c:pt idx="337">
                  <c:v>4999.3650000000007</c:v>
                </c:pt>
                <c:pt idx="338">
                  <c:v>5024.8675000000003</c:v>
                </c:pt>
                <c:pt idx="339">
                  <c:v>4828.0430000000006</c:v>
                </c:pt>
                <c:pt idx="340">
                  <c:v>4726.8050000000003</c:v>
                </c:pt>
                <c:pt idx="341">
                  <c:v>4727.2529999999997</c:v>
                </c:pt>
                <c:pt idx="342">
                  <c:v>4729.9995000000008</c:v>
                </c:pt>
                <c:pt idx="343">
                  <c:v>4736.3055000000004</c:v>
                </c:pt>
                <c:pt idx="344">
                  <c:v>4627.6245000000008</c:v>
                </c:pt>
                <c:pt idx="345">
                  <c:v>4753.0304999999998</c:v>
                </c:pt>
                <c:pt idx="346">
                  <c:v>4847.7305000000006</c:v>
                </c:pt>
                <c:pt idx="347">
                  <c:v>5111.7800000000007</c:v>
                </c:pt>
                <c:pt idx="348">
                  <c:v>4918.1805000000004</c:v>
                </c:pt>
                <c:pt idx="349">
                  <c:v>4911.0250000000005</c:v>
                </c:pt>
                <c:pt idx="350">
                  <c:v>4908.7089999999998</c:v>
                </c:pt>
                <c:pt idx="351">
                  <c:v>4849.2394999999997</c:v>
                </c:pt>
                <c:pt idx="352">
                  <c:v>4729.5895</c:v>
                </c:pt>
                <c:pt idx="353">
                  <c:v>4678.8</c:v>
                </c:pt>
                <c:pt idx="354">
                  <c:v>4639.6025</c:v>
                </c:pt>
                <c:pt idx="355">
                  <c:v>4686.91</c:v>
                </c:pt>
                <c:pt idx="356">
                  <c:v>4765</c:v>
                </c:pt>
                <c:pt idx="357">
                  <c:v>4714.9515000000001</c:v>
                </c:pt>
                <c:pt idx="358">
                  <c:v>4789.5800000000008</c:v>
                </c:pt>
                <c:pt idx="359">
                  <c:v>4971.4800000000005</c:v>
                </c:pt>
                <c:pt idx="360">
                  <c:v>4933.1790000000001</c:v>
                </c:pt>
                <c:pt idx="361">
                  <c:v>4744.0735000000004</c:v>
                </c:pt>
                <c:pt idx="362">
                  <c:v>4759.3135000000002</c:v>
                </c:pt>
                <c:pt idx="363">
                  <c:v>4864.5995000000003</c:v>
                </c:pt>
                <c:pt idx="364">
                  <c:v>4890.2719999999999</c:v>
                </c:pt>
                <c:pt idx="365">
                  <c:v>4873.0929999999998</c:v>
                </c:pt>
                <c:pt idx="366">
                  <c:v>5010.2004999999999</c:v>
                </c:pt>
                <c:pt idx="367">
                  <c:v>5306.6870000000008</c:v>
                </c:pt>
                <c:pt idx="368">
                  <c:v>5302.9330000000009</c:v>
                </c:pt>
                <c:pt idx="369">
                  <c:v>5223.1995000000006</c:v>
                </c:pt>
                <c:pt idx="370">
                  <c:v>5071</c:v>
                </c:pt>
                <c:pt idx="371">
                  <c:v>5071.2125000000005</c:v>
                </c:pt>
                <c:pt idx="372">
                  <c:v>5000.2145</c:v>
                </c:pt>
                <c:pt idx="373">
                  <c:v>5056.25</c:v>
                </c:pt>
                <c:pt idx="374">
                  <c:v>4829.6500000000005</c:v>
                </c:pt>
                <c:pt idx="375">
                  <c:v>4863.8235000000004</c:v>
                </c:pt>
                <c:pt idx="376">
                  <c:v>5055.4795000000004</c:v>
                </c:pt>
                <c:pt idx="377">
                  <c:v>4991.5995000000003</c:v>
                </c:pt>
                <c:pt idx="378">
                  <c:v>4987.0420000000004</c:v>
                </c:pt>
                <c:pt idx="379">
                  <c:v>4847.2815000000001</c:v>
                </c:pt>
                <c:pt idx="380">
                  <c:v>4929.3660000000009</c:v>
                </c:pt>
                <c:pt idx="381">
                  <c:v>4792.4845000000005</c:v>
                </c:pt>
                <c:pt idx="382">
                  <c:v>4792.0309999999999</c:v>
                </c:pt>
                <c:pt idx="383">
                  <c:v>4859.259</c:v>
                </c:pt>
                <c:pt idx="384">
                  <c:v>4820.3995000000004</c:v>
                </c:pt>
                <c:pt idx="385">
                  <c:v>4873</c:v>
                </c:pt>
                <c:pt idx="386">
                  <c:v>4782.1989999999996</c:v>
                </c:pt>
                <c:pt idx="387">
                  <c:v>4793.1554999999998</c:v>
                </c:pt>
                <c:pt idx="388">
                  <c:v>4598.2580000000007</c:v>
                </c:pt>
                <c:pt idx="389">
                  <c:v>4650.5005000000001</c:v>
                </c:pt>
                <c:pt idx="390">
                  <c:v>4895.0019999999995</c:v>
                </c:pt>
                <c:pt idx="391">
                  <c:v>4883.62</c:v>
                </c:pt>
                <c:pt idx="392">
                  <c:v>4944.6000000000004</c:v>
                </c:pt>
                <c:pt idx="393">
                  <c:v>4915.8559999999998</c:v>
                </c:pt>
                <c:pt idx="394">
                  <c:v>4714.3280000000004</c:v>
                </c:pt>
                <c:pt idx="395">
                  <c:v>4615.5394999999999</c:v>
                </c:pt>
                <c:pt idx="396">
                  <c:v>4523.2040000000006</c:v>
                </c:pt>
                <c:pt idx="397">
                  <c:v>4492.7995000000001</c:v>
                </c:pt>
                <c:pt idx="398">
                  <c:v>4529.3460000000005</c:v>
                </c:pt>
                <c:pt idx="399">
                  <c:v>4551.6035000000002</c:v>
                </c:pt>
                <c:pt idx="400">
                  <c:v>4366.2794999999996</c:v>
                </c:pt>
                <c:pt idx="401">
                  <c:v>4518.76</c:v>
                </c:pt>
                <c:pt idx="402">
                  <c:v>4397.6004999999996</c:v>
                </c:pt>
                <c:pt idx="403">
                  <c:v>4432.3995000000004</c:v>
                </c:pt>
                <c:pt idx="404">
                  <c:v>4018.5005000000001</c:v>
                </c:pt>
                <c:pt idx="405">
                  <c:v>3833.8730000000005</c:v>
                </c:pt>
                <c:pt idx="406">
                  <c:v>3825.489</c:v>
                </c:pt>
                <c:pt idx="407">
                  <c:v>3792.8945000000003</c:v>
                </c:pt>
                <c:pt idx="408">
                  <c:v>3778.5995000000003</c:v>
                </c:pt>
                <c:pt idx="409">
                  <c:v>3468.6005</c:v>
                </c:pt>
                <c:pt idx="410">
                  <c:v>3392.5005000000001</c:v>
                </c:pt>
                <c:pt idx="411">
                  <c:v>3438.7995000000005</c:v>
                </c:pt>
                <c:pt idx="412">
                  <c:v>3468.7370000000005</c:v>
                </c:pt>
                <c:pt idx="413">
                  <c:v>3474.8004999999998</c:v>
                </c:pt>
                <c:pt idx="414">
                  <c:v>3514.6005</c:v>
                </c:pt>
                <c:pt idx="415">
                  <c:v>3617.2370000000005</c:v>
                </c:pt>
                <c:pt idx="416">
                  <c:v>3636.8209999999999</c:v>
                </c:pt>
                <c:pt idx="417">
                  <c:v>3498.1105000000007</c:v>
                </c:pt>
                <c:pt idx="418">
                  <c:v>3401.085</c:v>
                </c:pt>
                <c:pt idx="419">
                  <c:v>3354.6379999999999</c:v>
                </c:pt>
                <c:pt idx="420">
                  <c:v>3334.9165000000003</c:v>
                </c:pt>
                <c:pt idx="421">
                  <c:v>3409.9140000000002</c:v>
                </c:pt>
                <c:pt idx="422">
                  <c:v>3333.4324999999999</c:v>
                </c:pt>
                <c:pt idx="423">
                  <c:v>3371.3</c:v>
                </c:pt>
                <c:pt idx="424">
                  <c:v>3368.875</c:v>
                </c:pt>
                <c:pt idx="425">
                  <c:v>3451.5995000000003</c:v>
                </c:pt>
                <c:pt idx="426">
                  <c:v>3418.9</c:v>
                </c:pt>
                <c:pt idx="427">
                  <c:v>3421.4</c:v>
                </c:pt>
                <c:pt idx="428">
                  <c:v>3371.0889999999999</c:v>
                </c:pt>
                <c:pt idx="429">
                  <c:v>3381.0005000000001</c:v>
                </c:pt>
                <c:pt idx="430">
                  <c:v>3353.7070000000003</c:v>
                </c:pt>
                <c:pt idx="431">
                  <c:v>3304.1995000000006</c:v>
                </c:pt>
                <c:pt idx="432">
                  <c:v>3143.5010000000002</c:v>
                </c:pt>
                <c:pt idx="433">
                  <c:v>3160.3110000000001</c:v>
                </c:pt>
                <c:pt idx="434">
                  <c:v>3127</c:v>
                </c:pt>
                <c:pt idx="435">
                  <c:v>3016.3195000000001</c:v>
                </c:pt>
                <c:pt idx="436">
                  <c:v>3031.8009999999999</c:v>
                </c:pt>
                <c:pt idx="437">
                  <c:v>3108.0245</c:v>
                </c:pt>
                <c:pt idx="438">
                  <c:v>3111.2000000000003</c:v>
                </c:pt>
                <c:pt idx="439">
                  <c:v>3140.9955000000004</c:v>
                </c:pt>
                <c:pt idx="440">
                  <c:v>3102.9</c:v>
                </c:pt>
                <c:pt idx="441">
                  <c:v>3104.3</c:v>
                </c:pt>
                <c:pt idx="442">
                  <c:v>3037.6355000000003</c:v>
                </c:pt>
                <c:pt idx="443">
                  <c:v>3032.4639999999999</c:v>
                </c:pt>
                <c:pt idx="444">
                  <c:v>3040.2890000000002</c:v>
                </c:pt>
                <c:pt idx="445">
                  <c:v>3166.3795</c:v>
                </c:pt>
                <c:pt idx="446">
                  <c:v>3280.1005</c:v>
                </c:pt>
                <c:pt idx="447">
                  <c:v>3292.9</c:v>
                </c:pt>
                <c:pt idx="448">
                  <c:v>3288.4974999999999</c:v>
                </c:pt>
                <c:pt idx="449">
                  <c:v>3258.6995000000002</c:v>
                </c:pt>
                <c:pt idx="450">
                  <c:v>3157.6005000000005</c:v>
                </c:pt>
                <c:pt idx="451">
                  <c:v>3213.1350000000002</c:v>
                </c:pt>
                <c:pt idx="452">
                  <c:v>3166.9994999999999</c:v>
                </c:pt>
                <c:pt idx="453">
                  <c:v>3178.9380000000001</c:v>
                </c:pt>
                <c:pt idx="454">
                  <c:v>3167.4480000000003</c:v>
                </c:pt>
                <c:pt idx="455">
                  <c:v>3160.0525000000002</c:v>
                </c:pt>
                <c:pt idx="456">
                  <c:v>3147.3995</c:v>
                </c:pt>
                <c:pt idx="457">
                  <c:v>3087.9994999999999</c:v>
                </c:pt>
                <c:pt idx="458">
                  <c:v>3015.6995000000002</c:v>
                </c:pt>
                <c:pt idx="459">
                  <c:v>2910.6995000000002</c:v>
                </c:pt>
                <c:pt idx="460">
                  <c:v>2956.6000000000004</c:v>
                </c:pt>
                <c:pt idx="461">
                  <c:v>2999.6514999999999</c:v>
                </c:pt>
                <c:pt idx="462">
                  <c:v>3024.9</c:v>
                </c:pt>
                <c:pt idx="463">
                  <c:v>2906.616</c:v>
                </c:pt>
                <c:pt idx="464">
                  <c:v>2866.9</c:v>
                </c:pt>
                <c:pt idx="465">
                  <c:v>2881.7995000000001</c:v>
                </c:pt>
                <c:pt idx="466">
                  <c:v>2852.1000000000004</c:v>
                </c:pt>
                <c:pt idx="467">
                  <c:v>2743.4974999999999</c:v>
                </c:pt>
                <c:pt idx="468">
                  <c:v>2708.0430000000001</c:v>
                </c:pt>
                <c:pt idx="469">
                  <c:v>2698.1485000000002</c:v>
                </c:pt>
                <c:pt idx="470">
                  <c:v>2809</c:v>
                </c:pt>
                <c:pt idx="471">
                  <c:v>2898.5450000000001</c:v>
                </c:pt>
                <c:pt idx="472">
                  <c:v>2874.3865000000005</c:v>
                </c:pt>
                <c:pt idx="473">
                  <c:v>2956.6064999999999</c:v>
                </c:pt>
                <c:pt idx="474">
                  <c:v>2865.0930000000003</c:v>
                </c:pt>
                <c:pt idx="475">
                  <c:v>2948.6995000000002</c:v>
                </c:pt>
                <c:pt idx="476">
                  <c:v>2956.1995000000002</c:v>
                </c:pt>
                <c:pt idx="477">
                  <c:v>2967.9505000000004</c:v>
                </c:pt>
                <c:pt idx="478">
                  <c:v>2951.7450000000003</c:v>
                </c:pt>
                <c:pt idx="479">
                  <c:v>2970.75</c:v>
                </c:pt>
                <c:pt idx="480">
                  <c:v>3141.7000000000003</c:v>
                </c:pt>
                <c:pt idx="481">
                  <c:v>3211</c:v>
                </c:pt>
                <c:pt idx="482">
                  <c:v>3207.8505000000005</c:v>
                </c:pt>
                <c:pt idx="483">
                  <c:v>3201.8620000000001</c:v>
                </c:pt>
                <c:pt idx="484">
                  <c:v>3018.7919999999999</c:v>
                </c:pt>
                <c:pt idx="485">
                  <c:v>3057.8015</c:v>
                </c:pt>
                <c:pt idx="486">
                  <c:v>2950.6900000000005</c:v>
                </c:pt>
                <c:pt idx="487">
                  <c:v>2971.9250000000002</c:v>
                </c:pt>
                <c:pt idx="488">
                  <c:v>2921.3675000000003</c:v>
                </c:pt>
                <c:pt idx="489">
                  <c:v>2974.5995000000003</c:v>
                </c:pt>
                <c:pt idx="490">
                  <c:v>2943.73</c:v>
                </c:pt>
                <c:pt idx="491">
                  <c:v>2877.0529999999999</c:v>
                </c:pt>
                <c:pt idx="492">
                  <c:v>2934.1695</c:v>
                </c:pt>
                <c:pt idx="493">
                  <c:v>3029.3575000000001</c:v>
                </c:pt>
                <c:pt idx="494">
                  <c:v>2967.3320000000003</c:v>
                </c:pt>
                <c:pt idx="495">
                  <c:v>2935.6295</c:v>
                </c:pt>
                <c:pt idx="496">
                  <c:v>3046.1755000000003</c:v>
                </c:pt>
                <c:pt idx="497">
                  <c:v>3041.8995</c:v>
                </c:pt>
                <c:pt idx="498">
                  <c:v>3084.2995000000001</c:v>
                </c:pt>
                <c:pt idx="499">
                  <c:v>2756.7080000000005</c:v>
                </c:pt>
                <c:pt idx="500">
                  <c:v>2801.1005000000005</c:v>
                </c:pt>
                <c:pt idx="501">
                  <c:v>2700.9405000000002</c:v>
                </c:pt>
                <c:pt idx="502">
                  <c:v>2908.05</c:v>
                </c:pt>
                <c:pt idx="503">
                  <c:v>3034.8995</c:v>
                </c:pt>
                <c:pt idx="504">
                  <c:v>3074.9165000000003</c:v>
                </c:pt>
                <c:pt idx="505">
                  <c:v>3267.701</c:v>
                </c:pt>
                <c:pt idx="506">
                  <c:v>3231.4</c:v>
                </c:pt>
                <c:pt idx="507">
                  <c:v>3309.4</c:v>
                </c:pt>
                <c:pt idx="508">
                  <c:v>3339.2345000000005</c:v>
                </c:pt>
                <c:pt idx="509">
                  <c:v>3412.4940000000006</c:v>
                </c:pt>
                <c:pt idx="510">
                  <c:v>3394.8250000000003</c:v>
                </c:pt>
                <c:pt idx="511">
                  <c:v>3395.3995000000004</c:v>
                </c:pt>
                <c:pt idx="512">
                  <c:v>3289.9974999999999</c:v>
                </c:pt>
                <c:pt idx="513">
                  <c:v>3268.8</c:v>
                </c:pt>
                <c:pt idx="514">
                  <c:v>3296.8004999999998</c:v>
                </c:pt>
                <c:pt idx="515">
                  <c:v>3376.6005</c:v>
                </c:pt>
                <c:pt idx="516">
                  <c:v>3408.2669999999998</c:v>
                </c:pt>
                <c:pt idx="517">
                  <c:v>3356.9980000000005</c:v>
                </c:pt>
                <c:pt idx="518">
                  <c:v>3333</c:v>
                </c:pt>
                <c:pt idx="519">
                  <c:v>3199.3960000000002</c:v>
                </c:pt>
                <c:pt idx="520">
                  <c:v>3204.3995</c:v>
                </c:pt>
                <c:pt idx="521">
                  <c:v>3252.1995000000002</c:v>
                </c:pt>
                <c:pt idx="522">
                  <c:v>3236.2070000000003</c:v>
                </c:pt>
                <c:pt idx="523">
                  <c:v>3039.8955000000005</c:v>
                </c:pt>
                <c:pt idx="524">
                  <c:v>2960.201</c:v>
                </c:pt>
                <c:pt idx="525">
                  <c:v>2894.4549999999999</c:v>
                </c:pt>
                <c:pt idx="526">
                  <c:v>2866.9945000000002</c:v>
                </c:pt>
                <c:pt idx="527">
                  <c:v>2886.2925</c:v>
                </c:pt>
                <c:pt idx="528">
                  <c:v>2902.5</c:v>
                </c:pt>
                <c:pt idx="529">
                  <c:v>2835.7310000000002</c:v>
                </c:pt>
                <c:pt idx="530">
                  <c:v>2792.8905</c:v>
                </c:pt>
                <c:pt idx="531">
                  <c:v>2911.5065</c:v>
                </c:pt>
                <c:pt idx="532">
                  <c:v>2831.4395000000004</c:v>
                </c:pt>
                <c:pt idx="533">
                  <c:v>2852.5005000000001</c:v>
                </c:pt>
                <c:pt idx="534">
                  <c:v>3010.4290000000001</c:v>
                </c:pt>
                <c:pt idx="535">
                  <c:v>3106.7735000000002</c:v>
                </c:pt>
                <c:pt idx="536">
                  <c:v>3144.9994999999999</c:v>
                </c:pt>
                <c:pt idx="537">
                  <c:v>3138.6005000000005</c:v>
                </c:pt>
                <c:pt idx="538">
                  <c:v>3049.3340000000003</c:v>
                </c:pt>
                <c:pt idx="539">
                  <c:v>3021.3919999999998</c:v>
                </c:pt>
                <c:pt idx="540">
                  <c:v>3085.3235000000004</c:v>
                </c:pt>
                <c:pt idx="541">
                  <c:v>3043.2494999999999</c:v>
                </c:pt>
                <c:pt idx="542">
                  <c:v>3090.3005000000003</c:v>
                </c:pt>
                <c:pt idx="543">
                  <c:v>3014.6650000000004</c:v>
                </c:pt>
                <c:pt idx="544">
                  <c:v>3160.5005000000001</c:v>
                </c:pt>
                <c:pt idx="545">
                  <c:v>3213.1005000000005</c:v>
                </c:pt>
                <c:pt idx="546">
                  <c:v>3207.1779999999999</c:v>
                </c:pt>
                <c:pt idx="547">
                  <c:v>3243.4994999999999</c:v>
                </c:pt>
                <c:pt idx="548">
                  <c:v>3248.7185000000004</c:v>
                </c:pt>
                <c:pt idx="549">
                  <c:v>3258.7660000000001</c:v>
                </c:pt>
                <c:pt idx="550">
                  <c:v>3325.2165000000005</c:v>
                </c:pt>
                <c:pt idx="551">
                  <c:v>3333.8434999999999</c:v>
                </c:pt>
                <c:pt idx="552">
                  <c:v>3311.4125000000004</c:v>
                </c:pt>
                <c:pt idx="553">
                  <c:v>3302.1995000000006</c:v>
                </c:pt>
                <c:pt idx="554">
                  <c:v>3338.6504999999997</c:v>
                </c:pt>
                <c:pt idx="555">
                  <c:v>3413.1995000000006</c:v>
                </c:pt>
                <c:pt idx="556">
                  <c:v>3365.7120000000004</c:v>
                </c:pt>
                <c:pt idx="557">
                  <c:v>3477</c:v>
                </c:pt>
                <c:pt idx="558">
                  <c:v>3482.4070000000002</c:v>
                </c:pt>
                <c:pt idx="559">
                  <c:v>3465.5230000000006</c:v>
                </c:pt>
                <c:pt idx="560">
                  <c:v>3467.7800000000007</c:v>
                </c:pt>
                <c:pt idx="561">
                  <c:v>3539.953</c:v>
                </c:pt>
                <c:pt idx="562">
                  <c:v>3555.4</c:v>
                </c:pt>
                <c:pt idx="563">
                  <c:v>3526.8919999999998</c:v>
                </c:pt>
                <c:pt idx="564">
                  <c:v>3440.4949999999999</c:v>
                </c:pt>
                <c:pt idx="565">
                  <c:v>3388.2815000000005</c:v>
                </c:pt>
                <c:pt idx="566">
                  <c:v>3388.3425000000007</c:v>
                </c:pt>
                <c:pt idx="567">
                  <c:v>3377.0005000000001</c:v>
                </c:pt>
                <c:pt idx="568">
                  <c:v>3417.6085000000003</c:v>
                </c:pt>
                <c:pt idx="569">
                  <c:v>3382.6210000000001</c:v>
                </c:pt>
                <c:pt idx="570">
                  <c:v>3419.9195</c:v>
                </c:pt>
                <c:pt idx="571">
                  <c:v>3471.8215</c:v>
                </c:pt>
                <c:pt idx="572">
                  <c:v>3425.3834999999999</c:v>
                </c:pt>
                <c:pt idx="573">
                  <c:v>3464.5285000000003</c:v>
                </c:pt>
                <c:pt idx="574">
                  <c:v>3427.4995000000004</c:v>
                </c:pt>
                <c:pt idx="575">
                  <c:v>3398.4825000000001</c:v>
                </c:pt>
                <c:pt idx="576">
                  <c:v>3458.3310000000001</c:v>
                </c:pt>
                <c:pt idx="577">
                  <c:v>3507.4169999999999</c:v>
                </c:pt>
                <c:pt idx="578">
                  <c:v>3572.3310000000001</c:v>
                </c:pt>
                <c:pt idx="579">
                  <c:v>3313.7004999999999</c:v>
                </c:pt>
                <c:pt idx="580">
                  <c:v>3345.76</c:v>
                </c:pt>
                <c:pt idx="581">
                  <c:v>3351.2000000000003</c:v>
                </c:pt>
                <c:pt idx="582">
                  <c:v>3261.7605000000003</c:v>
                </c:pt>
                <c:pt idx="583">
                  <c:v>3310.3250000000003</c:v>
                </c:pt>
                <c:pt idx="584">
                  <c:v>3078.8744999999999</c:v>
                </c:pt>
                <c:pt idx="585">
                  <c:v>3147.0040000000004</c:v>
                </c:pt>
                <c:pt idx="586">
                  <c:v>3074.1995000000002</c:v>
                </c:pt>
                <c:pt idx="587">
                  <c:v>3041.2995000000001</c:v>
                </c:pt>
                <c:pt idx="588">
                  <c:v>3039.9994999999999</c:v>
                </c:pt>
                <c:pt idx="589">
                  <c:v>3153.7005000000004</c:v>
                </c:pt>
                <c:pt idx="590">
                  <c:v>3059.6514999999999</c:v>
                </c:pt>
                <c:pt idx="591">
                  <c:v>3115.6040000000003</c:v>
                </c:pt>
                <c:pt idx="592">
                  <c:v>3158.2595000000001</c:v>
                </c:pt>
                <c:pt idx="593">
                  <c:v>3200.6000000000004</c:v>
                </c:pt>
                <c:pt idx="594">
                  <c:v>3194.6020000000003</c:v>
                </c:pt>
                <c:pt idx="595">
                  <c:v>3144.1005000000005</c:v>
                </c:pt>
                <c:pt idx="596">
                  <c:v>2953.0305000000003</c:v>
                </c:pt>
                <c:pt idx="597">
                  <c:v>2918.2485000000001</c:v>
                </c:pt>
                <c:pt idx="598">
                  <c:v>3033.6000000000004</c:v>
                </c:pt>
                <c:pt idx="599">
                  <c:v>3193.3</c:v>
                </c:pt>
                <c:pt idx="600">
                  <c:v>3155.9310000000005</c:v>
                </c:pt>
                <c:pt idx="601">
                  <c:v>3173.0990000000002</c:v>
                </c:pt>
                <c:pt idx="602">
                  <c:v>3188.5005000000001</c:v>
                </c:pt>
                <c:pt idx="603">
                  <c:v>3224.9169999999999</c:v>
                </c:pt>
                <c:pt idx="604">
                  <c:v>3214.4794999999999</c:v>
                </c:pt>
                <c:pt idx="605">
                  <c:v>3320.7000000000003</c:v>
                </c:pt>
                <c:pt idx="606">
                  <c:v>3340.9660000000003</c:v>
                </c:pt>
                <c:pt idx="607">
                  <c:v>3247.0575000000003</c:v>
                </c:pt>
                <c:pt idx="608">
                  <c:v>3247.0295000000001</c:v>
                </c:pt>
                <c:pt idx="609">
                  <c:v>3190.9005000000002</c:v>
                </c:pt>
                <c:pt idx="610">
                  <c:v>3173.5040000000004</c:v>
                </c:pt>
                <c:pt idx="611">
                  <c:v>3063.8685000000005</c:v>
                </c:pt>
                <c:pt idx="612">
                  <c:v>3189.6695</c:v>
                </c:pt>
                <c:pt idx="613">
                  <c:v>3170.9994999999999</c:v>
                </c:pt>
                <c:pt idx="614">
                  <c:v>3283.0920000000001</c:v>
                </c:pt>
                <c:pt idx="615">
                  <c:v>3196.2255000000005</c:v>
                </c:pt>
                <c:pt idx="616">
                  <c:v>3355.8260000000005</c:v>
                </c:pt>
                <c:pt idx="617">
                  <c:v>3500.3114999999998</c:v>
                </c:pt>
                <c:pt idx="618">
                  <c:v>3531.5540000000001</c:v>
                </c:pt>
                <c:pt idx="619">
                  <c:v>3457.3</c:v>
                </c:pt>
                <c:pt idx="620">
                  <c:v>3581</c:v>
                </c:pt>
                <c:pt idx="621">
                  <c:v>3468.0195000000003</c:v>
                </c:pt>
                <c:pt idx="622">
                  <c:v>3444.8</c:v>
                </c:pt>
                <c:pt idx="623">
                  <c:v>3391.0309999999999</c:v>
                </c:pt>
                <c:pt idx="624">
                  <c:v>3424.3894999999998</c:v>
                </c:pt>
                <c:pt idx="625">
                  <c:v>3298.1640000000002</c:v>
                </c:pt>
                <c:pt idx="626">
                  <c:v>3273.1995000000002</c:v>
                </c:pt>
                <c:pt idx="627">
                  <c:v>3482.4900000000002</c:v>
                </c:pt>
                <c:pt idx="628">
                  <c:v>3564.0005000000001</c:v>
                </c:pt>
                <c:pt idx="629">
                  <c:v>3479.1089999999999</c:v>
                </c:pt>
                <c:pt idx="630">
                  <c:v>3492.527</c:v>
                </c:pt>
                <c:pt idx="631">
                  <c:v>3539.0300000000007</c:v>
                </c:pt>
                <c:pt idx="632">
                  <c:v>3473.4995000000004</c:v>
                </c:pt>
                <c:pt idx="633">
                  <c:v>3499.4</c:v>
                </c:pt>
                <c:pt idx="634">
                  <c:v>3494.0005000000001</c:v>
                </c:pt>
                <c:pt idx="635">
                  <c:v>3360.4995000000004</c:v>
                </c:pt>
                <c:pt idx="636">
                  <c:v>3199.5005000000001</c:v>
                </c:pt>
                <c:pt idx="637">
                  <c:v>3189.8320000000003</c:v>
                </c:pt>
                <c:pt idx="638">
                  <c:v>3275.0635000000002</c:v>
                </c:pt>
                <c:pt idx="639">
                  <c:v>3392.0254999999997</c:v>
                </c:pt>
                <c:pt idx="640">
                  <c:v>3096.8700000000003</c:v>
                </c:pt>
                <c:pt idx="641">
                  <c:v>3380.4995000000004</c:v>
                </c:pt>
                <c:pt idx="642">
                  <c:v>3419.674</c:v>
                </c:pt>
                <c:pt idx="643">
                  <c:v>3265.0315000000001</c:v>
                </c:pt>
                <c:pt idx="644">
                  <c:v>3474.9925000000003</c:v>
                </c:pt>
                <c:pt idx="645">
                  <c:v>3569.4470000000001</c:v>
                </c:pt>
                <c:pt idx="646">
                  <c:v>3653.6205000000004</c:v>
                </c:pt>
                <c:pt idx="647">
                  <c:v>3572.6005</c:v>
                </c:pt>
                <c:pt idx="648">
                  <c:v>3603.9050000000007</c:v>
                </c:pt>
                <c:pt idx="649">
                  <c:v>3447.7940000000003</c:v>
                </c:pt>
                <c:pt idx="650">
                  <c:v>3415.6635000000006</c:v>
                </c:pt>
                <c:pt idx="651">
                  <c:v>3406.2095000000004</c:v>
                </c:pt>
                <c:pt idx="652">
                  <c:v>3341.1585</c:v>
                </c:pt>
                <c:pt idx="653">
                  <c:v>3303.7019999999998</c:v>
                </c:pt>
                <c:pt idx="654">
                  <c:v>3186.2005000000004</c:v>
                </c:pt>
                <c:pt idx="655">
                  <c:v>3412.2855000000004</c:v>
                </c:pt>
                <c:pt idx="656">
                  <c:v>3155.6985000000004</c:v>
                </c:pt>
                <c:pt idx="657">
                  <c:v>3099.364</c:v>
                </c:pt>
                <c:pt idx="658">
                  <c:v>3119.3950000000004</c:v>
                </c:pt>
                <c:pt idx="659">
                  <c:v>3056.5490000000004</c:v>
                </c:pt>
                <c:pt idx="660">
                  <c:v>3121.605</c:v>
                </c:pt>
                <c:pt idx="661">
                  <c:v>2851.8670000000002</c:v>
                </c:pt>
                <c:pt idx="662">
                  <c:v>2723.8235000000004</c:v>
                </c:pt>
                <c:pt idx="663">
                  <c:v>2586.4425000000001</c:v>
                </c:pt>
                <c:pt idx="664">
                  <c:v>2578.4110000000001</c:v>
                </c:pt>
                <c:pt idx="665">
                  <c:v>2537.2075000000004</c:v>
                </c:pt>
                <c:pt idx="666">
                  <c:v>2564.4210000000003</c:v>
                </c:pt>
                <c:pt idx="667">
                  <c:v>2592.4695000000002</c:v>
                </c:pt>
                <c:pt idx="668">
                  <c:v>2612.9410000000003</c:v>
                </c:pt>
                <c:pt idx="669">
                  <c:v>2588.7365000000004</c:v>
                </c:pt>
                <c:pt idx="670">
                  <c:v>2606.8834999999999</c:v>
                </c:pt>
                <c:pt idx="671">
                  <c:v>2582.1320000000001</c:v>
                </c:pt>
                <c:pt idx="672">
                  <c:v>2606.2055</c:v>
                </c:pt>
                <c:pt idx="673">
                  <c:v>2594</c:v>
                </c:pt>
                <c:pt idx="674">
                  <c:v>2589.7584999999999</c:v>
                </c:pt>
                <c:pt idx="675">
                  <c:v>2484.9794999999999</c:v>
                </c:pt>
                <c:pt idx="676">
                  <c:v>2495.8634999999999</c:v>
                </c:pt>
                <c:pt idx="677">
                  <c:v>2414.9994999999999</c:v>
                </c:pt>
                <c:pt idx="678">
                  <c:v>2387.5544999999997</c:v>
                </c:pt>
                <c:pt idx="679">
                  <c:v>2356.6385</c:v>
                </c:pt>
                <c:pt idx="680">
                  <c:v>2264.4325000000003</c:v>
                </c:pt>
                <c:pt idx="681">
                  <c:v>2217.48</c:v>
                </c:pt>
                <c:pt idx="682">
                  <c:v>2154.9474999999998</c:v>
                </c:pt>
                <c:pt idx="683">
                  <c:v>2135.4349999999999</c:v>
                </c:pt>
                <c:pt idx="684">
                  <c:v>2129.1439999999998</c:v>
                </c:pt>
                <c:pt idx="685">
                  <c:v>2150.5544999999997</c:v>
                </c:pt>
                <c:pt idx="686">
                  <c:v>2160</c:v>
                </c:pt>
                <c:pt idx="687">
                  <c:v>2154.1470000000004</c:v>
                </c:pt>
                <c:pt idx="688">
                  <c:v>2129</c:v>
                </c:pt>
                <c:pt idx="689">
                  <c:v>2147.0549999999998</c:v>
                </c:pt>
                <c:pt idx="690">
                  <c:v>2165.1349999999998</c:v>
                </c:pt>
                <c:pt idx="691">
                  <c:v>2101.5529999999999</c:v>
                </c:pt>
                <c:pt idx="692">
                  <c:v>2106.0315000000001</c:v>
                </c:pt>
                <c:pt idx="693">
                  <c:v>2091.1755000000003</c:v>
                </c:pt>
                <c:pt idx="694">
                  <c:v>1998.0545</c:v>
                </c:pt>
                <c:pt idx="695">
                  <c:v>2004.2439999999999</c:v>
                </c:pt>
                <c:pt idx="696">
                  <c:v>1994.88</c:v>
                </c:pt>
                <c:pt idx="697">
                  <c:v>1978.4009999999998</c:v>
                </c:pt>
                <c:pt idx="698">
                  <c:v>2079.0165000000002</c:v>
                </c:pt>
                <c:pt idx="699">
                  <c:v>2084.8020000000001</c:v>
                </c:pt>
                <c:pt idx="700">
                  <c:v>2082.9515000000001</c:v>
                </c:pt>
                <c:pt idx="701">
                  <c:v>2066.375</c:v>
                </c:pt>
                <c:pt idx="702">
                  <c:v>2138.8049999999998</c:v>
                </c:pt>
                <c:pt idx="703">
                  <c:v>2156.8975</c:v>
                </c:pt>
                <c:pt idx="704">
                  <c:v>2125.5549999999998</c:v>
                </c:pt>
                <c:pt idx="705">
                  <c:v>2086.6174999999998</c:v>
                </c:pt>
                <c:pt idx="706">
                  <c:v>2142.3995</c:v>
                </c:pt>
                <c:pt idx="707">
                  <c:v>2139.1365000000001</c:v>
                </c:pt>
                <c:pt idx="708">
                  <c:v>2316.9580000000001</c:v>
                </c:pt>
                <c:pt idx="709">
                  <c:v>2332.6995000000002</c:v>
                </c:pt>
                <c:pt idx="710">
                  <c:v>2305.5</c:v>
                </c:pt>
                <c:pt idx="711">
                  <c:v>2347.5520000000001</c:v>
                </c:pt>
                <c:pt idx="712">
                  <c:v>2196.451</c:v>
                </c:pt>
                <c:pt idx="713">
                  <c:v>2198.4160000000002</c:v>
                </c:pt>
                <c:pt idx="714">
                  <c:v>2207.2555000000002</c:v>
                </c:pt>
                <c:pt idx="715">
                  <c:v>2207.5549999999998</c:v>
                </c:pt>
                <c:pt idx="716">
                  <c:v>2142.2615000000001</c:v>
                </c:pt>
                <c:pt idx="717">
                  <c:v>2247.3455000000004</c:v>
                </c:pt>
                <c:pt idx="718">
                  <c:v>2208.9775000000004</c:v>
                </c:pt>
                <c:pt idx="719">
                  <c:v>2114.1790000000001</c:v>
                </c:pt>
                <c:pt idx="720">
                  <c:v>2107.0140000000001</c:v>
                </c:pt>
                <c:pt idx="721">
                  <c:v>2103.3474999999999</c:v>
                </c:pt>
                <c:pt idx="722">
                  <c:v>2128.1880000000001</c:v>
                </c:pt>
                <c:pt idx="723">
                  <c:v>2171.4425000000001</c:v>
                </c:pt>
                <c:pt idx="724">
                  <c:v>2125.4465</c:v>
                </c:pt>
                <c:pt idx="725">
                  <c:v>2178.8065000000001</c:v>
                </c:pt>
                <c:pt idx="726">
                  <c:v>2149.5750000000003</c:v>
                </c:pt>
                <c:pt idx="727">
                  <c:v>2185.1080000000002</c:v>
                </c:pt>
                <c:pt idx="728">
                  <c:v>2198.4520000000002</c:v>
                </c:pt>
                <c:pt idx="729">
                  <c:v>2193.09</c:v>
                </c:pt>
                <c:pt idx="730">
                  <c:v>2183.4465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4-4F01-9FD5-76B85F9ED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525328"/>
        <c:axId val="294526288"/>
      </c:areaChart>
      <c:lineChart>
        <c:grouping val="standard"/>
        <c:varyColors val="0"/>
        <c:ser>
          <c:idx val="0"/>
          <c:order val="0"/>
          <c:tx>
            <c:v>Portfolio Value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'Performance Report'!$L$2:$L$732</c:f>
              <c:numCache>
                <c:formatCode>yyyy/mm/dd\ hh:mm</c:formatCode>
                <c:ptCount val="731"/>
                <c:pt idx="0">
                  <c:v>46010.229166666664</c:v>
                </c:pt>
                <c:pt idx="1">
                  <c:v>46009.229166666664</c:v>
                </c:pt>
                <c:pt idx="2">
                  <c:v>46008.229166666664</c:v>
                </c:pt>
                <c:pt idx="3">
                  <c:v>46007.229166666664</c:v>
                </c:pt>
                <c:pt idx="4">
                  <c:v>46006.229166666664</c:v>
                </c:pt>
                <c:pt idx="5">
                  <c:v>46005.229166666664</c:v>
                </c:pt>
                <c:pt idx="6">
                  <c:v>46004.229166666664</c:v>
                </c:pt>
                <c:pt idx="7">
                  <c:v>46003.229166666664</c:v>
                </c:pt>
                <c:pt idx="8">
                  <c:v>46002.229166666664</c:v>
                </c:pt>
                <c:pt idx="9">
                  <c:v>46001.229166666664</c:v>
                </c:pt>
                <c:pt idx="10">
                  <c:v>46000.229166666664</c:v>
                </c:pt>
                <c:pt idx="11">
                  <c:v>45999.229166666664</c:v>
                </c:pt>
                <c:pt idx="12">
                  <c:v>45998.229166666664</c:v>
                </c:pt>
                <c:pt idx="13">
                  <c:v>45997.229166666664</c:v>
                </c:pt>
                <c:pt idx="14">
                  <c:v>45996.229166666664</c:v>
                </c:pt>
                <c:pt idx="15">
                  <c:v>45995.229166666664</c:v>
                </c:pt>
                <c:pt idx="16">
                  <c:v>45994.229166666664</c:v>
                </c:pt>
                <c:pt idx="17">
                  <c:v>45993.229166666664</c:v>
                </c:pt>
                <c:pt idx="18">
                  <c:v>45992.229166666664</c:v>
                </c:pt>
                <c:pt idx="19">
                  <c:v>45991.229166666664</c:v>
                </c:pt>
                <c:pt idx="20">
                  <c:v>45990.229166666664</c:v>
                </c:pt>
                <c:pt idx="21">
                  <c:v>45989.229166666664</c:v>
                </c:pt>
                <c:pt idx="22">
                  <c:v>45988.229166666664</c:v>
                </c:pt>
                <c:pt idx="23">
                  <c:v>45987.229166666664</c:v>
                </c:pt>
                <c:pt idx="24">
                  <c:v>45986.229166666664</c:v>
                </c:pt>
                <c:pt idx="25">
                  <c:v>45985.229166666664</c:v>
                </c:pt>
                <c:pt idx="26">
                  <c:v>45984.229166666664</c:v>
                </c:pt>
                <c:pt idx="27">
                  <c:v>45983.229166666664</c:v>
                </c:pt>
                <c:pt idx="28">
                  <c:v>45982.229166666664</c:v>
                </c:pt>
                <c:pt idx="29">
                  <c:v>45981.229166666664</c:v>
                </c:pt>
                <c:pt idx="30">
                  <c:v>45980.229166666664</c:v>
                </c:pt>
                <c:pt idx="31">
                  <c:v>45979.229166666664</c:v>
                </c:pt>
                <c:pt idx="32">
                  <c:v>45978.229166666664</c:v>
                </c:pt>
                <c:pt idx="33">
                  <c:v>45977.229166666664</c:v>
                </c:pt>
                <c:pt idx="34">
                  <c:v>45976.229166666664</c:v>
                </c:pt>
                <c:pt idx="35">
                  <c:v>45975.229166666664</c:v>
                </c:pt>
                <c:pt idx="36">
                  <c:v>45974.229166666664</c:v>
                </c:pt>
                <c:pt idx="37">
                  <c:v>45973.229166666664</c:v>
                </c:pt>
                <c:pt idx="38">
                  <c:v>45972.229166666664</c:v>
                </c:pt>
                <c:pt idx="39">
                  <c:v>45971.229166666664</c:v>
                </c:pt>
                <c:pt idx="40">
                  <c:v>45970.229166666664</c:v>
                </c:pt>
                <c:pt idx="41">
                  <c:v>45969.229166666664</c:v>
                </c:pt>
                <c:pt idx="42">
                  <c:v>45968.229166666664</c:v>
                </c:pt>
                <c:pt idx="43">
                  <c:v>45967.229166666664</c:v>
                </c:pt>
                <c:pt idx="44">
                  <c:v>45966.229166666664</c:v>
                </c:pt>
                <c:pt idx="45">
                  <c:v>45965.229166666664</c:v>
                </c:pt>
                <c:pt idx="46">
                  <c:v>45964.229166666664</c:v>
                </c:pt>
                <c:pt idx="47">
                  <c:v>45963.229166666664</c:v>
                </c:pt>
                <c:pt idx="48">
                  <c:v>45962.229166666664</c:v>
                </c:pt>
                <c:pt idx="49">
                  <c:v>45961.229166666664</c:v>
                </c:pt>
                <c:pt idx="50">
                  <c:v>45960.229166666664</c:v>
                </c:pt>
                <c:pt idx="51">
                  <c:v>45959.229166666664</c:v>
                </c:pt>
                <c:pt idx="52">
                  <c:v>45958.229166666664</c:v>
                </c:pt>
                <c:pt idx="53">
                  <c:v>45957.229166666664</c:v>
                </c:pt>
                <c:pt idx="54">
                  <c:v>45956.229166666664</c:v>
                </c:pt>
                <c:pt idx="55">
                  <c:v>45955.229166666664</c:v>
                </c:pt>
                <c:pt idx="56">
                  <c:v>45954.229166666664</c:v>
                </c:pt>
                <c:pt idx="57">
                  <c:v>45953.229166666664</c:v>
                </c:pt>
                <c:pt idx="58">
                  <c:v>45952.229166666664</c:v>
                </c:pt>
                <c:pt idx="59">
                  <c:v>45951.229166666664</c:v>
                </c:pt>
                <c:pt idx="60">
                  <c:v>45950.229166666664</c:v>
                </c:pt>
                <c:pt idx="61">
                  <c:v>45949.229166666664</c:v>
                </c:pt>
                <c:pt idx="62">
                  <c:v>45948.229166666664</c:v>
                </c:pt>
                <c:pt idx="63">
                  <c:v>45947.229166666664</c:v>
                </c:pt>
                <c:pt idx="64">
                  <c:v>45946.229166666664</c:v>
                </c:pt>
                <c:pt idx="65">
                  <c:v>45945.229166666664</c:v>
                </c:pt>
                <c:pt idx="66">
                  <c:v>45944.229166666664</c:v>
                </c:pt>
                <c:pt idx="67">
                  <c:v>45943.229166666664</c:v>
                </c:pt>
                <c:pt idx="68">
                  <c:v>45942.229166666664</c:v>
                </c:pt>
                <c:pt idx="69">
                  <c:v>45941.229166666664</c:v>
                </c:pt>
                <c:pt idx="70">
                  <c:v>45940.229166666664</c:v>
                </c:pt>
                <c:pt idx="71">
                  <c:v>45939.229166666664</c:v>
                </c:pt>
                <c:pt idx="72">
                  <c:v>45938.229166666664</c:v>
                </c:pt>
                <c:pt idx="73">
                  <c:v>45937.229166666664</c:v>
                </c:pt>
                <c:pt idx="74">
                  <c:v>45936.229166666664</c:v>
                </c:pt>
                <c:pt idx="75">
                  <c:v>45935.229166666664</c:v>
                </c:pt>
                <c:pt idx="76">
                  <c:v>45934.229166666664</c:v>
                </c:pt>
                <c:pt idx="77">
                  <c:v>45933.229166666664</c:v>
                </c:pt>
                <c:pt idx="78">
                  <c:v>45932.229166666664</c:v>
                </c:pt>
                <c:pt idx="79">
                  <c:v>45931.229166666664</c:v>
                </c:pt>
                <c:pt idx="80">
                  <c:v>45930.229166666664</c:v>
                </c:pt>
                <c:pt idx="81">
                  <c:v>45929.229166666664</c:v>
                </c:pt>
                <c:pt idx="82">
                  <c:v>45928.229166666664</c:v>
                </c:pt>
                <c:pt idx="83">
                  <c:v>45927.229166666664</c:v>
                </c:pt>
                <c:pt idx="84">
                  <c:v>45926.229166666664</c:v>
                </c:pt>
                <c:pt idx="85">
                  <c:v>45925.229166666664</c:v>
                </c:pt>
                <c:pt idx="86">
                  <c:v>45924.229166666664</c:v>
                </c:pt>
                <c:pt idx="87">
                  <c:v>45923.229166666664</c:v>
                </c:pt>
                <c:pt idx="88">
                  <c:v>45922.229166666664</c:v>
                </c:pt>
                <c:pt idx="89">
                  <c:v>45921.229166666664</c:v>
                </c:pt>
                <c:pt idx="90">
                  <c:v>45920.229166666664</c:v>
                </c:pt>
                <c:pt idx="91">
                  <c:v>45919.229166666664</c:v>
                </c:pt>
                <c:pt idx="92">
                  <c:v>45918.229166666664</c:v>
                </c:pt>
                <c:pt idx="93">
                  <c:v>45917.229166666664</c:v>
                </c:pt>
                <c:pt idx="94">
                  <c:v>45916.229166666664</c:v>
                </c:pt>
                <c:pt idx="95">
                  <c:v>45915.229166666664</c:v>
                </c:pt>
                <c:pt idx="96">
                  <c:v>45914.229166666664</c:v>
                </c:pt>
                <c:pt idx="97">
                  <c:v>45913.229166666664</c:v>
                </c:pt>
                <c:pt idx="98">
                  <c:v>45912.229166666664</c:v>
                </c:pt>
                <c:pt idx="99">
                  <c:v>45911.229166666664</c:v>
                </c:pt>
                <c:pt idx="100">
                  <c:v>45910.229166666664</c:v>
                </c:pt>
                <c:pt idx="101">
                  <c:v>45909.229166666664</c:v>
                </c:pt>
                <c:pt idx="102">
                  <c:v>45908.229166666664</c:v>
                </c:pt>
                <c:pt idx="103">
                  <c:v>45907.229166666664</c:v>
                </c:pt>
                <c:pt idx="104">
                  <c:v>45906.229166666664</c:v>
                </c:pt>
                <c:pt idx="105">
                  <c:v>45905.229166666664</c:v>
                </c:pt>
                <c:pt idx="106">
                  <c:v>45904.229166666664</c:v>
                </c:pt>
                <c:pt idx="107">
                  <c:v>45903.229166666664</c:v>
                </c:pt>
                <c:pt idx="108">
                  <c:v>45902.229166666664</c:v>
                </c:pt>
                <c:pt idx="109">
                  <c:v>45901.229166666664</c:v>
                </c:pt>
                <c:pt idx="110">
                  <c:v>45900.229166666664</c:v>
                </c:pt>
                <c:pt idx="111">
                  <c:v>45899.229166666664</c:v>
                </c:pt>
                <c:pt idx="112">
                  <c:v>45898.229166666664</c:v>
                </c:pt>
                <c:pt idx="113">
                  <c:v>45897.229166666664</c:v>
                </c:pt>
                <c:pt idx="114">
                  <c:v>45896.229166666664</c:v>
                </c:pt>
                <c:pt idx="115">
                  <c:v>45895.229166666664</c:v>
                </c:pt>
                <c:pt idx="116">
                  <c:v>45894.229166666664</c:v>
                </c:pt>
                <c:pt idx="117">
                  <c:v>45893.229166666664</c:v>
                </c:pt>
                <c:pt idx="118">
                  <c:v>45892.229166666664</c:v>
                </c:pt>
                <c:pt idx="119">
                  <c:v>45891.229166666664</c:v>
                </c:pt>
                <c:pt idx="120">
                  <c:v>45890.229166666664</c:v>
                </c:pt>
                <c:pt idx="121">
                  <c:v>45889.229166666664</c:v>
                </c:pt>
                <c:pt idx="122">
                  <c:v>45888.229166666664</c:v>
                </c:pt>
                <c:pt idx="123">
                  <c:v>45887.229166666664</c:v>
                </c:pt>
                <c:pt idx="124">
                  <c:v>45886.229166666664</c:v>
                </c:pt>
                <c:pt idx="125">
                  <c:v>45885.229166666664</c:v>
                </c:pt>
                <c:pt idx="126">
                  <c:v>45884.229166666664</c:v>
                </c:pt>
                <c:pt idx="127">
                  <c:v>45883.229166666664</c:v>
                </c:pt>
                <c:pt idx="128">
                  <c:v>45882.229166666664</c:v>
                </c:pt>
                <c:pt idx="129">
                  <c:v>45881.229166666664</c:v>
                </c:pt>
                <c:pt idx="130">
                  <c:v>45880.229166666664</c:v>
                </c:pt>
                <c:pt idx="131">
                  <c:v>45879.229166666664</c:v>
                </c:pt>
                <c:pt idx="132">
                  <c:v>45878.229166666664</c:v>
                </c:pt>
                <c:pt idx="133">
                  <c:v>45877.229166666664</c:v>
                </c:pt>
                <c:pt idx="134">
                  <c:v>45876.229166666664</c:v>
                </c:pt>
                <c:pt idx="135">
                  <c:v>45875.229166666664</c:v>
                </c:pt>
                <c:pt idx="136">
                  <c:v>45874.229166666664</c:v>
                </c:pt>
                <c:pt idx="137">
                  <c:v>45873.229166666664</c:v>
                </c:pt>
                <c:pt idx="138">
                  <c:v>45872.229166666664</c:v>
                </c:pt>
                <c:pt idx="139">
                  <c:v>45871.229166666664</c:v>
                </c:pt>
                <c:pt idx="140">
                  <c:v>45870.229166666664</c:v>
                </c:pt>
                <c:pt idx="141">
                  <c:v>45869.229166666664</c:v>
                </c:pt>
                <c:pt idx="142">
                  <c:v>45868.229166666664</c:v>
                </c:pt>
                <c:pt idx="143">
                  <c:v>45867.229166666664</c:v>
                </c:pt>
                <c:pt idx="144">
                  <c:v>45866.229166666664</c:v>
                </c:pt>
                <c:pt idx="145">
                  <c:v>45865.229166666664</c:v>
                </c:pt>
                <c:pt idx="146">
                  <c:v>45864.229166666664</c:v>
                </c:pt>
                <c:pt idx="147">
                  <c:v>45863.229166666664</c:v>
                </c:pt>
                <c:pt idx="148">
                  <c:v>45862.229166666664</c:v>
                </c:pt>
                <c:pt idx="149">
                  <c:v>45861.229166666664</c:v>
                </c:pt>
                <c:pt idx="150">
                  <c:v>45860.229166666664</c:v>
                </c:pt>
                <c:pt idx="151">
                  <c:v>45859.229166666664</c:v>
                </c:pt>
                <c:pt idx="152">
                  <c:v>45858.229166666664</c:v>
                </c:pt>
                <c:pt idx="153">
                  <c:v>45857.229166666664</c:v>
                </c:pt>
                <c:pt idx="154">
                  <c:v>45856.229166666664</c:v>
                </c:pt>
                <c:pt idx="155">
                  <c:v>45855.229166666664</c:v>
                </c:pt>
                <c:pt idx="156">
                  <c:v>45854.229166666664</c:v>
                </c:pt>
                <c:pt idx="157">
                  <c:v>45853.229166666664</c:v>
                </c:pt>
                <c:pt idx="158">
                  <c:v>45852.229166666664</c:v>
                </c:pt>
                <c:pt idx="159">
                  <c:v>45851.229166666664</c:v>
                </c:pt>
                <c:pt idx="160">
                  <c:v>45850.229166666664</c:v>
                </c:pt>
                <c:pt idx="161">
                  <c:v>45849.229166666664</c:v>
                </c:pt>
                <c:pt idx="162">
                  <c:v>45848.229166666664</c:v>
                </c:pt>
                <c:pt idx="163">
                  <c:v>45847.229166666664</c:v>
                </c:pt>
                <c:pt idx="164">
                  <c:v>45846.229166666664</c:v>
                </c:pt>
                <c:pt idx="165">
                  <c:v>45845.229166666664</c:v>
                </c:pt>
                <c:pt idx="166">
                  <c:v>45844.229166666664</c:v>
                </c:pt>
                <c:pt idx="167">
                  <c:v>45843.229166666664</c:v>
                </c:pt>
                <c:pt idx="168">
                  <c:v>45842.229166666664</c:v>
                </c:pt>
                <c:pt idx="169">
                  <c:v>45841.229166666664</c:v>
                </c:pt>
                <c:pt idx="170">
                  <c:v>45840.229166666664</c:v>
                </c:pt>
                <c:pt idx="171">
                  <c:v>45839.229166666664</c:v>
                </c:pt>
                <c:pt idx="172">
                  <c:v>45838.229166666664</c:v>
                </c:pt>
                <c:pt idx="173">
                  <c:v>45837.229166666664</c:v>
                </c:pt>
                <c:pt idx="174">
                  <c:v>45836.229166666664</c:v>
                </c:pt>
                <c:pt idx="175">
                  <c:v>45835.229166666664</c:v>
                </c:pt>
                <c:pt idx="176">
                  <c:v>45834.229166666664</c:v>
                </c:pt>
                <c:pt idx="177">
                  <c:v>45833.229166666664</c:v>
                </c:pt>
                <c:pt idx="178">
                  <c:v>45832.229166666664</c:v>
                </c:pt>
                <c:pt idx="179">
                  <c:v>45831.229166666664</c:v>
                </c:pt>
                <c:pt idx="180">
                  <c:v>45830.229166666664</c:v>
                </c:pt>
                <c:pt idx="181">
                  <c:v>45829.229166666664</c:v>
                </c:pt>
                <c:pt idx="182">
                  <c:v>45828.229166666664</c:v>
                </c:pt>
                <c:pt idx="183">
                  <c:v>45827.229166666664</c:v>
                </c:pt>
                <c:pt idx="184">
                  <c:v>45826.229166666664</c:v>
                </c:pt>
                <c:pt idx="185">
                  <c:v>45825.229166666664</c:v>
                </c:pt>
                <c:pt idx="186">
                  <c:v>45824.229166666664</c:v>
                </c:pt>
                <c:pt idx="187">
                  <c:v>45823.229166666664</c:v>
                </c:pt>
                <c:pt idx="188">
                  <c:v>45822.229166666664</c:v>
                </c:pt>
                <c:pt idx="189">
                  <c:v>45821.229166666664</c:v>
                </c:pt>
                <c:pt idx="190">
                  <c:v>45820.229166666664</c:v>
                </c:pt>
                <c:pt idx="191">
                  <c:v>45819.229166666664</c:v>
                </c:pt>
                <c:pt idx="192">
                  <c:v>45818.229166666664</c:v>
                </c:pt>
                <c:pt idx="193">
                  <c:v>45817.229166666664</c:v>
                </c:pt>
                <c:pt idx="194">
                  <c:v>45816.229166666664</c:v>
                </c:pt>
                <c:pt idx="195">
                  <c:v>45815.229166666664</c:v>
                </c:pt>
                <c:pt idx="196">
                  <c:v>45814.229166666664</c:v>
                </c:pt>
                <c:pt idx="197">
                  <c:v>45813.229166666664</c:v>
                </c:pt>
                <c:pt idx="198">
                  <c:v>45812.229166666664</c:v>
                </c:pt>
                <c:pt idx="199">
                  <c:v>45811.229166666664</c:v>
                </c:pt>
                <c:pt idx="200">
                  <c:v>45810.229166666664</c:v>
                </c:pt>
                <c:pt idx="201">
                  <c:v>45809.229166666664</c:v>
                </c:pt>
                <c:pt idx="202">
                  <c:v>45808.229166666664</c:v>
                </c:pt>
                <c:pt idx="203">
                  <c:v>45807.229166666664</c:v>
                </c:pt>
                <c:pt idx="204">
                  <c:v>45806.229166666664</c:v>
                </c:pt>
                <c:pt idx="205">
                  <c:v>45805.229166666664</c:v>
                </c:pt>
                <c:pt idx="206">
                  <c:v>45804.229166666664</c:v>
                </c:pt>
                <c:pt idx="207">
                  <c:v>45803.229166666664</c:v>
                </c:pt>
                <c:pt idx="208">
                  <c:v>45802.229166666664</c:v>
                </c:pt>
                <c:pt idx="209">
                  <c:v>45801.229166666664</c:v>
                </c:pt>
                <c:pt idx="210">
                  <c:v>45800.229166666664</c:v>
                </c:pt>
                <c:pt idx="211">
                  <c:v>45799.229166666664</c:v>
                </c:pt>
                <c:pt idx="212">
                  <c:v>45798.229166666664</c:v>
                </c:pt>
                <c:pt idx="213">
                  <c:v>45797.229166666664</c:v>
                </c:pt>
                <c:pt idx="214">
                  <c:v>45796.229166666664</c:v>
                </c:pt>
                <c:pt idx="215">
                  <c:v>45795.229166666664</c:v>
                </c:pt>
                <c:pt idx="216">
                  <c:v>45794.229166666664</c:v>
                </c:pt>
                <c:pt idx="217">
                  <c:v>45793.229166666664</c:v>
                </c:pt>
                <c:pt idx="218">
                  <c:v>45792.229166666664</c:v>
                </c:pt>
                <c:pt idx="219">
                  <c:v>45791.229166666664</c:v>
                </c:pt>
                <c:pt idx="220">
                  <c:v>45790.229166666664</c:v>
                </c:pt>
                <c:pt idx="221">
                  <c:v>45789.229166666664</c:v>
                </c:pt>
                <c:pt idx="222">
                  <c:v>45788.229166666664</c:v>
                </c:pt>
                <c:pt idx="223">
                  <c:v>45787.229166666664</c:v>
                </c:pt>
                <c:pt idx="224">
                  <c:v>45786.229166666664</c:v>
                </c:pt>
                <c:pt idx="225">
                  <c:v>45785.229166666664</c:v>
                </c:pt>
                <c:pt idx="226">
                  <c:v>45784.229166666664</c:v>
                </c:pt>
                <c:pt idx="227">
                  <c:v>45783.229166666664</c:v>
                </c:pt>
                <c:pt idx="228">
                  <c:v>45782.229166666664</c:v>
                </c:pt>
                <c:pt idx="229">
                  <c:v>45781.229166666664</c:v>
                </c:pt>
                <c:pt idx="230">
                  <c:v>45780.229166666664</c:v>
                </c:pt>
                <c:pt idx="231">
                  <c:v>45779.229166666664</c:v>
                </c:pt>
                <c:pt idx="232">
                  <c:v>45778.229166666664</c:v>
                </c:pt>
                <c:pt idx="233">
                  <c:v>45777.229166666664</c:v>
                </c:pt>
                <c:pt idx="234">
                  <c:v>45776.229166666664</c:v>
                </c:pt>
                <c:pt idx="235">
                  <c:v>45775.229166666664</c:v>
                </c:pt>
                <c:pt idx="236">
                  <c:v>45774.229166666664</c:v>
                </c:pt>
                <c:pt idx="237">
                  <c:v>45773.229166666664</c:v>
                </c:pt>
                <c:pt idx="238">
                  <c:v>45772.229166666664</c:v>
                </c:pt>
                <c:pt idx="239">
                  <c:v>45771.229166666664</c:v>
                </c:pt>
                <c:pt idx="240">
                  <c:v>45770.229166666664</c:v>
                </c:pt>
                <c:pt idx="241">
                  <c:v>45769.229166666664</c:v>
                </c:pt>
                <c:pt idx="242">
                  <c:v>45768.229166666664</c:v>
                </c:pt>
                <c:pt idx="243">
                  <c:v>45767.229166666664</c:v>
                </c:pt>
                <c:pt idx="244">
                  <c:v>45766.229166666664</c:v>
                </c:pt>
                <c:pt idx="245">
                  <c:v>45765.229166666664</c:v>
                </c:pt>
                <c:pt idx="246">
                  <c:v>45764.229166666664</c:v>
                </c:pt>
                <c:pt idx="247">
                  <c:v>45763.229166666664</c:v>
                </c:pt>
                <c:pt idx="248">
                  <c:v>45762.229166666664</c:v>
                </c:pt>
                <c:pt idx="249">
                  <c:v>45761.229166666664</c:v>
                </c:pt>
                <c:pt idx="250">
                  <c:v>45760.229166666664</c:v>
                </c:pt>
                <c:pt idx="251">
                  <c:v>45759.229166666664</c:v>
                </c:pt>
                <c:pt idx="252">
                  <c:v>45758.229166666664</c:v>
                </c:pt>
                <c:pt idx="253">
                  <c:v>45757.229166666664</c:v>
                </c:pt>
                <c:pt idx="254">
                  <c:v>45756.229166666664</c:v>
                </c:pt>
                <c:pt idx="255">
                  <c:v>45755.229166666664</c:v>
                </c:pt>
                <c:pt idx="256">
                  <c:v>45754.229166666664</c:v>
                </c:pt>
                <c:pt idx="257">
                  <c:v>45753.229166666664</c:v>
                </c:pt>
                <c:pt idx="258">
                  <c:v>45752.229166666664</c:v>
                </c:pt>
                <c:pt idx="259">
                  <c:v>45751.229166666664</c:v>
                </c:pt>
                <c:pt idx="260">
                  <c:v>45750.229166666664</c:v>
                </c:pt>
                <c:pt idx="261">
                  <c:v>45749.229166666664</c:v>
                </c:pt>
                <c:pt idx="262">
                  <c:v>45748.229166666664</c:v>
                </c:pt>
                <c:pt idx="263">
                  <c:v>45747.229166666664</c:v>
                </c:pt>
                <c:pt idx="264">
                  <c:v>45746.229166666664</c:v>
                </c:pt>
                <c:pt idx="265">
                  <c:v>45745.229166666664</c:v>
                </c:pt>
                <c:pt idx="266">
                  <c:v>45744.229166666664</c:v>
                </c:pt>
                <c:pt idx="267">
                  <c:v>45743.229166666664</c:v>
                </c:pt>
                <c:pt idx="268">
                  <c:v>45742.229166666664</c:v>
                </c:pt>
                <c:pt idx="269">
                  <c:v>45741.229166666664</c:v>
                </c:pt>
                <c:pt idx="270">
                  <c:v>45740.229166666664</c:v>
                </c:pt>
                <c:pt idx="271">
                  <c:v>45739.229166666664</c:v>
                </c:pt>
                <c:pt idx="272">
                  <c:v>45738.229166666664</c:v>
                </c:pt>
                <c:pt idx="273">
                  <c:v>45737.229166666664</c:v>
                </c:pt>
                <c:pt idx="274">
                  <c:v>45736.229166666664</c:v>
                </c:pt>
                <c:pt idx="275">
                  <c:v>45735.229166666664</c:v>
                </c:pt>
                <c:pt idx="276">
                  <c:v>45734.229166666664</c:v>
                </c:pt>
                <c:pt idx="277">
                  <c:v>45733.229166666664</c:v>
                </c:pt>
                <c:pt idx="278">
                  <c:v>45732.229166666664</c:v>
                </c:pt>
                <c:pt idx="279">
                  <c:v>45731.229166666664</c:v>
                </c:pt>
                <c:pt idx="280">
                  <c:v>45730.229166666664</c:v>
                </c:pt>
                <c:pt idx="281">
                  <c:v>45729.229166666664</c:v>
                </c:pt>
                <c:pt idx="282">
                  <c:v>45728.229166666664</c:v>
                </c:pt>
                <c:pt idx="283">
                  <c:v>45727.229166666664</c:v>
                </c:pt>
                <c:pt idx="284">
                  <c:v>45726.229166666664</c:v>
                </c:pt>
                <c:pt idx="285">
                  <c:v>45725.229166666664</c:v>
                </c:pt>
                <c:pt idx="286">
                  <c:v>45724.229166666664</c:v>
                </c:pt>
                <c:pt idx="287">
                  <c:v>45723.229166666664</c:v>
                </c:pt>
                <c:pt idx="288">
                  <c:v>45722.229166666664</c:v>
                </c:pt>
                <c:pt idx="289">
                  <c:v>45721.229166666664</c:v>
                </c:pt>
                <c:pt idx="290">
                  <c:v>45720.229166666664</c:v>
                </c:pt>
                <c:pt idx="291">
                  <c:v>45719.229166666664</c:v>
                </c:pt>
                <c:pt idx="292">
                  <c:v>45718.229166666664</c:v>
                </c:pt>
                <c:pt idx="293">
                  <c:v>45717.229166666664</c:v>
                </c:pt>
                <c:pt idx="294">
                  <c:v>45716.229166666664</c:v>
                </c:pt>
                <c:pt idx="295">
                  <c:v>45715.229166666664</c:v>
                </c:pt>
                <c:pt idx="296">
                  <c:v>45714.229166666664</c:v>
                </c:pt>
                <c:pt idx="297">
                  <c:v>45713.229166666664</c:v>
                </c:pt>
                <c:pt idx="298">
                  <c:v>45712.229166666664</c:v>
                </c:pt>
                <c:pt idx="299">
                  <c:v>45711.229166666664</c:v>
                </c:pt>
                <c:pt idx="300">
                  <c:v>45710.229166666664</c:v>
                </c:pt>
                <c:pt idx="301">
                  <c:v>45709.229166666664</c:v>
                </c:pt>
                <c:pt idx="302">
                  <c:v>45708.229166666664</c:v>
                </c:pt>
                <c:pt idx="303">
                  <c:v>45707.229166666664</c:v>
                </c:pt>
                <c:pt idx="304">
                  <c:v>45706.229166666664</c:v>
                </c:pt>
                <c:pt idx="305">
                  <c:v>45705.229166666664</c:v>
                </c:pt>
                <c:pt idx="306">
                  <c:v>45704.229166666664</c:v>
                </c:pt>
                <c:pt idx="307">
                  <c:v>45703.229166666664</c:v>
                </c:pt>
                <c:pt idx="308">
                  <c:v>45702.229166666664</c:v>
                </c:pt>
                <c:pt idx="309">
                  <c:v>45701.229166666664</c:v>
                </c:pt>
                <c:pt idx="310">
                  <c:v>45700.229166666664</c:v>
                </c:pt>
                <c:pt idx="311">
                  <c:v>45699.229166666664</c:v>
                </c:pt>
                <c:pt idx="312">
                  <c:v>45698.229166666664</c:v>
                </c:pt>
                <c:pt idx="313">
                  <c:v>45697.229166666664</c:v>
                </c:pt>
                <c:pt idx="314">
                  <c:v>45696.229166666664</c:v>
                </c:pt>
                <c:pt idx="315">
                  <c:v>45695.229166666664</c:v>
                </c:pt>
                <c:pt idx="316">
                  <c:v>45694.229166666664</c:v>
                </c:pt>
                <c:pt idx="317">
                  <c:v>45693.229166666664</c:v>
                </c:pt>
                <c:pt idx="318">
                  <c:v>45692.229166666664</c:v>
                </c:pt>
                <c:pt idx="319">
                  <c:v>45691.229166666664</c:v>
                </c:pt>
                <c:pt idx="320">
                  <c:v>45690.229166666664</c:v>
                </c:pt>
                <c:pt idx="321">
                  <c:v>45689.229166666664</c:v>
                </c:pt>
                <c:pt idx="322">
                  <c:v>45688.229166666664</c:v>
                </c:pt>
                <c:pt idx="323">
                  <c:v>45687.229166666664</c:v>
                </c:pt>
                <c:pt idx="324">
                  <c:v>45686.229166666664</c:v>
                </c:pt>
                <c:pt idx="325">
                  <c:v>45685.229166666664</c:v>
                </c:pt>
                <c:pt idx="326">
                  <c:v>45684.229166666664</c:v>
                </c:pt>
                <c:pt idx="327">
                  <c:v>45683.229166666664</c:v>
                </c:pt>
                <c:pt idx="328">
                  <c:v>45682.229166666664</c:v>
                </c:pt>
                <c:pt idx="329">
                  <c:v>45681.229166666664</c:v>
                </c:pt>
                <c:pt idx="330">
                  <c:v>45680.229166666664</c:v>
                </c:pt>
                <c:pt idx="331">
                  <c:v>45679.229166666664</c:v>
                </c:pt>
                <c:pt idx="332">
                  <c:v>45678.229166666664</c:v>
                </c:pt>
                <c:pt idx="333">
                  <c:v>45677.229166666664</c:v>
                </c:pt>
                <c:pt idx="334">
                  <c:v>45676.229166666664</c:v>
                </c:pt>
                <c:pt idx="335">
                  <c:v>45675.229166666664</c:v>
                </c:pt>
                <c:pt idx="336">
                  <c:v>45674.229166666664</c:v>
                </c:pt>
                <c:pt idx="337">
                  <c:v>45673.229166666664</c:v>
                </c:pt>
                <c:pt idx="338">
                  <c:v>45672.229166666664</c:v>
                </c:pt>
                <c:pt idx="339">
                  <c:v>45671.229166666664</c:v>
                </c:pt>
                <c:pt idx="340">
                  <c:v>45670.229166666664</c:v>
                </c:pt>
                <c:pt idx="341">
                  <c:v>45669.229166666664</c:v>
                </c:pt>
                <c:pt idx="342">
                  <c:v>45668.229166666664</c:v>
                </c:pt>
                <c:pt idx="343">
                  <c:v>45667.229166666664</c:v>
                </c:pt>
                <c:pt idx="344">
                  <c:v>45666.229166666664</c:v>
                </c:pt>
                <c:pt idx="345">
                  <c:v>45665.229166666664</c:v>
                </c:pt>
                <c:pt idx="346">
                  <c:v>45664.229166666664</c:v>
                </c:pt>
                <c:pt idx="347">
                  <c:v>45663.229166666664</c:v>
                </c:pt>
                <c:pt idx="348">
                  <c:v>45662.229166666664</c:v>
                </c:pt>
                <c:pt idx="349">
                  <c:v>45661.229166666664</c:v>
                </c:pt>
                <c:pt idx="350">
                  <c:v>45660.229166666664</c:v>
                </c:pt>
                <c:pt idx="351">
                  <c:v>45659.229166666664</c:v>
                </c:pt>
                <c:pt idx="352">
                  <c:v>45658.229166666664</c:v>
                </c:pt>
                <c:pt idx="353">
                  <c:v>45657.229166666664</c:v>
                </c:pt>
                <c:pt idx="354">
                  <c:v>45656.229166666664</c:v>
                </c:pt>
                <c:pt idx="355">
                  <c:v>45655.229166666664</c:v>
                </c:pt>
                <c:pt idx="356">
                  <c:v>45654.229166666664</c:v>
                </c:pt>
                <c:pt idx="357">
                  <c:v>45653.229166666664</c:v>
                </c:pt>
                <c:pt idx="358">
                  <c:v>45652.229166666664</c:v>
                </c:pt>
                <c:pt idx="359">
                  <c:v>45651.229166666664</c:v>
                </c:pt>
                <c:pt idx="360">
                  <c:v>45650.229166666664</c:v>
                </c:pt>
                <c:pt idx="361">
                  <c:v>45649.229166666664</c:v>
                </c:pt>
                <c:pt idx="362">
                  <c:v>45648.229166666664</c:v>
                </c:pt>
                <c:pt idx="363">
                  <c:v>45647.229166666664</c:v>
                </c:pt>
                <c:pt idx="364">
                  <c:v>45646.229166666664</c:v>
                </c:pt>
                <c:pt idx="365">
                  <c:v>45645.229166666664</c:v>
                </c:pt>
                <c:pt idx="366">
                  <c:v>45644.229166666664</c:v>
                </c:pt>
                <c:pt idx="367">
                  <c:v>45643.229166666664</c:v>
                </c:pt>
                <c:pt idx="368">
                  <c:v>45642.229166666664</c:v>
                </c:pt>
                <c:pt idx="369">
                  <c:v>45641.229166666664</c:v>
                </c:pt>
                <c:pt idx="370">
                  <c:v>45640.229166666664</c:v>
                </c:pt>
                <c:pt idx="371">
                  <c:v>45639.229166666664</c:v>
                </c:pt>
                <c:pt idx="372">
                  <c:v>45638.229166666664</c:v>
                </c:pt>
                <c:pt idx="373">
                  <c:v>45637.229166666664</c:v>
                </c:pt>
                <c:pt idx="374">
                  <c:v>45636.229166666664</c:v>
                </c:pt>
                <c:pt idx="375">
                  <c:v>45635.229166666664</c:v>
                </c:pt>
                <c:pt idx="376">
                  <c:v>45634.229166666664</c:v>
                </c:pt>
                <c:pt idx="377">
                  <c:v>45633.229166666664</c:v>
                </c:pt>
                <c:pt idx="378">
                  <c:v>45632.229166666664</c:v>
                </c:pt>
                <c:pt idx="379">
                  <c:v>45631.229166666664</c:v>
                </c:pt>
                <c:pt idx="380">
                  <c:v>45630.229166666664</c:v>
                </c:pt>
                <c:pt idx="381">
                  <c:v>45629.229166666664</c:v>
                </c:pt>
                <c:pt idx="382">
                  <c:v>45628.229166666664</c:v>
                </c:pt>
                <c:pt idx="383">
                  <c:v>45627.229166666664</c:v>
                </c:pt>
                <c:pt idx="384">
                  <c:v>45626.229166666664</c:v>
                </c:pt>
                <c:pt idx="385">
                  <c:v>45625.229166666664</c:v>
                </c:pt>
                <c:pt idx="386">
                  <c:v>45624.229166666664</c:v>
                </c:pt>
                <c:pt idx="387">
                  <c:v>45623.229166666664</c:v>
                </c:pt>
                <c:pt idx="388">
                  <c:v>45622.229166666664</c:v>
                </c:pt>
                <c:pt idx="389">
                  <c:v>45621.229166666664</c:v>
                </c:pt>
                <c:pt idx="390">
                  <c:v>45620.229166666664</c:v>
                </c:pt>
                <c:pt idx="391">
                  <c:v>45619.229166666664</c:v>
                </c:pt>
                <c:pt idx="392">
                  <c:v>45618.229166666664</c:v>
                </c:pt>
                <c:pt idx="393">
                  <c:v>45617.229166666664</c:v>
                </c:pt>
                <c:pt idx="394">
                  <c:v>45616.229166666664</c:v>
                </c:pt>
                <c:pt idx="395">
                  <c:v>45615.229166666664</c:v>
                </c:pt>
                <c:pt idx="396">
                  <c:v>45614.229166666664</c:v>
                </c:pt>
                <c:pt idx="397">
                  <c:v>45613.229166666664</c:v>
                </c:pt>
                <c:pt idx="398">
                  <c:v>45612.229166666664</c:v>
                </c:pt>
                <c:pt idx="399">
                  <c:v>45611.229166666664</c:v>
                </c:pt>
                <c:pt idx="400">
                  <c:v>45610.229166666664</c:v>
                </c:pt>
                <c:pt idx="401">
                  <c:v>45609.229166666664</c:v>
                </c:pt>
                <c:pt idx="402">
                  <c:v>45608.229166666664</c:v>
                </c:pt>
                <c:pt idx="403">
                  <c:v>45607.229166666664</c:v>
                </c:pt>
                <c:pt idx="404">
                  <c:v>45606.229166666664</c:v>
                </c:pt>
                <c:pt idx="405">
                  <c:v>45605.229166666664</c:v>
                </c:pt>
                <c:pt idx="406">
                  <c:v>45604.229166666664</c:v>
                </c:pt>
                <c:pt idx="407">
                  <c:v>45603.229166666664</c:v>
                </c:pt>
                <c:pt idx="408">
                  <c:v>45602.229166666664</c:v>
                </c:pt>
                <c:pt idx="409">
                  <c:v>45601.229166666664</c:v>
                </c:pt>
                <c:pt idx="410">
                  <c:v>45600.229166666664</c:v>
                </c:pt>
                <c:pt idx="411">
                  <c:v>45599.229166666664</c:v>
                </c:pt>
                <c:pt idx="412">
                  <c:v>45598.229166666664</c:v>
                </c:pt>
                <c:pt idx="413">
                  <c:v>45597.229166666664</c:v>
                </c:pt>
                <c:pt idx="414">
                  <c:v>45596.229166666664</c:v>
                </c:pt>
                <c:pt idx="415">
                  <c:v>45595.229166666664</c:v>
                </c:pt>
                <c:pt idx="416">
                  <c:v>45594.229166666664</c:v>
                </c:pt>
                <c:pt idx="417">
                  <c:v>45593.229166666664</c:v>
                </c:pt>
                <c:pt idx="418">
                  <c:v>45592.229166666664</c:v>
                </c:pt>
                <c:pt idx="419">
                  <c:v>45591.229166666664</c:v>
                </c:pt>
                <c:pt idx="420">
                  <c:v>45590.229166666664</c:v>
                </c:pt>
                <c:pt idx="421">
                  <c:v>45589.229166666664</c:v>
                </c:pt>
                <c:pt idx="422">
                  <c:v>45588.229166666664</c:v>
                </c:pt>
                <c:pt idx="423">
                  <c:v>45587.229166666664</c:v>
                </c:pt>
                <c:pt idx="424">
                  <c:v>45586.229166666664</c:v>
                </c:pt>
                <c:pt idx="425">
                  <c:v>45585.229166666664</c:v>
                </c:pt>
                <c:pt idx="426">
                  <c:v>45584.229166666664</c:v>
                </c:pt>
                <c:pt idx="427">
                  <c:v>45583.229166666664</c:v>
                </c:pt>
                <c:pt idx="428">
                  <c:v>45582.229166666664</c:v>
                </c:pt>
                <c:pt idx="429">
                  <c:v>45581.229166666664</c:v>
                </c:pt>
                <c:pt idx="430">
                  <c:v>45580.229166666664</c:v>
                </c:pt>
                <c:pt idx="431">
                  <c:v>45579.229166666664</c:v>
                </c:pt>
                <c:pt idx="432">
                  <c:v>45578.229166666664</c:v>
                </c:pt>
                <c:pt idx="433">
                  <c:v>45577.229166666664</c:v>
                </c:pt>
                <c:pt idx="434">
                  <c:v>45576.229166666664</c:v>
                </c:pt>
                <c:pt idx="435">
                  <c:v>45575.229166666664</c:v>
                </c:pt>
                <c:pt idx="436">
                  <c:v>45574.229166666664</c:v>
                </c:pt>
                <c:pt idx="437">
                  <c:v>45573.229166666664</c:v>
                </c:pt>
                <c:pt idx="438">
                  <c:v>45572.229166666664</c:v>
                </c:pt>
                <c:pt idx="439">
                  <c:v>45571.229166666664</c:v>
                </c:pt>
                <c:pt idx="440">
                  <c:v>45570.229166666664</c:v>
                </c:pt>
                <c:pt idx="441">
                  <c:v>45569.229166666664</c:v>
                </c:pt>
                <c:pt idx="442">
                  <c:v>45568.229166666664</c:v>
                </c:pt>
                <c:pt idx="443">
                  <c:v>45567.229166666664</c:v>
                </c:pt>
                <c:pt idx="444">
                  <c:v>45566.229166666664</c:v>
                </c:pt>
                <c:pt idx="445">
                  <c:v>45565.229166666664</c:v>
                </c:pt>
                <c:pt idx="446">
                  <c:v>45564.229166666664</c:v>
                </c:pt>
                <c:pt idx="447">
                  <c:v>45563.229166666664</c:v>
                </c:pt>
                <c:pt idx="448">
                  <c:v>45562.229166666664</c:v>
                </c:pt>
                <c:pt idx="449">
                  <c:v>45561.229166666664</c:v>
                </c:pt>
                <c:pt idx="450">
                  <c:v>45560.229166666664</c:v>
                </c:pt>
                <c:pt idx="451">
                  <c:v>45559.229166666664</c:v>
                </c:pt>
                <c:pt idx="452">
                  <c:v>45558.229166666664</c:v>
                </c:pt>
                <c:pt idx="453">
                  <c:v>45557.229166666664</c:v>
                </c:pt>
                <c:pt idx="454">
                  <c:v>45556.229166666664</c:v>
                </c:pt>
                <c:pt idx="455">
                  <c:v>45555.229166666664</c:v>
                </c:pt>
                <c:pt idx="456">
                  <c:v>45554.229166666664</c:v>
                </c:pt>
                <c:pt idx="457">
                  <c:v>45553.229166666664</c:v>
                </c:pt>
                <c:pt idx="458">
                  <c:v>45552.229166666664</c:v>
                </c:pt>
                <c:pt idx="459">
                  <c:v>45551.229166666664</c:v>
                </c:pt>
                <c:pt idx="460">
                  <c:v>45550.229166666664</c:v>
                </c:pt>
                <c:pt idx="461">
                  <c:v>45549.229166666664</c:v>
                </c:pt>
                <c:pt idx="462">
                  <c:v>45548.229166666664</c:v>
                </c:pt>
                <c:pt idx="463">
                  <c:v>45547.229166666664</c:v>
                </c:pt>
                <c:pt idx="464">
                  <c:v>45546.229166666664</c:v>
                </c:pt>
                <c:pt idx="465">
                  <c:v>45545.229166666664</c:v>
                </c:pt>
                <c:pt idx="466">
                  <c:v>45544.229166666664</c:v>
                </c:pt>
                <c:pt idx="467">
                  <c:v>45543.229166666664</c:v>
                </c:pt>
                <c:pt idx="468">
                  <c:v>45542.229166666664</c:v>
                </c:pt>
                <c:pt idx="469">
                  <c:v>45541.229166666664</c:v>
                </c:pt>
                <c:pt idx="470">
                  <c:v>45540.229166666664</c:v>
                </c:pt>
                <c:pt idx="471">
                  <c:v>45539.229166666664</c:v>
                </c:pt>
                <c:pt idx="472">
                  <c:v>45538.229166666664</c:v>
                </c:pt>
                <c:pt idx="473">
                  <c:v>45537.229166666664</c:v>
                </c:pt>
                <c:pt idx="474">
                  <c:v>45536.229166666664</c:v>
                </c:pt>
                <c:pt idx="475">
                  <c:v>45535.229166666664</c:v>
                </c:pt>
                <c:pt idx="476">
                  <c:v>45534.229166666664</c:v>
                </c:pt>
                <c:pt idx="477">
                  <c:v>45533.229166666664</c:v>
                </c:pt>
                <c:pt idx="478">
                  <c:v>45532.229166666664</c:v>
                </c:pt>
                <c:pt idx="479">
                  <c:v>45531.229166666664</c:v>
                </c:pt>
                <c:pt idx="480">
                  <c:v>45530.229166666664</c:v>
                </c:pt>
                <c:pt idx="481">
                  <c:v>45529.229166666664</c:v>
                </c:pt>
                <c:pt idx="482">
                  <c:v>45528.229166666664</c:v>
                </c:pt>
                <c:pt idx="483">
                  <c:v>45527.229166666664</c:v>
                </c:pt>
                <c:pt idx="484">
                  <c:v>45526.229166666664</c:v>
                </c:pt>
                <c:pt idx="485">
                  <c:v>45525.229166666664</c:v>
                </c:pt>
                <c:pt idx="486">
                  <c:v>45524.229166666664</c:v>
                </c:pt>
                <c:pt idx="487">
                  <c:v>45523.229166666664</c:v>
                </c:pt>
                <c:pt idx="488">
                  <c:v>45522.229166666664</c:v>
                </c:pt>
                <c:pt idx="489">
                  <c:v>45521.229166666664</c:v>
                </c:pt>
                <c:pt idx="490">
                  <c:v>45520.229166666664</c:v>
                </c:pt>
                <c:pt idx="491">
                  <c:v>45519.229166666664</c:v>
                </c:pt>
                <c:pt idx="492">
                  <c:v>45518.229166666664</c:v>
                </c:pt>
                <c:pt idx="493">
                  <c:v>45517.229166666664</c:v>
                </c:pt>
                <c:pt idx="494">
                  <c:v>45516.229166666664</c:v>
                </c:pt>
                <c:pt idx="495">
                  <c:v>45515.229166666664</c:v>
                </c:pt>
                <c:pt idx="496">
                  <c:v>45514.229166666664</c:v>
                </c:pt>
                <c:pt idx="497">
                  <c:v>45513.229166666664</c:v>
                </c:pt>
                <c:pt idx="498">
                  <c:v>45512.229166666664</c:v>
                </c:pt>
                <c:pt idx="499">
                  <c:v>45511.229166666664</c:v>
                </c:pt>
                <c:pt idx="500">
                  <c:v>45510.229166666664</c:v>
                </c:pt>
                <c:pt idx="501">
                  <c:v>45509.229166666664</c:v>
                </c:pt>
                <c:pt idx="502">
                  <c:v>45508.229166666664</c:v>
                </c:pt>
                <c:pt idx="503">
                  <c:v>45507.229166666664</c:v>
                </c:pt>
                <c:pt idx="504">
                  <c:v>45506.229166666664</c:v>
                </c:pt>
                <c:pt idx="505">
                  <c:v>45505.229166666664</c:v>
                </c:pt>
                <c:pt idx="506">
                  <c:v>45504.229166666664</c:v>
                </c:pt>
                <c:pt idx="507">
                  <c:v>45503.229166666664</c:v>
                </c:pt>
                <c:pt idx="508">
                  <c:v>45502.229166666664</c:v>
                </c:pt>
                <c:pt idx="509">
                  <c:v>45501.229166666664</c:v>
                </c:pt>
                <c:pt idx="510">
                  <c:v>45500.229166666664</c:v>
                </c:pt>
                <c:pt idx="511">
                  <c:v>45499.229166666664</c:v>
                </c:pt>
                <c:pt idx="512">
                  <c:v>45498.229166666664</c:v>
                </c:pt>
                <c:pt idx="513">
                  <c:v>45497.229166666664</c:v>
                </c:pt>
                <c:pt idx="514">
                  <c:v>45496.229166666664</c:v>
                </c:pt>
                <c:pt idx="515">
                  <c:v>45495.229166666664</c:v>
                </c:pt>
                <c:pt idx="516">
                  <c:v>45494.229166666664</c:v>
                </c:pt>
                <c:pt idx="517">
                  <c:v>45493.229166666664</c:v>
                </c:pt>
                <c:pt idx="518">
                  <c:v>45492.229166666664</c:v>
                </c:pt>
                <c:pt idx="519">
                  <c:v>45491.229166666664</c:v>
                </c:pt>
                <c:pt idx="520">
                  <c:v>45490.229166666664</c:v>
                </c:pt>
                <c:pt idx="521">
                  <c:v>45489.229166666664</c:v>
                </c:pt>
                <c:pt idx="522">
                  <c:v>45488.229166666664</c:v>
                </c:pt>
                <c:pt idx="523">
                  <c:v>45487.229166666664</c:v>
                </c:pt>
                <c:pt idx="524">
                  <c:v>45486.229166666664</c:v>
                </c:pt>
                <c:pt idx="525">
                  <c:v>45485.229166666664</c:v>
                </c:pt>
                <c:pt idx="526">
                  <c:v>45484.229166666664</c:v>
                </c:pt>
                <c:pt idx="527">
                  <c:v>45483.229166666664</c:v>
                </c:pt>
                <c:pt idx="528">
                  <c:v>45482.229166666664</c:v>
                </c:pt>
                <c:pt idx="529">
                  <c:v>45481.229166666664</c:v>
                </c:pt>
                <c:pt idx="530">
                  <c:v>45480.229166666664</c:v>
                </c:pt>
                <c:pt idx="531">
                  <c:v>45479.229166666664</c:v>
                </c:pt>
                <c:pt idx="532">
                  <c:v>45478.229166666664</c:v>
                </c:pt>
                <c:pt idx="533">
                  <c:v>45477.229166666664</c:v>
                </c:pt>
                <c:pt idx="534">
                  <c:v>45476.229166666664</c:v>
                </c:pt>
                <c:pt idx="535">
                  <c:v>45475.229166666664</c:v>
                </c:pt>
                <c:pt idx="536">
                  <c:v>45474.229166666664</c:v>
                </c:pt>
                <c:pt idx="537">
                  <c:v>45473.229166666664</c:v>
                </c:pt>
                <c:pt idx="538">
                  <c:v>45472.229166666664</c:v>
                </c:pt>
                <c:pt idx="539">
                  <c:v>45471.229166666664</c:v>
                </c:pt>
                <c:pt idx="540">
                  <c:v>45470.229166666664</c:v>
                </c:pt>
                <c:pt idx="541">
                  <c:v>45469.229166666664</c:v>
                </c:pt>
                <c:pt idx="542">
                  <c:v>45468.229166666664</c:v>
                </c:pt>
                <c:pt idx="543">
                  <c:v>45467.229166666664</c:v>
                </c:pt>
                <c:pt idx="544">
                  <c:v>45466.229166666664</c:v>
                </c:pt>
                <c:pt idx="545">
                  <c:v>45465.229166666664</c:v>
                </c:pt>
                <c:pt idx="546">
                  <c:v>45464.229166666664</c:v>
                </c:pt>
                <c:pt idx="547">
                  <c:v>45463.229166666664</c:v>
                </c:pt>
                <c:pt idx="548">
                  <c:v>45462.229166666664</c:v>
                </c:pt>
                <c:pt idx="549">
                  <c:v>45461.229166666664</c:v>
                </c:pt>
                <c:pt idx="550">
                  <c:v>45460.229166666664</c:v>
                </c:pt>
                <c:pt idx="551">
                  <c:v>45459.229166666664</c:v>
                </c:pt>
                <c:pt idx="552">
                  <c:v>45458.229166666664</c:v>
                </c:pt>
                <c:pt idx="553">
                  <c:v>45457.229166666664</c:v>
                </c:pt>
                <c:pt idx="554">
                  <c:v>45456.229166666664</c:v>
                </c:pt>
                <c:pt idx="555">
                  <c:v>45455.229166666664</c:v>
                </c:pt>
                <c:pt idx="556">
                  <c:v>45454.229166666664</c:v>
                </c:pt>
                <c:pt idx="557">
                  <c:v>45453.229166666664</c:v>
                </c:pt>
                <c:pt idx="558">
                  <c:v>45452.229166666664</c:v>
                </c:pt>
                <c:pt idx="559">
                  <c:v>45451.229166666664</c:v>
                </c:pt>
                <c:pt idx="560">
                  <c:v>45450.229166666664</c:v>
                </c:pt>
                <c:pt idx="561">
                  <c:v>45449.229166666664</c:v>
                </c:pt>
                <c:pt idx="562">
                  <c:v>45448.229166666664</c:v>
                </c:pt>
                <c:pt idx="563">
                  <c:v>45447.229166666664</c:v>
                </c:pt>
                <c:pt idx="564">
                  <c:v>45446.229166666664</c:v>
                </c:pt>
                <c:pt idx="565">
                  <c:v>45445.229166666664</c:v>
                </c:pt>
                <c:pt idx="566">
                  <c:v>45444.229166666664</c:v>
                </c:pt>
                <c:pt idx="567">
                  <c:v>45443.229166666664</c:v>
                </c:pt>
                <c:pt idx="568">
                  <c:v>45442.229166666664</c:v>
                </c:pt>
                <c:pt idx="569">
                  <c:v>45441.229166666664</c:v>
                </c:pt>
                <c:pt idx="570">
                  <c:v>45440.229166666664</c:v>
                </c:pt>
                <c:pt idx="571">
                  <c:v>45439.229166666664</c:v>
                </c:pt>
                <c:pt idx="572">
                  <c:v>45438.229166666664</c:v>
                </c:pt>
                <c:pt idx="573">
                  <c:v>45437.229166666664</c:v>
                </c:pt>
                <c:pt idx="574">
                  <c:v>45436.229166666664</c:v>
                </c:pt>
                <c:pt idx="575">
                  <c:v>45435.229166666664</c:v>
                </c:pt>
                <c:pt idx="576">
                  <c:v>45434.229166666664</c:v>
                </c:pt>
                <c:pt idx="577">
                  <c:v>45433.229166666664</c:v>
                </c:pt>
                <c:pt idx="578">
                  <c:v>45432.229166666664</c:v>
                </c:pt>
                <c:pt idx="579">
                  <c:v>45431.229166666664</c:v>
                </c:pt>
                <c:pt idx="580">
                  <c:v>45430.229166666664</c:v>
                </c:pt>
                <c:pt idx="581">
                  <c:v>45429.229166666664</c:v>
                </c:pt>
                <c:pt idx="582">
                  <c:v>45428.229166666664</c:v>
                </c:pt>
                <c:pt idx="583">
                  <c:v>45427.229166666664</c:v>
                </c:pt>
                <c:pt idx="584">
                  <c:v>45426.229166666664</c:v>
                </c:pt>
                <c:pt idx="585">
                  <c:v>45425.229166666664</c:v>
                </c:pt>
                <c:pt idx="586">
                  <c:v>45424.229166666664</c:v>
                </c:pt>
                <c:pt idx="587">
                  <c:v>45423.229166666664</c:v>
                </c:pt>
                <c:pt idx="588">
                  <c:v>45422.229166666664</c:v>
                </c:pt>
                <c:pt idx="589">
                  <c:v>45421.229166666664</c:v>
                </c:pt>
                <c:pt idx="590">
                  <c:v>45420.229166666664</c:v>
                </c:pt>
                <c:pt idx="591">
                  <c:v>45419.229166666664</c:v>
                </c:pt>
                <c:pt idx="592">
                  <c:v>45418.229166666664</c:v>
                </c:pt>
                <c:pt idx="593">
                  <c:v>45417.229166666664</c:v>
                </c:pt>
                <c:pt idx="594">
                  <c:v>45416.229166666664</c:v>
                </c:pt>
                <c:pt idx="595">
                  <c:v>45415.229166666664</c:v>
                </c:pt>
                <c:pt idx="596">
                  <c:v>45414.229166666664</c:v>
                </c:pt>
                <c:pt idx="597">
                  <c:v>45413.229166666664</c:v>
                </c:pt>
                <c:pt idx="598">
                  <c:v>45412.229166666664</c:v>
                </c:pt>
                <c:pt idx="599">
                  <c:v>45411.229166666664</c:v>
                </c:pt>
                <c:pt idx="600">
                  <c:v>45410.229166666664</c:v>
                </c:pt>
                <c:pt idx="601">
                  <c:v>45409.229166666664</c:v>
                </c:pt>
                <c:pt idx="602">
                  <c:v>45408.229166666664</c:v>
                </c:pt>
                <c:pt idx="603">
                  <c:v>45407.229166666664</c:v>
                </c:pt>
                <c:pt idx="604">
                  <c:v>45406.229166666664</c:v>
                </c:pt>
                <c:pt idx="605">
                  <c:v>45405.229166666664</c:v>
                </c:pt>
                <c:pt idx="606">
                  <c:v>45404.229166666664</c:v>
                </c:pt>
                <c:pt idx="607">
                  <c:v>45403.229166666664</c:v>
                </c:pt>
                <c:pt idx="608">
                  <c:v>45402.229166666664</c:v>
                </c:pt>
                <c:pt idx="609">
                  <c:v>45401.229166666664</c:v>
                </c:pt>
                <c:pt idx="610">
                  <c:v>45400.229166666664</c:v>
                </c:pt>
                <c:pt idx="611">
                  <c:v>45399.229166666664</c:v>
                </c:pt>
                <c:pt idx="612">
                  <c:v>45398.229166666664</c:v>
                </c:pt>
                <c:pt idx="613">
                  <c:v>45397.229166666664</c:v>
                </c:pt>
                <c:pt idx="614">
                  <c:v>45396.229166666664</c:v>
                </c:pt>
                <c:pt idx="615">
                  <c:v>45395.229166666664</c:v>
                </c:pt>
                <c:pt idx="616">
                  <c:v>45394.229166666664</c:v>
                </c:pt>
                <c:pt idx="617">
                  <c:v>45393.229166666664</c:v>
                </c:pt>
                <c:pt idx="618">
                  <c:v>45392.229166666664</c:v>
                </c:pt>
                <c:pt idx="619">
                  <c:v>45391.229166666664</c:v>
                </c:pt>
                <c:pt idx="620">
                  <c:v>45390.229166666664</c:v>
                </c:pt>
                <c:pt idx="621">
                  <c:v>45389.229166666664</c:v>
                </c:pt>
                <c:pt idx="622">
                  <c:v>45388.229166666664</c:v>
                </c:pt>
                <c:pt idx="623">
                  <c:v>45387.229166666664</c:v>
                </c:pt>
                <c:pt idx="624">
                  <c:v>45386.229166666664</c:v>
                </c:pt>
                <c:pt idx="625">
                  <c:v>45385.229166666664</c:v>
                </c:pt>
                <c:pt idx="626">
                  <c:v>45384.229166666664</c:v>
                </c:pt>
                <c:pt idx="627">
                  <c:v>45383.229166666664</c:v>
                </c:pt>
                <c:pt idx="628">
                  <c:v>45382.229166666664</c:v>
                </c:pt>
                <c:pt idx="629">
                  <c:v>45381.229166666664</c:v>
                </c:pt>
                <c:pt idx="630">
                  <c:v>45380.229166666664</c:v>
                </c:pt>
                <c:pt idx="631">
                  <c:v>45379.229166666664</c:v>
                </c:pt>
                <c:pt idx="632">
                  <c:v>45378.229166666664</c:v>
                </c:pt>
                <c:pt idx="633">
                  <c:v>45377.229166666664</c:v>
                </c:pt>
                <c:pt idx="634">
                  <c:v>45376.229166666664</c:v>
                </c:pt>
                <c:pt idx="635">
                  <c:v>45375.229166666664</c:v>
                </c:pt>
                <c:pt idx="636">
                  <c:v>45374.229166666664</c:v>
                </c:pt>
                <c:pt idx="637">
                  <c:v>45373.229166666664</c:v>
                </c:pt>
                <c:pt idx="638">
                  <c:v>45372.229166666664</c:v>
                </c:pt>
                <c:pt idx="639">
                  <c:v>45371.229166666664</c:v>
                </c:pt>
                <c:pt idx="640">
                  <c:v>45370.229166666664</c:v>
                </c:pt>
                <c:pt idx="641">
                  <c:v>45369.229166666664</c:v>
                </c:pt>
                <c:pt idx="642">
                  <c:v>45368.229166666664</c:v>
                </c:pt>
                <c:pt idx="643">
                  <c:v>45367.229166666664</c:v>
                </c:pt>
                <c:pt idx="644">
                  <c:v>45366.229166666664</c:v>
                </c:pt>
                <c:pt idx="645">
                  <c:v>45365.229166666664</c:v>
                </c:pt>
                <c:pt idx="646">
                  <c:v>45364.229166666664</c:v>
                </c:pt>
                <c:pt idx="647">
                  <c:v>45363.229166666664</c:v>
                </c:pt>
                <c:pt idx="648">
                  <c:v>45362.229166666664</c:v>
                </c:pt>
                <c:pt idx="649">
                  <c:v>45361.229166666664</c:v>
                </c:pt>
                <c:pt idx="650">
                  <c:v>45360.229166666664</c:v>
                </c:pt>
                <c:pt idx="651">
                  <c:v>45359.229166666664</c:v>
                </c:pt>
                <c:pt idx="652">
                  <c:v>45358.229166666664</c:v>
                </c:pt>
                <c:pt idx="653">
                  <c:v>45357.229166666664</c:v>
                </c:pt>
                <c:pt idx="654">
                  <c:v>45356.229166666664</c:v>
                </c:pt>
                <c:pt idx="655">
                  <c:v>45355.229166666664</c:v>
                </c:pt>
                <c:pt idx="656">
                  <c:v>45354.229166666664</c:v>
                </c:pt>
                <c:pt idx="657">
                  <c:v>45353.229166666664</c:v>
                </c:pt>
                <c:pt idx="658">
                  <c:v>45352.229166666664</c:v>
                </c:pt>
                <c:pt idx="659">
                  <c:v>45351.229166666664</c:v>
                </c:pt>
                <c:pt idx="660">
                  <c:v>45350.229166666664</c:v>
                </c:pt>
                <c:pt idx="661">
                  <c:v>45349.229166666664</c:v>
                </c:pt>
                <c:pt idx="662">
                  <c:v>45348.229166666664</c:v>
                </c:pt>
                <c:pt idx="663">
                  <c:v>45347.229166666664</c:v>
                </c:pt>
                <c:pt idx="664">
                  <c:v>45346.229166666664</c:v>
                </c:pt>
                <c:pt idx="665">
                  <c:v>45345.229166666664</c:v>
                </c:pt>
                <c:pt idx="666">
                  <c:v>45344.229166666664</c:v>
                </c:pt>
                <c:pt idx="667">
                  <c:v>45343.229166666664</c:v>
                </c:pt>
                <c:pt idx="668">
                  <c:v>45342.229166666664</c:v>
                </c:pt>
                <c:pt idx="669">
                  <c:v>45341.229166666664</c:v>
                </c:pt>
                <c:pt idx="670">
                  <c:v>45340.229166666664</c:v>
                </c:pt>
                <c:pt idx="671">
                  <c:v>45339.229166666664</c:v>
                </c:pt>
                <c:pt idx="672">
                  <c:v>45338.229166666664</c:v>
                </c:pt>
                <c:pt idx="673">
                  <c:v>45337.229166666664</c:v>
                </c:pt>
                <c:pt idx="674">
                  <c:v>45336.229166666664</c:v>
                </c:pt>
                <c:pt idx="675">
                  <c:v>45335.229166666664</c:v>
                </c:pt>
                <c:pt idx="676">
                  <c:v>45334.229166666664</c:v>
                </c:pt>
                <c:pt idx="677">
                  <c:v>45333.229166666664</c:v>
                </c:pt>
                <c:pt idx="678">
                  <c:v>45332.229166666664</c:v>
                </c:pt>
                <c:pt idx="679">
                  <c:v>45331.229166666664</c:v>
                </c:pt>
                <c:pt idx="680">
                  <c:v>45330.229166666664</c:v>
                </c:pt>
                <c:pt idx="681">
                  <c:v>45329.229166666664</c:v>
                </c:pt>
                <c:pt idx="682">
                  <c:v>45328.229166666664</c:v>
                </c:pt>
                <c:pt idx="683">
                  <c:v>45327.229166666664</c:v>
                </c:pt>
                <c:pt idx="684">
                  <c:v>45326.229166666664</c:v>
                </c:pt>
                <c:pt idx="685">
                  <c:v>45325.229166666664</c:v>
                </c:pt>
                <c:pt idx="686">
                  <c:v>45324.229166666664</c:v>
                </c:pt>
                <c:pt idx="687">
                  <c:v>45323.229166666664</c:v>
                </c:pt>
                <c:pt idx="688">
                  <c:v>45322.229166666664</c:v>
                </c:pt>
                <c:pt idx="689">
                  <c:v>45321.229166666664</c:v>
                </c:pt>
                <c:pt idx="690">
                  <c:v>45320.229166666664</c:v>
                </c:pt>
                <c:pt idx="691">
                  <c:v>45319.229166666664</c:v>
                </c:pt>
                <c:pt idx="692">
                  <c:v>45318.229166666664</c:v>
                </c:pt>
                <c:pt idx="693">
                  <c:v>45317.229166666664</c:v>
                </c:pt>
                <c:pt idx="694">
                  <c:v>45316.229166666664</c:v>
                </c:pt>
                <c:pt idx="695">
                  <c:v>45315.229166666664</c:v>
                </c:pt>
                <c:pt idx="696">
                  <c:v>45314.229166666664</c:v>
                </c:pt>
                <c:pt idx="697">
                  <c:v>45313.229166666664</c:v>
                </c:pt>
                <c:pt idx="698">
                  <c:v>45312.229166666664</c:v>
                </c:pt>
                <c:pt idx="699">
                  <c:v>45311.229166666664</c:v>
                </c:pt>
                <c:pt idx="700">
                  <c:v>45310.229166666664</c:v>
                </c:pt>
                <c:pt idx="701">
                  <c:v>45309.229166666664</c:v>
                </c:pt>
                <c:pt idx="702">
                  <c:v>45308.229166666664</c:v>
                </c:pt>
                <c:pt idx="703">
                  <c:v>45307.229166666664</c:v>
                </c:pt>
                <c:pt idx="704">
                  <c:v>45306.229166666664</c:v>
                </c:pt>
                <c:pt idx="705">
                  <c:v>45305.229166666664</c:v>
                </c:pt>
                <c:pt idx="706">
                  <c:v>45304.229166666664</c:v>
                </c:pt>
                <c:pt idx="707">
                  <c:v>45303.229166666664</c:v>
                </c:pt>
                <c:pt idx="708">
                  <c:v>45302.229166666664</c:v>
                </c:pt>
                <c:pt idx="709">
                  <c:v>45301.229166666664</c:v>
                </c:pt>
                <c:pt idx="710">
                  <c:v>45300.229166666664</c:v>
                </c:pt>
                <c:pt idx="711">
                  <c:v>45299.229166666664</c:v>
                </c:pt>
                <c:pt idx="712">
                  <c:v>45298.229166666664</c:v>
                </c:pt>
                <c:pt idx="713">
                  <c:v>45297.229166666664</c:v>
                </c:pt>
                <c:pt idx="714">
                  <c:v>45296.229166666664</c:v>
                </c:pt>
                <c:pt idx="715">
                  <c:v>45295.229166666664</c:v>
                </c:pt>
                <c:pt idx="716">
                  <c:v>45294.229166666664</c:v>
                </c:pt>
                <c:pt idx="717">
                  <c:v>45293.229166666664</c:v>
                </c:pt>
                <c:pt idx="718">
                  <c:v>45292.229166666664</c:v>
                </c:pt>
                <c:pt idx="719">
                  <c:v>45291.229166666664</c:v>
                </c:pt>
                <c:pt idx="720">
                  <c:v>45290.229166666664</c:v>
                </c:pt>
                <c:pt idx="721">
                  <c:v>45289.229166666664</c:v>
                </c:pt>
                <c:pt idx="722">
                  <c:v>45288.229166666664</c:v>
                </c:pt>
                <c:pt idx="723">
                  <c:v>45287.229166666664</c:v>
                </c:pt>
                <c:pt idx="724">
                  <c:v>45286.229166666664</c:v>
                </c:pt>
                <c:pt idx="725">
                  <c:v>45285.229166666664</c:v>
                </c:pt>
                <c:pt idx="726">
                  <c:v>45284.229166666664</c:v>
                </c:pt>
                <c:pt idx="727">
                  <c:v>45283.229166666664</c:v>
                </c:pt>
                <c:pt idx="728">
                  <c:v>45282.229166666664</c:v>
                </c:pt>
                <c:pt idx="729">
                  <c:v>45281.229166666664</c:v>
                </c:pt>
                <c:pt idx="730">
                  <c:v>45280.229166666664</c:v>
                </c:pt>
              </c:numCache>
            </c:numRef>
          </c:cat>
          <c:val>
            <c:numRef>
              <c:f>'Performance Report'!$N$2:$N$732</c:f>
              <c:numCache>
                <c:formatCode>_-[$$-409]* #,##0.00_ ;_-[$$-409]* \-#,##0.00\ ;_-[$$-409]* "-"??_ ;_-@_ </c:formatCode>
                <c:ptCount val="731"/>
                <c:pt idx="0">
                  <c:v>4400.0070000000005</c:v>
                </c:pt>
                <c:pt idx="1">
                  <c:v>4275.8205000000007</c:v>
                </c:pt>
                <c:pt idx="2">
                  <c:v>4312.1610000000001</c:v>
                </c:pt>
                <c:pt idx="3">
                  <c:v>4393.1710000000003</c:v>
                </c:pt>
                <c:pt idx="4">
                  <c:v>4321.6040000000003</c:v>
                </c:pt>
                <c:pt idx="5">
                  <c:v>4408.6085000000003</c:v>
                </c:pt>
                <c:pt idx="6">
                  <c:v>4512.0005000000001</c:v>
                </c:pt>
                <c:pt idx="7">
                  <c:v>4513.4210000000003</c:v>
                </c:pt>
                <c:pt idx="8">
                  <c:v>4625.6690000000008</c:v>
                </c:pt>
                <c:pt idx="9">
                  <c:v>4600.7685000000001</c:v>
                </c:pt>
                <c:pt idx="10">
                  <c:v>4633.9400000000005</c:v>
                </c:pt>
                <c:pt idx="11">
                  <c:v>4531.7169999999996</c:v>
                </c:pt>
                <c:pt idx="12">
                  <c:v>4519.7655000000004</c:v>
                </c:pt>
                <c:pt idx="13">
                  <c:v>4461.8395</c:v>
                </c:pt>
                <c:pt idx="14">
                  <c:v>4466.5019999999995</c:v>
                </c:pt>
                <c:pt idx="15">
                  <c:v>4603.9030000000002</c:v>
                </c:pt>
                <c:pt idx="16">
                  <c:v>4671.4975000000004</c:v>
                </c:pt>
                <c:pt idx="17">
                  <c:v>4563.8940000000002</c:v>
                </c:pt>
                <c:pt idx="18">
                  <c:v>4314.3005000000003</c:v>
                </c:pt>
                <c:pt idx="19">
                  <c:v>4518</c:v>
                </c:pt>
                <c:pt idx="20">
                  <c:v>4540.1220000000003</c:v>
                </c:pt>
                <c:pt idx="21">
                  <c:v>4544.5349999999999</c:v>
                </c:pt>
                <c:pt idx="22">
                  <c:v>4566.6975000000002</c:v>
                </c:pt>
                <c:pt idx="23">
                  <c:v>4524.201</c:v>
                </c:pt>
                <c:pt idx="24">
                  <c:v>4368.4980000000005</c:v>
                </c:pt>
                <c:pt idx="25">
                  <c:v>4415.0005000000001</c:v>
                </c:pt>
                <c:pt idx="26">
                  <c:v>4341.5</c:v>
                </c:pt>
                <c:pt idx="27">
                  <c:v>4236.9870000000001</c:v>
                </c:pt>
                <c:pt idx="28">
                  <c:v>4256.4714999999997</c:v>
                </c:pt>
                <c:pt idx="29">
                  <c:v>4331.8615</c:v>
                </c:pt>
                <c:pt idx="30">
                  <c:v>4577.7480000000005</c:v>
                </c:pt>
                <c:pt idx="31">
                  <c:v>4648.0415000000003</c:v>
                </c:pt>
                <c:pt idx="32">
                  <c:v>4610.7570000000005</c:v>
                </c:pt>
                <c:pt idx="33">
                  <c:v>4713.0720000000001</c:v>
                </c:pt>
                <c:pt idx="34">
                  <c:v>4779.8120000000008</c:v>
                </c:pt>
                <c:pt idx="35">
                  <c:v>4729.7</c:v>
                </c:pt>
                <c:pt idx="36">
                  <c:v>4984.6010000000006</c:v>
                </c:pt>
                <c:pt idx="37">
                  <c:v>5082.7184999999999</c:v>
                </c:pt>
                <c:pt idx="38">
                  <c:v>5152.9495000000006</c:v>
                </c:pt>
                <c:pt idx="39">
                  <c:v>5300.5565000000006</c:v>
                </c:pt>
                <c:pt idx="40">
                  <c:v>5236.148000000001</c:v>
                </c:pt>
                <c:pt idx="41">
                  <c:v>5115.6470000000008</c:v>
                </c:pt>
                <c:pt idx="42">
                  <c:v>5166.9540000000006</c:v>
                </c:pt>
                <c:pt idx="43">
                  <c:v>5067.3019999999997</c:v>
                </c:pt>
                <c:pt idx="44">
                  <c:v>5194.2580000000007</c:v>
                </c:pt>
                <c:pt idx="45">
                  <c:v>5074.8610000000008</c:v>
                </c:pt>
                <c:pt idx="46">
                  <c:v>5329.152</c:v>
                </c:pt>
                <c:pt idx="47">
                  <c:v>5527.0339999999997</c:v>
                </c:pt>
                <c:pt idx="48">
                  <c:v>5504.9050000000007</c:v>
                </c:pt>
                <c:pt idx="49">
                  <c:v>5480.4004999999997</c:v>
                </c:pt>
                <c:pt idx="50">
                  <c:v>5416.1440000000002</c:v>
                </c:pt>
                <c:pt idx="51">
                  <c:v>5501.0645000000004</c:v>
                </c:pt>
                <c:pt idx="52">
                  <c:v>5644.9225000000006</c:v>
                </c:pt>
                <c:pt idx="53">
                  <c:v>5705.3824999999997</c:v>
                </c:pt>
                <c:pt idx="54">
                  <c:v>5727.97</c:v>
                </c:pt>
                <c:pt idx="55">
                  <c:v>5582.3135000000002</c:v>
                </c:pt>
                <c:pt idx="56">
                  <c:v>5550.2445000000007</c:v>
                </c:pt>
                <c:pt idx="57">
                  <c:v>5503.9089999999997</c:v>
                </c:pt>
                <c:pt idx="58">
                  <c:v>5378.3720000000003</c:v>
                </c:pt>
                <c:pt idx="59">
                  <c:v>5414.8834999999999</c:v>
                </c:pt>
                <c:pt idx="60">
                  <c:v>5526.6045000000004</c:v>
                </c:pt>
                <c:pt idx="61">
                  <c:v>5432.1390000000001</c:v>
                </c:pt>
                <c:pt idx="62">
                  <c:v>5359.2505000000001</c:v>
                </c:pt>
                <c:pt idx="63">
                  <c:v>5321.5839999999998</c:v>
                </c:pt>
                <c:pt idx="64">
                  <c:v>5409.7139999999999</c:v>
                </c:pt>
                <c:pt idx="65">
                  <c:v>5538.1640000000007</c:v>
                </c:pt>
                <c:pt idx="66">
                  <c:v>5651.4070000000002</c:v>
                </c:pt>
                <c:pt idx="67">
                  <c:v>5758.3</c:v>
                </c:pt>
                <c:pt idx="68">
                  <c:v>5747.9400000000005</c:v>
                </c:pt>
                <c:pt idx="69">
                  <c:v>5532.22</c:v>
                </c:pt>
                <c:pt idx="70">
                  <c:v>5638.7250000000004</c:v>
                </c:pt>
                <c:pt idx="71">
                  <c:v>6083.12</c:v>
                </c:pt>
                <c:pt idx="72">
                  <c:v>6165.3</c:v>
                </c:pt>
                <c:pt idx="73">
                  <c:v>6066.6475</c:v>
                </c:pt>
                <c:pt idx="74">
                  <c:v>6232.9269999999997</c:v>
                </c:pt>
                <c:pt idx="75">
                  <c:v>6174.1154999999999</c:v>
                </c:pt>
                <c:pt idx="76">
                  <c:v>6119.55</c:v>
                </c:pt>
                <c:pt idx="77">
                  <c:v>6111.6</c:v>
                </c:pt>
                <c:pt idx="78">
                  <c:v>6026.4675000000007</c:v>
                </c:pt>
                <c:pt idx="79">
                  <c:v>5929.7495000000008</c:v>
                </c:pt>
                <c:pt idx="80">
                  <c:v>5702.4465</c:v>
                </c:pt>
                <c:pt idx="81">
                  <c:v>5715.5980000000009</c:v>
                </c:pt>
                <c:pt idx="82">
                  <c:v>5608.1975000000002</c:v>
                </c:pt>
                <c:pt idx="83">
                  <c:v>5481.7925000000005</c:v>
                </c:pt>
                <c:pt idx="84">
                  <c:v>5482.1730000000007</c:v>
                </c:pt>
                <c:pt idx="85">
                  <c:v>5449.7245000000003</c:v>
                </c:pt>
                <c:pt idx="86">
                  <c:v>5665.35</c:v>
                </c:pt>
                <c:pt idx="87">
                  <c:v>5599.9400000000005</c:v>
                </c:pt>
                <c:pt idx="88">
                  <c:v>5632.549500000001</c:v>
                </c:pt>
                <c:pt idx="89">
                  <c:v>5761.6144999999997</c:v>
                </c:pt>
                <c:pt idx="90">
                  <c:v>5784.281500000001</c:v>
                </c:pt>
                <c:pt idx="91">
                  <c:v>5781.6190000000006</c:v>
                </c:pt>
                <c:pt idx="92">
                  <c:v>5853.6765000000005</c:v>
                </c:pt>
                <c:pt idx="93">
                  <c:v>5822.3795</c:v>
                </c:pt>
                <c:pt idx="94">
                  <c:v>5839.4480000000003</c:v>
                </c:pt>
                <c:pt idx="95">
                  <c:v>5767.4855000000007</c:v>
                </c:pt>
                <c:pt idx="96">
                  <c:v>5763.4004999999997</c:v>
                </c:pt>
                <c:pt idx="97">
                  <c:v>5795.9144999999999</c:v>
                </c:pt>
                <c:pt idx="98">
                  <c:v>5801.4710000000005</c:v>
                </c:pt>
                <c:pt idx="99">
                  <c:v>5774.1345000000001</c:v>
                </c:pt>
                <c:pt idx="100">
                  <c:v>5698</c:v>
                </c:pt>
                <c:pt idx="101">
                  <c:v>5577.3195000000005</c:v>
                </c:pt>
                <c:pt idx="102">
                  <c:v>5603.2615000000005</c:v>
                </c:pt>
                <c:pt idx="103">
                  <c:v>5556.8670000000002</c:v>
                </c:pt>
                <c:pt idx="104">
                  <c:v>5509.3985000000002</c:v>
                </c:pt>
                <c:pt idx="105">
                  <c:v>5532.9995000000008</c:v>
                </c:pt>
                <c:pt idx="106">
                  <c:v>5536.5434999999998</c:v>
                </c:pt>
                <c:pt idx="107">
                  <c:v>5585.2855000000009</c:v>
                </c:pt>
                <c:pt idx="108">
                  <c:v>5562.0005000000001</c:v>
                </c:pt>
                <c:pt idx="109">
                  <c:v>5461.8710000000001</c:v>
                </c:pt>
                <c:pt idx="110">
                  <c:v>5412.317500000001</c:v>
                </c:pt>
                <c:pt idx="111">
                  <c:v>5440.8165000000008</c:v>
                </c:pt>
                <c:pt idx="112">
                  <c:v>5418.87</c:v>
                </c:pt>
                <c:pt idx="113">
                  <c:v>5628.3450000000003</c:v>
                </c:pt>
                <c:pt idx="114">
                  <c:v>5563.1005000000005</c:v>
                </c:pt>
                <c:pt idx="115">
                  <c:v>5588.1610000000001</c:v>
                </c:pt>
                <c:pt idx="116">
                  <c:v>5505.5990000000002</c:v>
                </c:pt>
                <c:pt idx="117">
                  <c:v>5674.6795000000002</c:v>
                </c:pt>
                <c:pt idx="118">
                  <c:v>5771.9025000000001</c:v>
                </c:pt>
                <c:pt idx="119">
                  <c:v>5846.799500000001</c:v>
                </c:pt>
                <c:pt idx="120">
                  <c:v>5625</c:v>
                </c:pt>
                <c:pt idx="121">
                  <c:v>5713.5620000000008</c:v>
                </c:pt>
                <c:pt idx="122">
                  <c:v>5643.6470000000008</c:v>
                </c:pt>
                <c:pt idx="123">
                  <c:v>5811.3525000000009</c:v>
                </c:pt>
                <c:pt idx="124">
                  <c:v>5870.2505000000001</c:v>
                </c:pt>
                <c:pt idx="125">
                  <c:v>5869.0330000000004</c:v>
                </c:pt>
                <c:pt idx="126">
                  <c:v>5867.1025000000009</c:v>
                </c:pt>
                <c:pt idx="127">
                  <c:v>5914.7545</c:v>
                </c:pt>
                <c:pt idx="128">
                  <c:v>6165.3215</c:v>
                </c:pt>
                <c:pt idx="129">
                  <c:v>6006.7040000000006</c:v>
                </c:pt>
                <c:pt idx="130">
                  <c:v>5934.3</c:v>
                </c:pt>
                <c:pt idx="131">
                  <c:v>5964.7004999999999</c:v>
                </c:pt>
                <c:pt idx="132">
                  <c:v>5823.1125000000002</c:v>
                </c:pt>
                <c:pt idx="133">
                  <c:v>5833.737000000001</c:v>
                </c:pt>
                <c:pt idx="134">
                  <c:v>5873.6005000000005</c:v>
                </c:pt>
                <c:pt idx="135">
                  <c:v>5749.6135000000004</c:v>
                </c:pt>
                <c:pt idx="136">
                  <c:v>5706.4875000000002</c:v>
                </c:pt>
                <c:pt idx="137">
                  <c:v>5752.7515000000003</c:v>
                </c:pt>
                <c:pt idx="138">
                  <c:v>5710.4400000000005</c:v>
                </c:pt>
                <c:pt idx="139">
                  <c:v>5627.317500000001</c:v>
                </c:pt>
                <c:pt idx="140">
                  <c:v>5664.8964999999998</c:v>
                </c:pt>
                <c:pt idx="141">
                  <c:v>5788.2040000000006</c:v>
                </c:pt>
                <c:pt idx="142">
                  <c:v>5892.0150000000003</c:v>
                </c:pt>
                <c:pt idx="143">
                  <c:v>5897.5380000000005</c:v>
                </c:pt>
                <c:pt idx="144">
                  <c:v>5903.1160000000009</c:v>
                </c:pt>
                <c:pt idx="145">
                  <c:v>5970.7775000000001</c:v>
                </c:pt>
                <c:pt idx="146">
                  <c:v>5895.9995000000008</c:v>
                </c:pt>
                <c:pt idx="147">
                  <c:v>5880.7155000000002</c:v>
                </c:pt>
                <c:pt idx="148">
                  <c:v>5917.049500000001</c:v>
                </c:pt>
                <c:pt idx="149">
                  <c:v>5937.799500000001</c:v>
                </c:pt>
                <c:pt idx="150">
                  <c:v>5997.7210000000005</c:v>
                </c:pt>
                <c:pt idx="151">
                  <c:v>5869.018</c:v>
                </c:pt>
                <c:pt idx="152">
                  <c:v>5863.2560000000003</c:v>
                </c:pt>
                <c:pt idx="153">
                  <c:v>5892</c:v>
                </c:pt>
                <c:pt idx="154">
                  <c:v>5896.2420000000002</c:v>
                </c:pt>
                <c:pt idx="155">
                  <c:v>5958.8780000000006</c:v>
                </c:pt>
                <c:pt idx="156">
                  <c:v>5931.5214999999998</c:v>
                </c:pt>
                <c:pt idx="157">
                  <c:v>5887.9045000000006</c:v>
                </c:pt>
                <c:pt idx="158">
                  <c:v>5992.0590000000002</c:v>
                </c:pt>
                <c:pt idx="159">
                  <c:v>5954.3320000000003</c:v>
                </c:pt>
                <c:pt idx="160">
                  <c:v>5871</c:v>
                </c:pt>
                <c:pt idx="161">
                  <c:v>5876.3830000000007</c:v>
                </c:pt>
                <c:pt idx="162">
                  <c:v>5800.5</c:v>
                </c:pt>
                <c:pt idx="163">
                  <c:v>5561.6995000000006</c:v>
                </c:pt>
                <c:pt idx="164">
                  <c:v>5446.1490000000003</c:v>
                </c:pt>
                <c:pt idx="165">
                  <c:v>5413.1470000000008</c:v>
                </c:pt>
                <c:pt idx="166">
                  <c:v>5460.192</c:v>
                </c:pt>
                <c:pt idx="167">
                  <c:v>5409.9059999999999</c:v>
                </c:pt>
                <c:pt idx="168">
                  <c:v>5399.2120000000004</c:v>
                </c:pt>
                <c:pt idx="169">
                  <c:v>5479.2390000000005</c:v>
                </c:pt>
                <c:pt idx="170">
                  <c:v>5442.4800000000005</c:v>
                </c:pt>
                <c:pt idx="171">
                  <c:v>5284.0570000000007</c:v>
                </c:pt>
                <c:pt idx="172">
                  <c:v>5357.3250000000007</c:v>
                </c:pt>
                <c:pt idx="173">
                  <c:v>5417.8464999999997</c:v>
                </c:pt>
                <c:pt idx="174">
                  <c:v>5364.8395</c:v>
                </c:pt>
                <c:pt idx="175">
                  <c:v>5352.3795</c:v>
                </c:pt>
                <c:pt idx="176">
                  <c:v>5347.3530000000001</c:v>
                </c:pt>
                <c:pt idx="177">
                  <c:v>5367.0290000000005</c:v>
                </c:pt>
                <c:pt idx="178">
                  <c:v>5304.1500000000005</c:v>
                </c:pt>
                <c:pt idx="179">
                  <c:v>5266.6965</c:v>
                </c:pt>
                <c:pt idx="180">
                  <c:v>5048.1935000000003</c:v>
                </c:pt>
                <c:pt idx="181">
                  <c:v>5106.0005000000001</c:v>
                </c:pt>
                <c:pt idx="182">
                  <c:v>5164.8995000000004</c:v>
                </c:pt>
                <c:pt idx="183">
                  <c:v>5232.9295000000002</c:v>
                </c:pt>
                <c:pt idx="184">
                  <c:v>5244.3389999999999</c:v>
                </c:pt>
                <c:pt idx="185">
                  <c:v>5227.5585000000001</c:v>
                </c:pt>
                <c:pt idx="186">
                  <c:v>5339.7265000000007</c:v>
                </c:pt>
                <c:pt idx="187">
                  <c:v>5279.7004999999999</c:v>
                </c:pt>
                <c:pt idx="188">
                  <c:v>5270.732</c:v>
                </c:pt>
                <c:pt idx="189">
                  <c:v>5303.3294999999998</c:v>
                </c:pt>
                <c:pt idx="190">
                  <c:v>5283.5865000000003</c:v>
                </c:pt>
                <c:pt idx="191">
                  <c:v>5432.2560000000003</c:v>
                </c:pt>
                <c:pt idx="192">
                  <c:v>5513.7195000000002</c:v>
                </c:pt>
                <c:pt idx="193">
                  <c:v>5513.1510000000007</c:v>
                </c:pt>
                <c:pt idx="194">
                  <c:v>5286.7000000000007</c:v>
                </c:pt>
                <c:pt idx="195">
                  <c:v>5277.6075000000001</c:v>
                </c:pt>
                <c:pt idx="196">
                  <c:v>5214.4220000000005</c:v>
                </c:pt>
                <c:pt idx="197">
                  <c:v>5075.4340000000002</c:v>
                </c:pt>
                <c:pt idx="198">
                  <c:v>5234.8430000000008</c:v>
                </c:pt>
                <c:pt idx="199">
                  <c:v>5268.8445000000002</c:v>
                </c:pt>
                <c:pt idx="200">
                  <c:v>5292.8995000000004</c:v>
                </c:pt>
                <c:pt idx="201">
                  <c:v>5282.1464999999998</c:v>
                </c:pt>
                <c:pt idx="202">
                  <c:v>5229.594000000001</c:v>
                </c:pt>
                <c:pt idx="203">
                  <c:v>5199.2740000000003</c:v>
                </c:pt>
                <c:pt idx="204">
                  <c:v>5279.4875000000002</c:v>
                </c:pt>
                <c:pt idx="205">
                  <c:v>5389.0889999999999</c:v>
                </c:pt>
                <c:pt idx="206">
                  <c:v>5446.9085000000005</c:v>
                </c:pt>
                <c:pt idx="207">
                  <c:v>5471.7394999999997</c:v>
                </c:pt>
                <c:pt idx="208">
                  <c:v>5450.2095000000008</c:v>
                </c:pt>
                <c:pt idx="209">
                  <c:v>5388.0955000000004</c:v>
                </c:pt>
                <c:pt idx="210">
                  <c:v>5365.9150000000009</c:v>
                </c:pt>
                <c:pt idx="211">
                  <c:v>5584.8105000000005</c:v>
                </c:pt>
                <c:pt idx="212">
                  <c:v>5482.1995000000006</c:v>
                </c:pt>
                <c:pt idx="213">
                  <c:v>5342.4995000000008</c:v>
                </c:pt>
                <c:pt idx="214">
                  <c:v>5278.6870000000008</c:v>
                </c:pt>
                <c:pt idx="215">
                  <c:v>5322.7129999999997</c:v>
                </c:pt>
                <c:pt idx="216">
                  <c:v>5156.3325000000004</c:v>
                </c:pt>
                <c:pt idx="217">
                  <c:v>5173.1949999999997</c:v>
                </c:pt>
                <c:pt idx="218">
                  <c:v>5188.1855000000005</c:v>
                </c:pt>
                <c:pt idx="219">
                  <c:v>5175.3910000000005</c:v>
                </c:pt>
                <c:pt idx="220">
                  <c:v>5205.1860000000006</c:v>
                </c:pt>
                <c:pt idx="221">
                  <c:v>5139.5660000000007</c:v>
                </c:pt>
                <c:pt idx="222">
                  <c:v>5205.9000000000005</c:v>
                </c:pt>
                <c:pt idx="223">
                  <c:v>5240.4765000000007</c:v>
                </c:pt>
                <c:pt idx="224">
                  <c:v>5148.5995000000003</c:v>
                </c:pt>
                <c:pt idx="225">
                  <c:v>5163.0800000000008</c:v>
                </c:pt>
                <c:pt idx="226">
                  <c:v>4851.5250000000005</c:v>
                </c:pt>
                <c:pt idx="227">
                  <c:v>4841.701</c:v>
                </c:pt>
                <c:pt idx="228">
                  <c:v>4736.6840000000002</c:v>
                </c:pt>
                <c:pt idx="229">
                  <c:v>4713.8810000000003</c:v>
                </c:pt>
                <c:pt idx="230">
                  <c:v>4792.8209999999999</c:v>
                </c:pt>
                <c:pt idx="231">
                  <c:v>4844.357</c:v>
                </c:pt>
                <c:pt idx="232">
                  <c:v>4824.4955</c:v>
                </c:pt>
                <c:pt idx="233">
                  <c:v>4708.6000000000004</c:v>
                </c:pt>
                <c:pt idx="234">
                  <c:v>4712.8410000000003</c:v>
                </c:pt>
                <c:pt idx="235">
                  <c:v>4750.5590000000002</c:v>
                </c:pt>
                <c:pt idx="236">
                  <c:v>4687.4650000000001</c:v>
                </c:pt>
                <c:pt idx="237">
                  <c:v>4731.4000000000005</c:v>
                </c:pt>
                <c:pt idx="238">
                  <c:v>4731.9340000000002</c:v>
                </c:pt>
                <c:pt idx="239">
                  <c:v>4699.0235000000002</c:v>
                </c:pt>
                <c:pt idx="240">
                  <c:v>4684.5540000000001</c:v>
                </c:pt>
                <c:pt idx="241">
                  <c:v>4672.1495000000004</c:v>
                </c:pt>
                <c:pt idx="242">
                  <c:v>4375.8114999999998</c:v>
                </c:pt>
                <c:pt idx="243">
                  <c:v>4258.9620000000004</c:v>
                </c:pt>
                <c:pt idx="244">
                  <c:v>4253.8504999999996</c:v>
                </c:pt>
                <c:pt idx="245">
                  <c:v>4223.7345000000005</c:v>
                </c:pt>
                <c:pt idx="246">
                  <c:v>4247.3955000000005</c:v>
                </c:pt>
                <c:pt idx="247">
                  <c:v>4201.5190000000002</c:v>
                </c:pt>
                <c:pt idx="248">
                  <c:v>4182.1995000000006</c:v>
                </c:pt>
                <c:pt idx="249">
                  <c:v>4229.5790000000006</c:v>
                </c:pt>
                <c:pt idx="250">
                  <c:v>4188</c:v>
                </c:pt>
                <c:pt idx="251">
                  <c:v>4263.8450000000003</c:v>
                </c:pt>
                <c:pt idx="252">
                  <c:v>4171.192</c:v>
                </c:pt>
                <c:pt idx="253">
                  <c:v>3980.3650000000002</c:v>
                </c:pt>
                <c:pt idx="254">
                  <c:v>4130.7610000000004</c:v>
                </c:pt>
                <c:pt idx="255">
                  <c:v>3816.1210000000001</c:v>
                </c:pt>
                <c:pt idx="256">
                  <c:v>3958.1620000000003</c:v>
                </c:pt>
                <c:pt idx="257">
                  <c:v>3921.5</c:v>
                </c:pt>
                <c:pt idx="258">
                  <c:v>4176.8995000000004</c:v>
                </c:pt>
                <c:pt idx="259">
                  <c:v>4194.4934999999996</c:v>
                </c:pt>
                <c:pt idx="260">
                  <c:v>4160.6544999999996</c:v>
                </c:pt>
                <c:pt idx="261">
                  <c:v>4125.8144999999995</c:v>
                </c:pt>
                <c:pt idx="262">
                  <c:v>4257.9170000000004</c:v>
                </c:pt>
                <c:pt idx="263">
                  <c:v>4127.5005000000001</c:v>
                </c:pt>
                <c:pt idx="264">
                  <c:v>4119.4995000000008</c:v>
                </c:pt>
                <c:pt idx="265">
                  <c:v>4132.4269999999997</c:v>
                </c:pt>
                <c:pt idx="266">
                  <c:v>4221.2190000000001</c:v>
                </c:pt>
                <c:pt idx="267">
                  <c:v>4361.6004999999996</c:v>
                </c:pt>
                <c:pt idx="268">
                  <c:v>4345.4584999999997</c:v>
                </c:pt>
                <c:pt idx="269">
                  <c:v>4369.6435000000001</c:v>
                </c:pt>
                <c:pt idx="270">
                  <c:v>4374.9080000000004</c:v>
                </c:pt>
                <c:pt idx="271">
                  <c:v>4304.125</c:v>
                </c:pt>
                <c:pt idx="272">
                  <c:v>4192.0294999999996</c:v>
                </c:pt>
                <c:pt idx="273">
                  <c:v>4204.4394999999995</c:v>
                </c:pt>
                <c:pt idx="274">
                  <c:v>4211.1695</c:v>
                </c:pt>
                <c:pt idx="275">
                  <c:v>4342.2970000000005</c:v>
                </c:pt>
                <c:pt idx="276">
                  <c:v>4135.7515000000003</c:v>
                </c:pt>
                <c:pt idx="277">
                  <c:v>4200.5015000000003</c:v>
                </c:pt>
                <c:pt idx="278">
                  <c:v>4128.7264999999998</c:v>
                </c:pt>
                <c:pt idx="279">
                  <c:v>4216.9220000000005</c:v>
                </c:pt>
                <c:pt idx="280">
                  <c:v>4199.16</c:v>
                </c:pt>
                <c:pt idx="281">
                  <c:v>4055.7890000000002</c:v>
                </c:pt>
                <c:pt idx="282">
                  <c:v>4184.0060000000003</c:v>
                </c:pt>
                <c:pt idx="283">
                  <c:v>4146.6495000000004</c:v>
                </c:pt>
                <c:pt idx="284">
                  <c:v>3929.7930000000001</c:v>
                </c:pt>
                <c:pt idx="285">
                  <c:v>4036.7184999999999</c:v>
                </c:pt>
                <c:pt idx="286">
                  <c:v>4311.1225000000004</c:v>
                </c:pt>
                <c:pt idx="287">
                  <c:v>4340.0875000000005</c:v>
                </c:pt>
                <c:pt idx="288">
                  <c:v>4496.5945000000002</c:v>
                </c:pt>
                <c:pt idx="289">
                  <c:v>4530.3005000000003</c:v>
                </c:pt>
                <c:pt idx="290">
                  <c:v>4364.0990000000002</c:v>
                </c:pt>
                <c:pt idx="291">
                  <c:v>4311.0304999999998</c:v>
                </c:pt>
                <c:pt idx="292">
                  <c:v>4713.5</c:v>
                </c:pt>
                <c:pt idx="293">
                  <c:v>4303.2264999999998</c:v>
                </c:pt>
                <c:pt idx="294">
                  <c:v>4217.4970000000003</c:v>
                </c:pt>
                <c:pt idx="295">
                  <c:v>4235.4290000000001</c:v>
                </c:pt>
                <c:pt idx="296">
                  <c:v>4212.5045</c:v>
                </c:pt>
                <c:pt idx="297">
                  <c:v>4434.0199999999995</c:v>
                </c:pt>
                <c:pt idx="298">
                  <c:v>4577.6440000000002</c:v>
                </c:pt>
                <c:pt idx="299">
                  <c:v>4812.9000000000005</c:v>
                </c:pt>
                <c:pt idx="300">
                  <c:v>4827.5505000000003</c:v>
                </c:pt>
                <c:pt idx="301">
                  <c:v>4809.0990000000002</c:v>
                </c:pt>
                <c:pt idx="302">
                  <c:v>4915.25</c:v>
                </c:pt>
                <c:pt idx="303">
                  <c:v>4832.2184999999999</c:v>
                </c:pt>
                <c:pt idx="304">
                  <c:v>4783.5870000000004</c:v>
                </c:pt>
                <c:pt idx="305">
                  <c:v>4789</c:v>
                </c:pt>
                <c:pt idx="306">
                  <c:v>4805.9059999999999</c:v>
                </c:pt>
                <c:pt idx="307">
                  <c:v>4878.4830000000002</c:v>
                </c:pt>
                <c:pt idx="308">
                  <c:v>4875.0240000000003</c:v>
                </c:pt>
                <c:pt idx="309">
                  <c:v>4830.4070000000002</c:v>
                </c:pt>
                <c:pt idx="310">
                  <c:v>4893.4995000000008</c:v>
                </c:pt>
                <c:pt idx="311">
                  <c:v>4788.91</c:v>
                </c:pt>
                <c:pt idx="312">
                  <c:v>4871.5410000000002</c:v>
                </c:pt>
                <c:pt idx="313">
                  <c:v>4823.1374999999998</c:v>
                </c:pt>
                <c:pt idx="314">
                  <c:v>4822.2370000000001</c:v>
                </c:pt>
                <c:pt idx="315">
                  <c:v>4825.34</c:v>
                </c:pt>
                <c:pt idx="316">
                  <c:v>4827.7175000000007</c:v>
                </c:pt>
                <c:pt idx="317">
                  <c:v>4830.6215000000002</c:v>
                </c:pt>
                <c:pt idx="318">
                  <c:v>4888.1565000000001</c:v>
                </c:pt>
                <c:pt idx="319">
                  <c:v>5066.4260000000004</c:v>
                </c:pt>
                <c:pt idx="320">
                  <c:v>4885.0294999999996</c:v>
                </c:pt>
                <c:pt idx="321">
                  <c:v>5031.7825000000003</c:v>
                </c:pt>
                <c:pt idx="322">
                  <c:v>5121.4780000000001</c:v>
                </c:pt>
                <c:pt idx="323">
                  <c:v>5236.1470000000008</c:v>
                </c:pt>
                <c:pt idx="324">
                  <c:v>5186.6620000000003</c:v>
                </c:pt>
                <c:pt idx="325">
                  <c:v>5066.7760000000007</c:v>
                </c:pt>
                <c:pt idx="326">
                  <c:v>5104.1415000000006</c:v>
                </c:pt>
                <c:pt idx="327">
                  <c:v>5131</c:v>
                </c:pt>
                <c:pt idx="328">
                  <c:v>5237.3425000000007</c:v>
                </c:pt>
                <c:pt idx="329">
                  <c:v>5243.5250000000005</c:v>
                </c:pt>
                <c:pt idx="330">
                  <c:v>5195.5169999999998</c:v>
                </c:pt>
                <c:pt idx="331">
                  <c:v>5185.3330000000005</c:v>
                </c:pt>
                <c:pt idx="332">
                  <c:v>5307.1910000000007</c:v>
                </c:pt>
                <c:pt idx="333">
                  <c:v>5113.0005000000001</c:v>
                </c:pt>
                <c:pt idx="334">
                  <c:v>5066.5785000000005</c:v>
                </c:pt>
                <c:pt idx="335">
                  <c:v>5227.8114999999998</c:v>
                </c:pt>
                <c:pt idx="336">
                  <c:v>5203.8739999999998</c:v>
                </c:pt>
                <c:pt idx="337">
                  <c:v>4999.3650000000007</c:v>
                </c:pt>
                <c:pt idx="338">
                  <c:v>5024.8675000000003</c:v>
                </c:pt>
                <c:pt idx="339">
                  <c:v>4828.0430000000006</c:v>
                </c:pt>
                <c:pt idx="340">
                  <c:v>4726.8050000000003</c:v>
                </c:pt>
                <c:pt idx="341">
                  <c:v>4727.2529999999997</c:v>
                </c:pt>
                <c:pt idx="342">
                  <c:v>4729.9995000000008</c:v>
                </c:pt>
                <c:pt idx="343">
                  <c:v>4736.3055000000004</c:v>
                </c:pt>
                <c:pt idx="344">
                  <c:v>4627.6245000000008</c:v>
                </c:pt>
                <c:pt idx="345">
                  <c:v>4753.0304999999998</c:v>
                </c:pt>
                <c:pt idx="346">
                  <c:v>4847.7305000000006</c:v>
                </c:pt>
                <c:pt idx="347">
                  <c:v>5111.7800000000007</c:v>
                </c:pt>
                <c:pt idx="348">
                  <c:v>4918.1805000000004</c:v>
                </c:pt>
                <c:pt idx="349">
                  <c:v>4911.0250000000005</c:v>
                </c:pt>
                <c:pt idx="350">
                  <c:v>4908.7089999999998</c:v>
                </c:pt>
                <c:pt idx="351">
                  <c:v>4849.2394999999997</c:v>
                </c:pt>
                <c:pt idx="352">
                  <c:v>4729.5895</c:v>
                </c:pt>
                <c:pt idx="353">
                  <c:v>4678.8</c:v>
                </c:pt>
                <c:pt idx="354">
                  <c:v>4639.6025</c:v>
                </c:pt>
                <c:pt idx="355">
                  <c:v>4686.91</c:v>
                </c:pt>
                <c:pt idx="356">
                  <c:v>4765</c:v>
                </c:pt>
                <c:pt idx="357">
                  <c:v>4714.9515000000001</c:v>
                </c:pt>
                <c:pt idx="358">
                  <c:v>4789.5800000000008</c:v>
                </c:pt>
                <c:pt idx="359">
                  <c:v>4971.4800000000005</c:v>
                </c:pt>
                <c:pt idx="360">
                  <c:v>4933.1790000000001</c:v>
                </c:pt>
                <c:pt idx="361">
                  <c:v>4744.0735000000004</c:v>
                </c:pt>
                <c:pt idx="362">
                  <c:v>4759.3135000000002</c:v>
                </c:pt>
                <c:pt idx="363">
                  <c:v>4864.5995000000003</c:v>
                </c:pt>
                <c:pt idx="364">
                  <c:v>4890.2719999999999</c:v>
                </c:pt>
                <c:pt idx="365">
                  <c:v>4873.0929999999998</c:v>
                </c:pt>
                <c:pt idx="366">
                  <c:v>5010.2004999999999</c:v>
                </c:pt>
                <c:pt idx="367">
                  <c:v>5306.6870000000008</c:v>
                </c:pt>
                <c:pt idx="368">
                  <c:v>5302.9330000000009</c:v>
                </c:pt>
                <c:pt idx="369">
                  <c:v>5223.1995000000006</c:v>
                </c:pt>
                <c:pt idx="370">
                  <c:v>5071</c:v>
                </c:pt>
                <c:pt idx="371">
                  <c:v>5071.2125000000005</c:v>
                </c:pt>
                <c:pt idx="372">
                  <c:v>5000.2145</c:v>
                </c:pt>
                <c:pt idx="373">
                  <c:v>5056.25</c:v>
                </c:pt>
                <c:pt idx="374">
                  <c:v>4829.6500000000005</c:v>
                </c:pt>
                <c:pt idx="375">
                  <c:v>4863.8235000000004</c:v>
                </c:pt>
                <c:pt idx="376">
                  <c:v>5055.4795000000004</c:v>
                </c:pt>
                <c:pt idx="377">
                  <c:v>4991.5995000000003</c:v>
                </c:pt>
                <c:pt idx="378">
                  <c:v>4987.0420000000004</c:v>
                </c:pt>
                <c:pt idx="379">
                  <c:v>4847.2815000000001</c:v>
                </c:pt>
                <c:pt idx="380">
                  <c:v>4929.3660000000009</c:v>
                </c:pt>
                <c:pt idx="381">
                  <c:v>4792.4845000000005</c:v>
                </c:pt>
                <c:pt idx="382">
                  <c:v>4792.0309999999999</c:v>
                </c:pt>
                <c:pt idx="383">
                  <c:v>4859.259</c:v>
                </c:pt>
                <c:pt idx="384">
                  <c:v>4820.3995000000004</c:v>
                </c:pt>
                <c:pt idx="385">
                  <c:v>4873</c:v>
                </c:pt>
                <c:pt idx="386">
                  <c:v>4782.1989999999996</c:v>
                </c:pt>
                <c:pt idx="387">
                  <c:v>4793.1554999999998</c:v>
                </c:pt>
                <c:pt idx="388">
                  <c:v>4598.2580000000007</c:v>
                </c:pt>
                <c:pt idx="389">
                  <c:v>4650.5005000000001</c:v>
                </c:pt>
                <c:pt idx="390">
                  <c:v>4895.0019999999995</c:v>
                </c:pt>
                <c:pt idx="391">
                  <c:v>4883.62</c:v>
                </c:pt>
                <c:pt idx="392">
                  <c:v>4944.6000000000004</c:v>
                </c:pt>
                <c:pt idx="393">
                  <c:v>4915.8559999999998</c:v>
                </c:pt>
                <c:pt idx="394">
                  <c:v>4714.3280000000004</c:v>
                </c:pt>
                <c:pt idx="395">
                  <c:v>4615.5394999999999</c:v>
                </c:pt>
                <c:pt idx="396">
                  <c:v>4523.2040000000006</c:v>
                </c:pt>
                <c:pt idx="397">
                  <c:v>4492.7995000000001</c:v>
                </c:pt>
                <c:pt idx="398">
                  <c:v>4529.3460000000005</c:v>
                </c:pt>
                <c:pt idx="399">
                  <c:v>4551.6035000000002</c:v>
                </c:pt>
                <c:pt idx="400">
                  <c:v>4366.2794999999996</c:v>
                </c:pt>
                <c:pt idx="401">
                  <c:v>4518.76</c:v>
                </c:pt>
                <c:pt idx="402">
                  <c:v>4397.6004999999996</c:v>
                </c:pt>
                <c:pt idx="403">
                  <c:v>4432.3995000000004</c:v>
                </c:pt>
                <c:pt idx="404">
                  <c:v>4018.5005000000001</c:v>
                </c:pt>
                <c:pt idx="405">
                  <c:v>3833.8730000000005</c:v>
                </c:pt>
                <c:pt idx="406">
                  <c:v>3825.489</c:v>
                </c:pt>
                <c:pt idx="407">
                  <c:v>3792.8945000000003</c:v>
                </c:pt>
                <c:pt idx="408">
                  <c:v>3778.5995000000003</c:v>
                </c:pt>
                <c:pt idx="409">
                  <c:v>3468.6005</c:v>
                </c:pt>
                <c:pt idx="410">
                  <c:v>3392.5005000000001</c:v>
                </c:pt>
                <c:pt idx="411">
                  <c:v>3438.7995000000005</c:v>
                </c:pt>
                <c:pt idx="412">
                  <c:v>3468.7370000000005</c:v>
                </c:pt>
                <c:pt idx="413">
                  <c:v>3474.8004999999998</c:v>
                </c:pt>
                <c:pt idx="414">
                  <c:v>3514.6005</c:v>
                </c:pt>
                <c:pt idx="415">
                  <c:v>3617.2370000000005</c:v>
                </c:pt>
                <c:pt idx="416">
                  <c:v>3636.8209999999999</c:v>
                </c:pt>
                <c:pt idx="417">
                  <c:v>3498.1105000000007</c:v>
                </c:pt>
                <c:pt idx="418">
                  <c:v>3401.085</c:v>
                </c:pt>
                <c:pt idx="419">
                  <c:v>3354.6379999999999</c:v>
                </c:pt>
                <c:pt idx="420">
                  <c:v>3334.9165000000003</c:v>
                </c:pt>
                <c:pt idx="421">
                  <c:v>3409.9140000000002</c:v>
                </c:pt>
                <c:pt idx="422">
                  <c:v>3333.4324999999999</c:v>
                </c:pt>
                <c:pt idx="423">
                  <c:v>3371.3</c:v>
                </c:pt>
                <c:pt idx="424">
                  <c:v>3368.875</c:v>
                </c:pt>
                <c:pt idx="425">
                  <c:v>3451.5995000000003</c:v>
                </c:pt>
                <c:pt idx="426">
                  <c:v>3418.9</c:v>
                </c:pt>
                <c:pt idx="427">
                  <c:v>3421.4</c:v>
                </c:pt>
                <c:pt idx="428">
                  <c:v>3371.0889999999999</c:v>
                </c:pt>
                <c:pt idx="429">
                  <c:v>3381.0005000000001</c:v>
                </c:pt>
                <c:pt idx="430">
                  <c:v>3353.7070000000003</c:v>
                </c:pt>
                <c:pt idx="431">
                  <c:v>3304.1995000000006</c:v>
                </c:pt>
                <c:pt idx="432">
                  <c:v>3143.5010000000002</c:v>
                </c:pt>
                <c:pt idx="433">
                  <c:v>3160.3110000000001</c:v>
                </c:pt>
                <c:pt idx="434">
                  <c:v>3127</c:v>
                </c:pt>
                <c:pt idx="435">
                  <c:v>3016.3195000000001</c:v>
                </c:pt>
                <c:pt idx="436">
                  <c:v>3031.8009999999999</c:v>
                </c:pt>
                <c:pt idx="437">
                  <c:v>3108.0245</c:v>
                </c:pt>
                <c:pt idx="438">
                  <c:v>3111.2000000000003</c:v>
                </c:pt>
                <c:pt idx="439">
                  <c:v>3140.9955000000004</c:v>
                </c:pt>
                <c:pt idx="440">
                  <c:v>3102.9</c:v>
                </c:pt>
                <c:pt idx="441">
                  <c:v>3104.3</c:v>
                </c:pt>
                <c:pt idx="442">
                  <c:v>3037.6355000000003</c:v>
                </c:pt>
                <c:pt idx="443">
                  <c:v>3032.4639999999999</c:v>
                </c:pt>
                <c:pt idx="444">
                  <c:v>3040.2890000000002</c:v>
                </c:pt>
                <c:pt idx="445">
                  <c:v>3166.3795</c:v>
                </c:pt>
                <c:pt idx="446">
                  <c:v>3280.1005</c:v>
                </c:pt>
                <c:pt idx="447">
                  <c:v>3292.9</c:v>
                </c:pt>
                <c:pt idx="448">
                  <c:v>3288.4974999999999</c:v>
                </c:pt>
                <c:pt idx="449">
                  <c:v>3258.6995000000002</c:v>
                </c:pt>
                <c:pt idx="450">
                  <c:v>3157.6005000000005</c:v>
                </c:pt>
                <c:pt idx="451">
                  <c:v>3213.1350000000002</c:v>
                </c:pt>
                <c:pt idx="452">
                  <c:v>3166.9994999999999</c:v>
                </c:pt>
                <c:pt idx="453">
                  <c:v>3178.9380000000001</c:v>
                </c:pt>
                <c:pt idx="454">
                  <c:v>3167.4480000000003</c:v>
                </c:pt>
                <c:pt idx="455">
                  <c:v>3160.0525000000002</c:v>
                </c:pt>
                <c:pt idx="456">
                  <c:v>3147.3995</c:v>
                </c:pt>
                <c:pt idx="457">
                  <c:v>3087.9994999999999</c:v>
                </c:pt>
                <c:pt idx="458">
                  <c:v>3015.6995000000002</c:v>
                </c:pt>
                <c:pt idx="459">
                  <c:v>2910.6995000000002</c:v>
                </c:pt>
                <c:pt idx="460">
                  <c:v>2956.6000000000004</c:v>
                </c:pt>
                <c:pt idx="461">
                  <c:v>2999.6514999999999</c:v>
                </c:pt>
                <c:pt idx="462">
                  <c:v>3024.9</c:v>
                </c:pt>
                <c:pt idx="463">
                  <c:v>2906.616</c:v>
                </c:pt>
                <c:pt idx="464">
                  <c:v>2866.9</c:v>
                </c:pt>
                <c:pt idx="465">
                  <c:v>2881.7995000000001</c:v>
                </c:pt>
                <c:pt idx="466">
                  <c:v>2852.1000000000004</c:v>
                </c:pt>
                <c:pt idx="467">
                  <c:v>2743.4974999999999</c:v>
                </c:pt>
                <c:pt idx="468">
                  <c:v>2708.0430000000001</c:v>
                </c:pt>
                <c:pt idx="469">
                  <c:v>2698.1485000000002</c:v>
                </c:pt>
                <c:pt idx="470">
                  <c:v>2809</c:v>
                </c:pt>
                <c:pt idx="471">
                  <c:v>2898.5450000000001</c:v>
                </c:pt>
                <c:pt idx="472">
                  <c:v>2874.3865000000005</c:v>
                </c:pt>
                <c:pt idx="473">
                  <c:v>2956.6064999999999</c:v>
                </c:pt>
                <c:pt idx="474">
                  <c:v>2865.0930000000003</c:v>
                </c:pt>
                <c:pt idx="475">
                  <c:v>2948.6995000000002</c:v>
                </c:pt>
                <c:pt idx="476">
                  <c:v>2956.1995000000002</c:v>
                </c:pt>
                <c:pt idx="477">
                  <c:v>2967.9505000000004</c:v>
                </c:pt>
                <c:pt idx="478">
                  <c:v>2951.7450000000003</c:v>
                </c:pt>
                <c:pt idx="479">
                  <c:v>2970.75</c:v>
                </c:pt>
                <c:pt idx="480">
                  <c:v>3141.7000000000003</c:v>
                </c:pt>
                <c:pt idx="481">
                  <c:v>3211</c:v>
                </c:pt>
                <c:pt idx="482">
                  <c:v>3207.8505000000005</c:v>
                </c:pt>
                <c:pt idx="483">
                  <c:v>3201.8620000000001</c:v>
                </c:pt>
                <c:pt idx="484">
                  <c:v>3018.7919999999999</c:v>
                </c:pt>
                <c:pt idx="485">
                  <c:v>3057.8015</c:v>
                </c:pt>
                <c:pt idx="486">
                  <c:v>2950.6900000000005</c:v>
                </c:pt>
                <c:pt idx="487">
                  <c:v>2971.9250000000002</c:v>
                </c:pt>
                <c:pt idx="488">
                  <c:v>2921.3675000000003</c:v>
                </c:pt>
                <c:pt idx="489">
                  <c:v>2974.5995000000003</c:v>
                </c:pt>
                <c:pt idx="490">
                  <c:v>2943.73</c:v>
                </c:pt>
                <c:pt idx="491">
                  <c:v>2877.0529999999999</c:v>
                </c:pt>
                <c:pt idx="492">
                  <c:v>2934.1695</c:v>
                </c:pt>
                <c:pt idx="493">
                  <c:v>3029.3575000000001</c:v>
                </c:pt>
                <c:pt idx="494">
                  <c:v>2967.3320000000003</c:v>
                </c:pt>
                <c:pt idx="495">
                  <c:v>2935.6295</c:v>
                </c:pt>
                <c:pt idx="496">
                  <c:v>3046.1755000000003</c:v>
                </c:pt>
                <c:pt idx="497">
                  <c:v>3041.8995</c:v>
                </c:pt>
                <c:pt idx="498">
                  <c:v>3084.2995000000001</c:v>
                </c:pt>
                <c:pt idx="499">
                  <c:v>2756.7080000000005</c:v>
                </c:pt>
                <c:pt idx="500">
                  <c:v>2801.1005000000005</c:v>
                </c:pt>
                <c:pt idx="501">
                  <c:v>2700.9405000000002</c:v>
                </c:pt>
                <c:pt idx="502">
                  <c:v>2908.05</c:v>
                </c:pt>
                <c:pt idx="503">
                  <c:v>3034.8995</c:v>
                </c:pt>
                <c:pt idx="504">
                  <c:v>3074.9165000000003</c:v>
                </c:pt>
                <c:pt idx="505">
                  <c:v>3267.701</c:v>
                </c:pt>
                <c:pt idx="506">
                  <c:v>3231.4</c:v>
                </c:pt>
                <c:pt idx="507">
                  <c:v>3309.4</c:v>
                </c:pt>
                <c:pt idx="508">
                  <c:v>3339.2345000000005</c:v>
                </c:pt>
                <c:pt idx="509">
                  <c:v>3412.4940000000006</c:v>
                </c:pt>
                <c:pt idx="510">
                  <c:v>3394.8250000000003</c:v>
                </c:pt>
                <c:pt idx="511">
                  <c:v>3395.3995000000004</c:v>
                </c:pt>
                <c:pt idx="512">
                  <c:v>3289.9974999999999</c:v>
                </c:pt>
                <c:pt idx="513">
                  <c:v>3268.8</c:v>
                </c:pt>
                <c:pt idx="514">
                  <c:v>3296.8004999999998</c:v>
                </c:pt>
                <c:pt idx="515">
                  <c:v>3376.6005</c:v>
                </c:pt>
                <c:pt idx="516">
                  <c:v>3408.2669999999998</c:v>
                </c:pt>
                <c:pt idx="517">
                  <c:v>3356.9980000000005</c:v>
                </c:pt>
                <c:pt idx="518">
                  <c:v>3333</c:v>
                </c:pt>
                <c:pt idx="519">
                  <c:v>3199.3960000000002</c:v>
                </c:pt>
                <c:pt idx="520">
                  <c:v>3204.3995</c:v>
                </c:pt>
                <c:pt idx="521">
                  <c:v>3252.1995000000002</c:v>
                </c:pt>
                <c:pt idx="522">
                  <c:v>3236.2070000000003</c:v>
                </c:pt>
                <c:pt idx="523">
                  <c:v>3039.8955000000005</c:v>
                </c:pt>
                <c:pt idx="524">
                  <c:v>2960.201</c:v>
                </c:pt>
                <c:pt idx="525">
                  <c:v>2894.4549999999999</c:v>
                </c:pt>
                <c:pt idx="526">
                  <c:v>2866.9945000000002</c:v>
                </c:pt>
                <c:pt idx="527">
                  <c:v>2886.2925</c:v>
                </c:pt>
                <c:pt idx="528">
                  <c:v>2902.5</c:v>
                </c:pt>
                <c:pt idx="529">
                  <c:v>2835.7310000000002</c:v>
                </c:pt>
                <c:pt idx="530">
                  <c:v>2792.8905</c:v>
                </c:pt>
                <c:pt idx="531">
                  <c:v>2911.5065</c:v>
                </c:pt>
                <c:pt idx="532">
                  <c:v>2831.4395000000004</c:v>
                </c:pt>
                <c:pt idx="533">
                  <c:v>2852.5005000000001</c:v>
                </c:pt>
                <c:pt idx="534">
                  <c:v>3010.4290000000001</c:v>
                </c:pt>
                <c:pt idx="535">
                  <c:v>3106.7735000000002</c:v>
                </c:pt>
                <c:pt idx="536">
                  <c:v>3144.9994999999999</c:v>
                </c:pt>
                <c:pt idx="537">
                  <c:v>3138.6005000000005</c:v>
                </c:pt>
                <c:pt idx="538">
                  <c:v>3049.3340000000003</c:v>
                </c:pt>
                <c:pt idx="539">
                  <c:v>3021.3919999999998</c:v>
                </c:pt>
                <c:pt idx="540">
                  <c:v>3085.3235000000004</c:v>
                </c:pt>
                <c:pt idx="541">
                  <c:v>3043.2494999999999</c:v>
                </c:pt>
                <c:pt idx="542">
                  <c:v>3090.3005000000003</c:v>
                </c:pt>
                <c:pt idx="543">
                  <c:v>3014.6650000000004</c:v>
                </c:pt>
                <c:pt idx="544">
                  <c:v>3160.5005000000001</c:v>
                </c:pt>
                <c:pt idx="545">
                  <c:v>3213.1005000000005</c:v>
                </c:pt>
                <c:pt idx="546">
                  <c:v>3207.1779999999999</c:v>
                </c:pt>
                <c:pt idx="547">
                  <c:v>3243.4994999999999</c:v>
                </c:pt>
                <c:pt idx="548">
                  <c:v>3248.7185000000004</c:v>
                </c:pt>
                <c:pt idx="549">
                  <c:v>3258.7660000000001</c:v>
                </c:pt>
                <c:pt idx="550">
                  <c:v>3325.2165000000005</c:v>
                </c:pt>
                <c:pt idx="551">
                  <c:v>3333.8434999999999</c:v>
                </c:pt>
                <c:pt idx="552">
                  <c:v>3311.4125000000004</c:v>
                </c:pt>
                <c:pt idx="553">
                  <c:v>3302.1995000000006</c:v>
                </c:pt>
                <c:pt idx="554">
                  <c:v>3338.6504999999997</c:v>
                </c:pt>
                <c:pt idx="555">
                  <c:v>3413.1995000000006</c:v>
                </c:pt>
                <c:pt idx="556">
                  <c:v>3365.7120000000004</c:v>
                </c:pt>
                <c:pt idx="557">
                  <c:v>3477</c:v>
                </c:pt>
                <c:pt idx="558">
                  <c:v>3482.4070000000002</c:v>
                </c:pt>
                <c:pt idx="559">
                  <c:v>3465.5230000000006</c:v>
                </c:pt>
                <c:pt idx="560">
                  <c:v>3467.7800000000007</c:v>
                </c:pt>
                <c:pt idx="561">
                  <c:v>3539.953</c:v>
                </c:pt>
                <c:pt idx="562">
                  <c:v>3555.4</c:v>
                </c:pt>
                <c:pt idx="563">
                  <c:v>3526.8919999999998</c:v>
                </c:pt>
                <c:pt idx="564">
                  <c:v>3440.4949999999999</c:v>
                </c:pt>
                <c:pt idx="565">
                  <c:v>3388.2815000000005</c:v>
                </c:pt>
                <c:pt idx="566">
                  <c:v>3388.3425000000007</c:v>
                </c:pt>
                <c:pt idx="567">
                  <c:v>3377.0005000000001</c:v>
                </c:pt>
                <c:pt idx="568">
                  <c:v>3417.6085000000003</c:v>
                </c:pt>
                <c:pt idx="569">
                  <c:v>3382.6210000000001</c:v>
                </c:pt>
                <c:pt idx="570">
                  <c:v>3419.9195</c:v>
                </c:pt>
                <c:pt idx="571">
                  <c:v>3471.8215</c:v>
                </c:pt>
                <c:pt idx="572">
                  <c:v>3425.3834999999999</c:v>
                </c:pt>
                <c:pt idx="573">
                  <c:v>3464.5285000000003</c:v>
                </c:pt>
                <c:pt idx="574">
                  <c:v>3427.4995000000004</c:v>
                </c:pt>
                <c:pt idx="575">
                  <c:v>3398.4825000000001</c:v>
                </c:pt>
                <c:pt idx="576">
                  <c:v>3458.3310000000001</c:v>
                </c:pt>
                <c:pt idx="577">
                  <c:v>3507.4169999999999</c:v>
                </c:pt>
                <c:pt idx="578">
                  <c:v>3572.3310000000001</c:v>
                </c:pt>
                <c:pt idx="579">
                  <c:v>3313.7004999999999</c:v>
                </c:pt>
                <c:pt idx="580">
                  <c:v>3345.76</c:v>
                </c:pt>
                <c:pt idx="581">
                  <c:v>3351.2000000000003</c:v>
                </c:pt>
                <c:pt idx="582">
                  <c:v>3261.7605000000003</c:v>
                </c:pt>
                <c:pt idx="583">
                  <c:v>3310.3250000000003</c:v>
                </c:pt>
                <c:pt idx="584">
                  <c:v>3078.8744999999999</c:v>
                </c:pt>
                <c:pt idx="585">
                  <c:v>3147.0040000000004</c:v>
                </c:pt>
                <c:pt idx="586">
                  <c:v>3074.1995000000002</c:v>
                </c:pt>
                <c:pt idx="587">
                  <c:v>3041.2995000000001</c:v>
                </c:pt>
                <c:pt idx="588">
                  <c:v>3039.9994999999999</c:v>
                </c:pt>
                <c:pt idx="589">
                  <c:v>3153.7005000000004</c:v>
                </c:pt>
                <c:pt idx="590">
                  <c:v>3059.6514999999999</c:v>
                </c:pt>
                <c:pt idx="591">
                  <c:v>3115.6040000000003</c:v>
                </c:pt>
                <c:pt idx="592">
                  <c:v>3158.2595000000001</c:v>
                </c:pt>
                <c:pt idx="593">
                  <c:v>3200.6000000000004</c:v>
                </c:pt>
                <c:pt idx="594">
                  <c:v>3194.6020000000003</c:v>
                </c:pt>
                <c:pt idx="595">
                  <c:v>3144.1005000000005</c:v>
                </c:pt>
                <c:pt idx="596">
                  <c:v>2953.0305000000003</c:v>
                </c:pt>
                <c:pt idx="597">
                  <c:v>2918.2485000000001</c:v>
                </c:pt>
                <c:pt idx="598">
                  <c:v>3033.6000000000004</c:v>
                </c:pt>
                <c:pt idx="599">
                  <c:v>3193.3</c:v>
                </c:pt>
                <c:pt idx="600">
                  <c:v>3155.9310000000005</c:v>
                </c:pt>
                <c:pt idx="601">
                  <c:v>3173.0990000000002</c:v>
                </c:pt>
                <c:pt idx="602">
                  <c:v>3188.5005000000001</c:v>
                </c:pt>
                <c:pt idx="603">
                  <c:v>3224.9169999999999</c:v>
                </c:pt>
                <c:pt idx="604">
                  <c:v>3214.4794999999999</c:v>
                </c:pt>
                <c:pt idx="605">
                  <c:v>3320.7000000000003</c:v>
                </c:pt>
                <c:pt idx="606">
                  <c:v>3340.9660000000003</c:v>
                </c:pt>
                <c:pt idx="607">
                  <c:v>3247.0575000000003</c:v>
                </c:pt>
                <c:pt idx="608">
                  <c:v>3247.0295000000001</c:v>
                </c:pt>
                <c:pt idx="609">
                  <c:v>3190.9005000000002</c:v>
                </c:pt>
                <c:pt idx="610">
                  <c:v>3173.5040000000004</c:v>
                </c:pt>
                <c:pt idx="611">
                  <c:v>3063.8685000000005</c:v>
                </c:pt>
                <c:pt idx="612">
                  <c:v>3189.6695</c:v>
                </c:pt>
                <c:pt idx="613">
                  <c:v>3170.9994999999999</c:v>
                </c:pt>
                <c:pt idx="614">
                  <c:v>3283.0920000000001</c:v>
                </c:pt>
                <c:pt idx="615">
                  <c:v>3196.2255000000005</c:v>
                </c:pt>
                <c:pt idx="616">
                  <c:v>3355.8260000000005</c:v>
                </c:pt>
                <c:pt idx="617">
                  <c:v>3500.3114999999998</c:v>
                </c:pt>
                <c:pt idx="618">
                  <c:v>3531.5540000000001</c:v>
                </c:pt>
                <c:pt idx="619">
                  <c:v>3457.3</c:v>
                </c:pt>
                <c:pt idx="620">
                  <c:v>3581</c:v>
                </c:pt>
                <c:pt idx="621">
                  <c:v>3468.0195000000003</c:v>
                </c:pt>
                <c:pt idx="622">
                  <c:v>3444.8</c:v>
                </c:pt>
                <c:pt idx="623">
                  <c:v>3391.0309999999999</c:v>
                </c:pt>
                <c:pt idx="624">
                  <c:v>3424.3894999999998</c:v>
                </c:pt>
                <c:pt idx="625">
                  <c:v>3298.1640000000002</c:v>
                </c:pt>
                <c:pt idx="626">
                  <c:v>3273.1995000000002</c:v>
                </c:pt>
                <c:pt idx="627">
                  <c:v>3482.4900000000002</c:v>
                </c:pt>
                <c:pt idx="628">
                  <c:v>3564.0005000000001</c:v>
                </c:pt>
                <c:pt idx="629">
                  <c:v>3479.1089999999999</c:v>
                </c:pt>
                <c:pt idx="630">
                  <c:v>3492.527</c:v>
                </c:pt>
                <c:pt idx="631">
                  <c:v>3539.0300000000007</c:v>
                </c:pt>
                <c:pt idx="632">
                  <c:v>3473.4995000000004</c:v>
                </c:pt>
                <c:pt idx="633">
                  <c:v>3499.4</c:v>
                </c:pt>
                <c:pt idx="634">
                  <c:v>3494.0005000000001</c:v>
                </c:pt>
                <c:pt idx="635">
                  <c:v>3360.4995000000004</c:v>
                </c:pt>
                <c:pt idx="636">
                  <c:v>3199.5005000000001</c:v>
                </c:pt>
                <c:pt idx="637">
                  <c:v>3189.8320000000003</c:v>
                </c:pt>
                <c:pt idx="638">
                  <c:v>3275.0635000000002</c:v>
                </c:pt>
                <c:pt idx="639">
                  <c:v>3392.0254999999997</c:v>
                </c:pt>
                <c:pt idx="640">
                  <c:v>3096.8700000000003</c:v>
                </c:pt>
                <c:pt idx="641">
                  <c:v>3380.4995000000004</c:v>
                </c:pt>
                <c:pt idx="642">
                  <c:v>3419.674</c:v>
                </c:pt>
                <c:pt idx="643">
                  <c:v>3265.0315000000001</c:v>
                </c:pt>
                <c:pt idx="644">
                  <c:v>3474.9925000000003</c:v>
                </c:pt>
                <c:pt idx="645">
                  <c:v>3569.4470000000001</c:v>
                </c:pt>
                <c:pt idx="646">
                  <c:v>3653.6205000000004</c:v>
                </c:pt>
                <c:pt idx="647">
                  <c:v>3572.6005</c:v>
                </c:pt>
                <c:pt idx="648">
                  <c:v>3603.9050000000007</c:v>
                </c:pt>
                <c:pt idx="649">
                  <c:v>3447.7940000000003</c:v>
                </c:pt>
                <c:pt idx="650">
                  <c:v>3415.6635000000006</c:v>
                </c:pt>
                <c:pt idx="651">
                  <c:v>3406.2095000000004</c:v>
                </c:pt>
                <c:pt idx="652">
                  <c:v>3341.1585</c:v>
                </c:pt>
                <c:pt idx="653">
                  <c:v>3303.7019999999998</c:v>
                </c:pt>
                <c:pt idx="654">
                  <c:v>3186.2005000000004</c:v>
                </c:pt>
                <c:pt idx="655">
                  <c:v>3412.2855000000004</c:v>
                </c:pt>
                <c:pt idx="656">
                  <c:v>3155.6985000000004</c:v>
                </c:pt>
                <c:pt idx="657">
                  <c:v>3099.364</c:v>
                </c:pt>
                <c:pt idx="658">
                  <c:v>3119.3950000000004</c:v>
                </c:pt>
                <c:pt idx="659">
                  <c:v>3056.5490000000004</c:v>
                </c:pt>
                <c:pt idx="660">
                  <c:v>3121.605</c:v>
                </c:pt>
                <c:pt idx="661">
                  <c:v>2851.8670000000002</c:v>
                </c:pt>
                <c:pt idx="662">
                  <c:v>2723.8235000000004</c:v>
                </c:pt>
                <c:pt idx="663">
                  <c:v>2586.4425000000001</c:v>
                </c:pt>
                <c:pt idx="664">
                  <c:v>2578.4110000000001</c:v>
                </c:pt>
                <c:pt idx="665">
                  <c:v>2537.2075000000004</c:v>
                </c:pt>
                <c:pt idx="666">
                  <c:v>2564.4210000000003</c:v>
                </c:pt>
                <c:pt idx="667">
                  <c:v>2592.4695000000002</c:v>
                </c:pt>
                <c:pt idx="668">
                  <c:v>2612.9410000000003</c:v>
                </c:pt>
                <c:pt idx="669">
                  <c:v>2588.7365000000004</c:v>
                </c:pt>
                <c:pt idx="670">
                  <c:v>2606.8834999999999</c:v>
                </c:pt>
                <c:pt idx="671">
                  <c:v>2582.1320000000001</c:v>
                </c:pt>
                <c:pt idx="672">
                  <c:v>2606.2055</c:v>
                </c:pt>
                <c:pt idx="673">
                  <c:v>2594</c:v>
                </c:pt>
                <c:pt idx="674">
                  <c:v>2589.7584999999999</c:v>
                </c:pt>
                <c:pt idx="675">
                  <c:v>2484.9794999999999</c:v>
                </c:pt>
                <c:pt idx="676">
                  <c:v>2495.8634999999999</c:v>
                </c:pt>
                <c:pt idx="677">
                  <c:v>2414.9994999999999</c:v>
                </c:pt>
                <c:pt idx="678">
                  <c:v>2387.5544999999997</c:v>
                </c:pt>
                <c:pt idx="679">
                  <c:v>2356.6385</c:v>
                </c:pt>
                <c:pt idx="680">
                  <c:v>2264.4325000000003</c:v>
                </c:pt>
                <c:pt idx="681">
                  <c:v>2217.48</c:v>
                </c:pt>
                <c:pt idx="682">
                  <c:v>2154.9474999999998</c:v>
                </c:pt>
                <c:pt idx="683">
                  <c:v>2135.4349999999999</c:v>
                </c:pt>
                <c:pt idx="684">
                  <c:v>2129.1439999999998</c:v>
                </c:pt>
                <c:pt idx="685">
                  <c:v>2150.5544999999997</c:v>
                </c:pt>
                <c:pt idx="686">
                  <c:v>2160</c:v>
                </c:pt>
                <c:pt idx="687">
                  <c:v>2154.1470000000004</c:v>
                </c:pt>
                <c:pt idx="688">
                  <c:v>2129</c:v>
                </c:pt>
                <c:pt idx="689">
                  <c:v>2147.0549999999998</c:v>
                </c:pt>
                <c:pt idx="690">
                  <c:v>2165.1349999999998</c:v>
                </c:pt>
                <c:pt idx="691">
                  <c:v>2101.5529999999999</c:v>
                </c:pt>
                <c:pt idx="692">
                  <c:v>2106.0315000000001</c:v>
                </c:pt>
                <c:pt idx="693">
                  <c:v>2091.1755000000003</c:v>
                </c:pt>
                <c:pt idx="694">
                  <c:v>1998.0545</c:v>
                </c:pt>
                <c:pt idx="695">
                  <c:v>2004.2439999999999</c:v>
                </c:pt>
                <c:pt idx="696">
                  <c:v>1994.88</c:v>
                </c:pt>
                <c:pt idx="697">
                  <c:v>1978.4009999999998</c:v>
                </c:pt>
                <c:pt idx="698">
                  <c:v>2079.0165000000002</c:v>
                </c:pt>
                <c:pt idx="699">
                  <c:v>2084.8020000000001</c:v>
                </c:pt>
                <c:pt idx="700">
                  <c:v>2082.9515000000001</c:v>
                </c:pt>
                <c:pt idx="701">
                  <c:v>2066.375</c:v>
                </c:pt>
                <c:pt idx="702">
                  <c:v>2138.8049999999998</c:v>
                </c:pt>
                <c:pt idx="703">
                  <c:v>2156.8975</c:v>
                </c:pt>
                <c:pt idx="704">
                  <c:v>2125.5549999999998</c:v>
                </c:pt>
                <c:pt idx="705">
                  <c:v>2086.6174999999998</c:v>
                </c:pt>
                <c:pt idx="706">
                  <c:v>2142.3995</c:v>
                </c:pt>
                <c:pt idx="707">
                  <c:v>2139.1365000000001</c:v>
                </c:pt>
                <c:pt idx="708">
                  <c:v>2316.9580000000001</c:v>
                </c:pt>
                <c:pt idx="709">
                  <c:v>2332.6995000000002</c:v>
                </c:pt>
                <c:pt idx="710">
                  <c:v>2305.5</c:v>
                </c:pt>
                <c:pt idx="711">
                  <c:v>2347.5520000000001</c:v>
                </c:pt>
                <c:pt idx="712">
                  <c:v>2196.451</c:v>
                </c:pt>
                <c:pt idx="713">
                  <c:v>2198.4160000000002</c:v>
                </c:pt>
                <c:pt idx="714">
                  <c:v>2207.2555000000002</c:v>
                </c:pt>
                <c:pt idx="715">
                  <c:v>2207.5549999999998</c:v>
                </c:pt>
                <c:pt idx="716">
                  <c:v>2142.2615000000001</c:v>
                </c:pt>
                <c:pt idx="717">
                  <c:v>2247.3455000000004</c:v>
                </c:pt>
                <c:pt idx="718">
                  <c:v>2208.9775000000004</c:v>
                </c:pt>
                <c:pt idx="719">
                  <c:v>2114.1790000000001</c:v>
                </c:pt>
                <c:pt idx="720">
                  <c:v>2107.0140000000001</c:v>
                </c:pt>
                <c:pt idx="721">
                  <c:v>2103.3474999999999</c:v>
                </c:pt>
                <c:pt idx="722">
                  <c:v>2128.1880000000001</c:v>
                </c:pt>
                <c:pt idx="723">
                  <c:v>2171.4425000000001</c:v>
                </c:pt>
                <c:pt idx="724">
                  <c:v>2125.4465</c:v>
                </c:pt>
                <c:pt idx="725">
                  <c:v>2178.8065000000001</c:v>
                </c:pt>
                <c:pt idx="726">
                  <c:v>2149.5750000000003</c:v>
                </c:pt>
                <c:pt idx="727">
                  <c:v>2185.1080000000002</c:v>
                </c:pt>
                <c:pt idx="728">
                  <c:v>2198.4520000000002</c:v>
                </c:pt>
                <c:pt idx="729">
                  <c:v>2193.09</c:v>
                </c:pt>
                <c:pt idx="730">
                  <c:v>2183.4465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4-4F01-9FD5-76B85F9ED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525328"/>
        <c:axId val="294526288"/>
      </c:lineChart>
      <c:catAx>
        <c:axId val="294525328"/>
        <c:scaling>
          <c:orientation val="maxMin"/>
        </c:scaling>
        <c:delete val="0"/>
        <c:axPos val="b"/>
        <c:numFmt formatCode="mmm\ dd\ yyyy\ hh:mm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26288"/>
        <c:crosses val="autoZero"/>
        <c:auto val="0"/>
        <c:lblAlgn val="ctr"/>
        <c:lblOffset val="100"/>
        <c:tickLblSkip val="150"/>
        <c:noMultiLvlLbl val="0"/>
      </c:catAx>
      <c:valAx>
        <c:axId val="2945262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2532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75000"/>
        </a:schemeClr>
      </a:solidFill>
      <a:round/>
    </a:ln>
    <a:effectLst>
      <a:outerShdw blurRad="50800" dist="38100" dir="2700000" algn="tl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14</xdr:row>
      <xdr:rowOff>68580</xdr:rowOff>
    </xdr:from>
    <xdr:to>
      <xdr:col>9</xdr:col>
      <xdr:colOff>457200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FB89B-A80C-26E4-DFC6-E01794DC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kit Kumar" id="{A5D1BFC2-5A21-4472-B0F4-2EE7A7DC517F}" userId="S::AnkitKumar@ankit8544.onmicrosoft.com::294dba8e-a69e-408d-a3ce-50fbfe0426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08374-AD52-45DA-BB2E-5FE030D5C187}" name="Table6" displayName="Table6" ref="A2:B19" totalsRowShown="0" dataDxfId="4" headerRowBorderDxfId="5" tableBorderDxfId="3" totalsRowBorderDxfId="2">
  <tableColumns count="2">
    <tableColumn id="1" xr3:uid="{56E04DAA-9CE8-4390-8DBD-3CBFB2A7F3B1}" name="Matrix Name" dataDxfId="1"/>
    <tableColumn id="2" xr3:uid="{89B3C76B-BCC8-4E64-88E9-096DA7790287}" name="Value " dataDxfId="0">
      <calculatedColumnFormula array="1">_xll.TickerStream("BTCUSDT", A3)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0" dT="2025-12-14T13:48:15.81" personId="{A5D1BFC2-5A21-4472-B0F4-2EE7A7DC517F}" id="{3140FAD6-4206-4A0C-A6CB-C7B5E782DCBB}">
    <text>Seed (SMA 9)</text>
  </threadedComment>
  <threadedComment ref="R13" dT="2025-12-14T14:46:02.39" personId="{A5D1BFC2-5A21-4472-B0F4-2EE7A7DC517F}" id="{130C3BAD-7829-44D0-B0A1-118407FB1768}">
    <text>Seed (SMA 12)</text>
  </threadedComment>
  <threadedComment ref="Q22" dT="2025-12-14T13:50:34.22" personId="{A5D1BFC2-5A21-4472-B0F4-2EE7A7DC517F}" id="{067F7272-4AA1-4F60-94E4-C1937C500D84}">
    <text>Seed (SMA 21)</text>
  </threadedComment>
  <threadedComment ref="S27" dT="2025-12-14T14:48:20.23" personId="{A5D1BFC2-5A21-4472-B0F4-2EE7A7DC517F}" id="{F4CB5607-70C2-4471-BB05-82A903454A6B}">
    <text>Seed (SMA 26)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44F0-007E-4F5D-95E7-76D407A04742}">
  <sheetPr codeName="Sheet3">
    <tabColor theme="7" tint="0.79998168889431442"/>
  </sheetPr>
  <dimension ref="A1:D20"/>
  <sheetViews>
    <sheetView workbookViewId="0">
      <selection activeCell="D3" sqref="D3"/>
    </sheetView>
  </sheetViews>
  <sheetFormatPr defaultColWidth="80.109375" defaultRowHeight="14.4" x14ac:dyDescent="0.3"/>
  <cols>
    <col min="1" max="1" width="7.44140625" bestFit="1" customWidth="1"/>
    <col min="2" max="2" width="21.109375" bestFit="1" customWidth="1"/>
    <col min="3" max="3" width="59.5546875" bestFit="1" customWidth="1"/>
    <col min="4" max="4" width="6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8" t="s">
        <v>62</v>
      </c>
    </row>
    <row r="2" spans="1:4" x14ac:dyDescent="0.3">
      <c r="A2" s="3" t="s">
        <v>3</v>
      </c>
      <c r="B2" s="29" t="s">
        <v>4</v>
      </c>
      <c r="C2" s="4" t="s">
        <v>5</v>
      </c>
      <c r="D2" s="23" t="s">
        <v>61</v>
      </c>
    </row>
    <row r="3" spans="1:4" x14ac:dyDescent="0.3">
      <c r="A3" s="3" t="s">
        <v>3</v>
      </c>
      <c r="B3" s="30" t="s">
        <v>6</v>
      </c>
      <c r="C3" s="4" t="s">
        <v>7</v>
      </c>
      <c r="D3" s="23"/>
    </row>
    <row r="4" spans="1:4" x14ac:dyDescent="0.3">
      <c r="A4" s="3" t="s">
        <v>3</v>
      </c>
      <c r="B4" s="31" t="s">
        <v>8</v>
      </c>
      <c r="C4" s="4" t="s">
        <v>9</v>
      </c>
      <c r="D4" s="23"/>
    </row>
    <row r="5" spans="1:4" x14ac:dyDescent="0.3">
      <c r="A5" s="3" t="s">
        <v>3</v>
      </c>
      <c r="B5" s="32" t="s">
        <v>10</v>
      </c>
      <c r="C5" s="4" t="s">
        <v>11</v>
      </c>
      <c r="D5" s="23"/>
    </row>
    <row r="6" spans="1:4" x14ac:dyDescent="0.3">
      <c r="A6" s="3" t="s">
        <v>3</v>
      </c>
      <c r="B6" s="33" t="s">
        <v>12</v>
      </c>
      <c r="C6" s="4" t="s">
        <v>13</v>
      </c>
      <c r="D6" s="23"/>
    </row>
    <row r="7" spans="1:4" x14ac:dyDescent="0.3">
      <c r="A7" s="3" t="s">
        <v>14</v>
      </c>
      <c r="B7" s="4" t="s">
        <v>6</v>
      </c>
      <c r="C7" s="4" t="s">
        <v>15</v>
      </c>
      <c r="D7" s="23"/>
    </row>
    <row r="8" spans="1:4" x14ac:dyDescent="0.3">
      <c r="A8" s="3" t="s">
        <v>14</v>
      </c>
      <c r="B8" s="4" t="s">
        <v>8</v>
      </c>
      <c r="C8" s="4" t="s">
        <v>16</v>
      </c>
      <c r="D8" s="23"/>
    </row>
    <row r="9" spans="1:4" x14ac:dyDescent="0.3">
      <c r="A9" s="3" t="s">
        <v>14</v>
      </c>
      <c r="B9" s="4" t="s">
        <v>4</v>
      </c>
      <c r="C9" s="4" t="s">
        <v>17</v>
      </c>
      <c r="D9" s="23"/>
    </row>
    <row r="10" spans="1:4" x14ac:dyDescent="0.3">
      <c r="A10" s="3" t="s">
        <v>14</v>
      </c>
      <c r="B10" s="4" t="s">
        <v>12</v>
      </c>
      <c r="C10" s="4" t="s">
        <v>18</v>
      </c>
      <c r="D10" s="23"/>
    </row>
    <row r="11" spans="1:4" x14ac:dyDescent="0.3">
      <c r="A11" s="3" t="s">
        <v>14</v>
      </c>
      <c r="B11" s="4" t="s">
        <v>19</v>
      </c>
      <c r="C11" s="4" t="s">
        <v>20</v>
      </c>
      <c r="D11" s="23"/>
    </row>
    <row r="12" spans="1:4" x14ac:dyDescent="0.3">
      <c r="A12" s="3" t="s">
        <v>21</v>
      </c>
      <c r="B12" s="4" t="s">
        <v>6</v>
      </c>
      <c r="C12" s="4" t="s">
        <v>22</v>
      </c>
      <c r="D12" s="23"/>
    </row>
    <row r="13" spans="1:4" x14ac:dyDescent="0.3">
      <c r="A13" s="3" t="s">
        <v>21</v>
      </c>
      <c r="B13" s="4" t="s">
        <v>8</v>
      </c>
      <c r="C13" s="4" t="s">
        <v>23</v>
      </c>
      <c r="D13" s="23"/>
    </row>
    <row r="14" spans="1:4" x14ac:dyDescent="0.3">
      <c r="A14" s="3" t="s">
        <v>21</v>
      </c>
      <c r="B14" s="4" t="s">
        <v>4</v>
      </c>
      <c r="C14" s="4" t="s">
        <v>24</v>
      </c>
      <c r="D14" s="23"/>
    </row>
    <row r="15" spans="1:4" x14ac:dyDescent="0.3">
      <c r="A15" s="3" t="s">
        <v>21</v>
      </c>
      <c r="B15" s="4" t="s">
        <v>25</v>
      </c>
      <c r="C15" s="4" t="s">
        <v>26</v>
      </c>
      <c r="D15" s="23"/>
    </row>
    <row r="16" spans="1:4" x14ac:dyDescent="0.3">
      <c r="A16" s="3" t="s">
        <v>27</v>
      </c>
      <c r="B16" s="4" t="s">
        <v>6</v>
      </c>
      <c r="C16" s="4" t="s">
        <v>28</v>
      </c>
      <c r="D16" s="23"/>
    </row>
    <row r="17" spans="1:4" x14ac:dyDescent="0.3">
      <c r="A17" s="3" t="s">
        <v>27</v>
      </c>
      <c r="B17" s="4" t="s">
        <v>4</v>
      </c>
      <c r="C17" s="4" t="s">
        <v>29</v>
      </c>
      <c r="D17" s="23"/>
    </row>
    <row r="18" spans="1:4" x14ac:dyDescent="0.3">
      <c r="A18" s="3" t="s">
        <v>27</v>
      </c>
      <c r="B18" s="4" t="s">
        <v>8</v>
      </c>
      <c r="C18" s="4" t="s">
        <v>16</v>
      </c>
      <c r="D18" s="23"/>
    </row>
    <row r="19" spans="1:4" x14ac:dyDescent="0.3">
      <c r="A19" s="3" t="s">
        <v>27</v>
      </c>
      <c r="B19" s="4" t="s">
        <v>30</v>
      </c>
      <c r="C19" s="4" t="s">
        <v>31</v>
      </c>
      <c r="D19" s="23"/>
    </row>
    <row r="20" spans="1:4" x14ac:dyDescent="0.3">
      <c r="A20" s="3" t="s">
        <v>27</v>
      </c>
      <c r="B20" s="4" t="s">
        <v>25</v>
      </c>
      <c r="C20" s="4" t="s">
        <v>32</v>
      </c>
      <c r="D2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BF26-96FD-42F3-A254-7968FC320446}">
  <sheetPr codeName="Sheet4">
    <tabColor theme="7" tint="0.79998168889431442"/>
  </sheetPr>
  <dimension ref="A1:D17"/>
  <sheetViews>
    <sheetView zoomScale="47" workbookViewId="0">
      <selection activeCell="D16" sqref="D16"/>
    </sheetView>
  </sheetViews>
  <sheetFormatPr defaultRowHeight="14.4" x14ac:dyDescent="0.3"/>
  <cols>
    <col min="1" max="1" width="10.109375" style="9" bestFit="1" customWidth="1"/>
    <col min="2" max="2" width="50.88671875" style="9" customWidth="1"/>
    <col min="3" max="3" width="38.77734375" style="9" bestFit="1" customWidth="1"/>
    <col min="4" max="4" width="17.21875" style="9" customWidth="1"/>
    <col min="5" max="16384" width="8.88671875" style="9"/>
  </cols>
  <sheetData>
    <row r="1" spans="1:4" x14ac:dyDescent="0.3">
      <c r="A1" s="39" t="s">
        <v>66</v>
      </c>
      <c r="B1" s="39"/>
      <c r="C1" s="39"/>
      <c r="D1" s="39"/>
    </row>
    <row r="2" spans="1:4" x14ac:dyDescent="0.3">
      <c r="A2" s="37" t="s">
        <v>67</v>
      </c>
      <c r="B2" s="38" t="s">
        <v>90</v>
      </c>
      <c r="C2" s="1" t="s">
        <v>63</v>
      </c>
      <c r="D2" s="25">
        <v>9</v>
      </c>
    </row>
    <row r="3" spans="1:4" x14ac:dyDescent="0.3">
      <c r="A3" s="37"/>
      <c r="B3" s="38"/>
      <c r="C3" s="3" t="s">
        <v>68</v>
      </c>
      <c r="D3" s="3">
        <f>2/(D2+1)</f>
        <v>0.2</v>
      </c>
    </row>
    <row r="4" spans="1:4" x14ac:dyDescent="0.3">
      <c r="A4" s="37"/>
      <c r="B4" s="38"/>
      <c r="C4" s="3" t="s">
        <v>69</v>
      </c>
      <c r="D4" s="3">
        <f xml:space="preserve"> 1-(2/(D2+1))</f>
        <v>0.8</v>
      </c>
    </row>
    <row r="5" spans="1:4" x14ac:dyDescent="0.3">
      <c r="A5" s="37"/>
      <c r="B5" s="38"/>
      <c r="C5" s="1" t="s">
        <v>64</v>
      </c>
      <c r="D5" s="25">
        <v>21</v>
      </c>
    </row>
    <row r="6" spans="1:4" x14ac:dyDescent="0.3">
      <c r="A6" s="37"/>
      <c r="B6" s="38"/>
      <c r="C6" s="3" t="s">
        <v>68</v>
      </c>
      <c r="D6" s="3">
        <f>2/(D5+1)</f>
        <v>9.0909090909090912E-2</v>
      </c>
    </row>
    <row r="7" spans="1:4" x14ac:dyDescent="0.3">
      <c r="A7" s="37"/>
      <c r="B7" s="38"/>
      <c r="C7" s="3" t="s">
        <v>69</v>
      </c>
      <c r="D7" s="3">
        <f xml:space="preserve"> 1-(2/(D5+1))</f>
        <v>0.90909090909090906</v>
      </c>
    </row>
    <row r="8" spans="1:4" x14ac:dyDescent="0.3">
      <c r="A8" s="37"/>
      <c r="B8" s="38"/>
      <c r="C8" s="1" t="s">
        <v>65</v>
      </c>
      <c r="D8" s="25">
        <v>12</v>
      </c>
    </row>
    <row r="9" spans="1:4" x14ac:dyDescent="0.3">
      <c r="A9" s="37"/>
      <c r="B9" s="38"/>
      <c r="C9" s="3" t="s">
        <v>68</v>
      </c>
      <c r="D9" s="3">
        <f>2/(D8+1)</f>
        <v>0.15384615384615385</v>
      </c>
    </row>
    <row r="10" spans="1:4" x14ac:dyDescent="0.3">
      <c r="A10" s="37"/>
      <c r="B10" s="38"/>
      <c r="C10" s="3" t="s">
        <v>69</v>
      </c>
      <c r="D10" s="3">
        <f xml:space="preserve"> 1-(2/(D8+1))</f>
        <v>0.84615384615384615</v>
      </c>
    </row>
    <row r="11" spans="1:4" x14ac:dyDescent="0.3">
      <c r="A11" s="37"/>
      <c r="B11" s="38"/>
      <c r="C11" s="1" t="s">
        <v>70</v>
      </c>
      <c r="D11" s="16">
        <v>26</v>
      </c>
    </row>
    <row r="12" spans="1:4" x14ac:dyDescent="0.3">
      <c r="A12" s="37"/>
      <c r="B12" s="38"/>
      <c r="C12" s="3" t="s">
        <v>68</v>
      </c>
      <c r="D12" s="3">
        <f>2/(D11+1)</f>
        <v>7.407407407407407E-2</v>
      </c>
    </row>
    <row r="13" spans="1:4" x14ac:dyDescent="0.3">
      <c r="A13" s="37"/>
      <c r="B13" s="38"/>
      <c r="C13" s="3" t="s">
        <v>69</v>
      </c>
      <c r="D13" s="3">
        <f xml:space="preserve"> 1-(2/(D11+1))</f>
        <v>0.92592592592592593</v>
      </c>
    </row>
    <row r="17" spans="3:3" x14ac:dyDescent="0.3">
      <c r="C17" s="9" t="s">
        <v>91</v>
      </c>
    </row>
  </sheetData>
  <mergeCells count="3">
    <mergeCell ref="A2:A13"/>
    <mergeCell ref="B2:B13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253B-A31D-46FC-8FDC-B5063A166C68}">
  <sheetPr codeName="Sheet5">
    <tabColor theme="5" tint="0.39997558519241921"/>
  </sheetPr>
  <dimension ref="A1:J816"/>
  <sheetViews>
    <sheetView zoomScale="98" zoomScaleNormal="98" workbookViewId="0">
      <selection activeCell="A2" sqref="A2"/>
    </sheetView>
  </sheetViews>
  <sheetFormatPr defaultRowHeight="14.4" x14ac:dyDescent="0.3"/>
  <cols>
    <col min="1" max="1" width="17.44140625" style="9" bestFit="1" customWidth="1"/>
    <col min="2" max="2" width="18.88671875" style="22" bestFit="1" customWidth="1"/>
    <col min="3" max="3" width="11.21875" style="9" bestFit="1" customWidth="1"/>
    <col min="4" max="4" width="11.6640625" style="9" bestFit="1" customWidth="1"/>
    <col min="5" max="5" width="18.44140625" style="9" bestFit="1" customWidth="1"/>
    <col min="6" max="7" width="11" style="9" bestFit="1" customWidth="1"/>
    <col min="8" max="8" width="12" style="9" bestFit="1" customWidth="1"/>
    <col min="9" max="9" width="12.33203125" style="9" bestFit="1" customWidth="1"/>
    <col min="10" max="10" width="15.109375" style="9" bestFit="1" customWidth="1"/>
    <col min="11" max="16384" width="8.88671875" style="9"/>
  </cols>
  <sheetData>
    <row r="1" spans="1:10" x14ac:dyDescent="0.3">
      <c r="A1" s="1" t="str" cm="1">
        <f t="array" ref="A1">_xll.AllCoinsTickerStream()</f>
        <v xml:space="preserve">no close frame received or sent: Traceback (most recent call last):
  File "C:\Program Files\Python311\Lib\asyncio\proactor_events.py", line 305, in _loop_reading
    self._read_fut = self._loop._proactor.recv_into(self._sock, self._data)
                     ^^^^^^^^^^^^^^^^^^^^^^^^^^^^^^^^^^^^^^^^^^^^^^^^^^^^^^
  File "C:\Program Files\Python311\Lib\asyncio\windows_events.py", line 486, in recv_into
    ov.WSARecvInto(conn.fileno(), buf, flags)
ConnectionResetError: [WinError 10054] An existing connection was forcibly closed by the remote host
The above exception was the direct cause of the following exception:
Traceback (most recent call last):
  File "C:\Program Files\Python311\Lib\site-packages\xloil\register.py", line 192, in run_async
    async for result in fn(*args, **kwargs):
  File "C:\Users\HP\Desktop\MIS_Project\Bitcoin\Data\Ticker.py", line 69, in AllCoinsTickerStream
    async for raw in ws:
  File "C:\Program Files\Python311\Lib\site-packages\websockets\asyncio\connection.py", line 242, in __aiter__
    yield await self.recv()
          ^^^^^^^^^^^^^^^^^
  File "C:\Program Files\Python311\Lib\site-packages\websockets\asyncio\connection.py", line 322, in recv
    raise self.protocol.close_exc from self.recv_exc
websockets.exceptions.ConnectionClosedError: no close frame received or sent
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24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24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24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24"/>
      <c r="C5" s="3"/>
      <c r="D5" s="3"/>
      <c r="E5" s="3"/>
      <c r="F5" s="3"/>
      <c r="G5" s="3"/>
      <c r="H5" s="3"/>
      <c r="I5" s="3"/>
      <c r="J5" s="3"/>
    </row>
    <row r="6" spans="1:10" x14ac:dyDescent="0.3">
      <c r="A6" s="3"/>
      <c r="B6" s="24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24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24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24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24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24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24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24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24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24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24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24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24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24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24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24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24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24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24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24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24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24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24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24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24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24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24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24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24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24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24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24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24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24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24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24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24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24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24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24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24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24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24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24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24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24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24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24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24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24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24"/>
      <c r="C56" s="3"/>
      <c r="D56" s="3"/>
      <c r="E56" s="3"/>
      <c r="F56" s="3"/>
      <c r="G56" s="3"/>
      <c r="H56" s="3"/>
      <c r="I56" s="3"/>
      <c r="J56" s="3"/>
    </row>
    <row r="57" spans="1:10" x14ac:dyDescent="0.3">
      <c r="A57" s="3"/>
      <c r="B57" s="24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/>
      <c r="B58" s="24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/>
      <c r="B59" s="24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/>
      <c r="B60" s="24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24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24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24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24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24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24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24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24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24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24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24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24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24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24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24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24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24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24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24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24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24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24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24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24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24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24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24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24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24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24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24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24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24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24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24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24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24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24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24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24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24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3"/>
      <c r="B102" s="24"/>
      <c r="C102" s="3"/>
      <c r="D102" s="3"/>
      <c r="E102" s="3"/>
      <c r="F102" s="3"/>
      <c r="G102" s="3"/>
      <c r="H102" s="3"/>
      <c r="I102" s="3"/>
      <c r="J102" s="3"/>
    </row>
    <row r="103" spans="1:10" x14ac:dyDescent="0.3">
      <c r="A103" s="3"/>
      <c r="B103" s="24"/>
      <c r="C103" s="3"/>
      <c r="D103" s="3"/>
      <c r="E103" s="3"/>
      <c r="F103" s="3"/>
      <c r="G103" s="3"/>
      <c r="H103" s="3"/>
      <c r="I103" s="3"/>
      <c r="J103" s="3"/>
    </row>
    <row r="104" spans="1:10" x14ac:dyDescent="0.3">
      <c r="A104" s="3"/>
      <c r="B104" s="24"/>
      <c r="C104" s="3"/>
      <c r="D104" s="3"/>
      <c r="E104" s="3"/>
      <c r="F104" s="3"/>
      <c r="G104" s="3"/>
      <c r="H104" s="3"/>
      <c r="I104" s="3"/>
      <c r="J104" s="3"/>
    </row>
    <row r="105" spans="1:10" x14ac:dyDescent="0.3">
      <c r="A105" s="3"/>
      <c r="B105" s="24"/>
      <c r="C105" s="3"/>
      <c r="D105" s="3"/>
      <c r="E105" s="3"/>
      <c r="F105" s="3"/>
      <c r="G105" s="3"/>
      <c r="H105" s="3"/>
      <c r="I105" s="3"/>
      <c r="J105" s="3"/>
    </row>
    <row r="106" spans="1:10" x14ac:dyDescent="0.3">
      <c r="A106" s="3"/>
      <c r="B106" s="24"/>
      <c r="C106" s="3"/>
      <c r="D106" s="3"/>
      <c r="E106" s="3"/>
      <c r="F106" s="3"/>
      <c r="G106" s="3"/>
      <c r="H106" s="3"/>
      <c r="I106" s="3"/>
      <c r="J106" s="3"/>
    </row>
    <row r="107" spans="1:10" x14ac:dyDescent="0.3">
      <c r="A107" s="3"/>
      <c r="B107" s="24"/>
      <c r="C107" s="3"/>
      <c r="D107" s="3"/>
      <c r="E107" s="3"/>
      <c r="F107" s="3"/>
      <c r="G107" s="3"/>
      <c r="H107" s="3"/>
      <c r="I107" s="3"/>
      <c r="J107" s="3"/>
    </row>
    <row r="108" spans="1:10" x14ac:dyDescent="0.3">
      <c r="A108" s="3"/>
      <c r="B108" s="24"/>
      <c r="C108" s="3"/>
      <c r="D108" s="3"/>
      <c r="E108" s="3"/>
      <c r="F108" s="3"/>
      <c r="G108" s="3"/>
      <c r="H108" s="3"/>
      <c r="I108" s="3"/>
      <c r="J108" s="3"/>
    </row>
    <row r="109" spans="1:10" x14ac:dyDescent="0.3">
      <c r="A109" s="3"/>
      <c r="B109" s="24"/>
      <c r="C109" s="3"/>
      <c r="D109" s="3"/>
      <c r="E109" s="3"/>
      <c r="F109" s="3"/>
      <c r="G109" s="3"/>
      <c r="H109" s="3"/>
      <c r="I109" s="3"/>
      <c r="J109" s="3"/>
    </row>
    <row r="110" spans="1:10" x14ac:dyDescent="0.3">
      <c r="A110" s="3"/>
      <c r="B110" s="24"/>
      <c r="C110" s="3"/>
      <c r="D110" s="3"/>
      <c r="E110" s="3"/>
      <c r="F110" s="3"/>
      <c r="G110" s="3"/>
      <c r="H110" s="3"/>
      <c r="I110" s="3"/>
      <c r="J110" s="3"/>
    </row>
    <row r="111" spans="1:10" x14ac:dyDescent="0.3">
      <c r="A111" s="3"/>
      <c r="B111" s="24"/>
      <c r="C111" s="3"/>
      <c r="D111" s="3"/>
      <c r="E111" s="3"/>
      <c r="F111" s="3"/>
      <c r="G111" s="3"/>
      <c r="H111" s="3"/>
      <c r="I111" s="3"/>
      <c r="J111" s="3"/>
    </row>
    <row r="112" spans="1:10" x14ac:dyDescent="0.3">
      <c r="A112" s="3"/>
      <c r="B112" s="24"/>
      <c r="C112" s="3"/>
      <c r="D112" s="3"/>
      <c r="E112" s="3"/>
      <c r="F112" s="3"/>
      <c r="G112" s="3"/>
      <c r="H112" s="3"/>
      <c r="I112" s="3"/>
      <c r="J112" s="3"/>
    </row>
    <row r="113" spans="1:10" x14ac:dyDescent="0.3">
      <c r="A113" s="3"/>
      <c r="B113" s="24"/>
      <c r="C113" s="3"/>
      <c r="D113" s="3"/>
      <c r="E113" s="3"/>
      <c r="F113" s="3"/>
      <c r="G113" s="3"/>
      <c r="H113" s="3"/>
      <c r="I113" s="3"/>
      <c r="J113" s="3"/>
    </row>
    <row r="114" spans="1:10" x14ac:dyDescent="0.3">
      <c r="A114" s="3"/>
      <c r="B114" s="24"/>
      <c r="C114" s="3"/>
      <c r="D114" s="3"/>
      <c r="E114" s="3"/>
      <c r="F114" s="3"/>
      <c r="G114" s="3"/>
      <c r="H114" s="3"/>
      <c r="I114" s="3"/>
      <c r="J114" s="3"/>
    </row>
    <row r="115" spans="1:10" x14ac:dyDescent="0.3">
      <c r="A115" s="3"/>
      <c r="B115" s="24"/>
      <c r="C115" s="3"/>
      <c r="D115" s="3"/>
      <c r="E115" s="3"/>
      <c r="F115" s="3"/>
      <c r="G115" s="3"/>
      <c r="H115" s="3"/>
      <c r="I115" s="3"/>
      <c r="J115" s="3"/>
    </row>
    <row r="116" spans="1:10" x14ac:dyDescent="0.3">
      <c r="A116" s="3"/>
      <c r="B116" s="24"/>
      <c r="C116" s="3"/>
      <c r="D116" s="3"/>
      <c r="E116" s="3"/>
      <c r="F116" s="3"/>
      <c r="G116" s="3"/>
      <c r="H116" s="3"/>
      <c r="I116" s="3"/>
      <c r="J116" s="3"/>
    </row>
    <row r="117" spans="1:10" x14ac:dyDescent="0.3">
      <c r="A117" s="3"/>
      <c r="B117" s="24"/>
      <c r="C117" s="3"/>
      <c r="D117" s="3"/>
      <c r="E117" s="3"/>
      <c r="F117" s="3"/>
      <c r="G117" s="3"/>
      <c r="H117" s="3"/>
      <c r="I117" s="3"/>
      <c r="J117" s="3"/>
    </row>
    <row r="118" spans="1:10" x14ac:dyDescent="0.3">
      <c r="A118" s="3"/>
      <c r="B118" s="24"/>
      <c r="C118" s="3"/>
      <c r="D118" s="3"/>
      <c r="E118" s="3"/>
      <c r="F118" s="3"/>
      <c r="G118" s="3"/>
      <c r="H118" s="3"/>
      <c r="I118" s="3"/>
      <c r="J118" s="3"/>
    </row>
    <row r="119" spans="1:10" x14ac:dyDescent="0.3">
      <c r="A119" s="3"/>
      <c r="B119" s="24"/>
      <c r="C119" s="3"/>
      <c r="D119" s="3"/>
      <c r="E119" s="3"/>
      <c r="F119" s="3"/>
      <c r="G119" s="3"/>
      <c r="H119" s="3"/>
      <c r="I119" s="3"/>
      <c r="J119" s="3"/>
    </row>
    <row r="120" spans="1:10" x14ac:dyDescent="0.3">
      <c r="A120" s="3"/>
      <c r="B120" s="24"/>
      <c r="C120" s="3"/>
      <c r="D120" s="3"/>
      <c r="E120" s="3"/>
      <c r="F120" s="3"/>
      <c r="G120" s="3"/>
      <c r="H120" s="3"/>
      <c r="I120" s="3"/>
      <c r="J120" s="3"/>
    </row>
    <row r="121" spans="1:10" x14ac:dyDescent="0.3">
      <c r="A121" s="3"/>
      <c r="B121" s="24"/>
      <c r="C121" s="3"/>
      <c r="D121" s="3"/>
      <c r="E121" s="3"/>
      <c r="F121" s="3"/>
      <c r="G121" s="3"/>
      <c r="H121" s="3"/>
      <c r="I121" s="3"/>
      <c r="J121" s="3"/>
    </row>
    <row r="122" spans="1:10" x14ac:dyDescent="0.3">
      <c r="A122" s="3"/>
      <c r="B122" s="24"/>
      <c r="C122" s="3"/>
      <c r="D122" s="3"/>
      <c r="E122" s="3"/>
      <c r="F122" s="3"/>
      <c r="G122" s="3"/>
      <c r="H122" s="3"/>
      <c r="I122" s="3"/>
      <c r="J122" s="3"/>
    </row>
    <row r="123" spans="1:10" x14ac:dyDescent="0.3">
      <c r="A123" s="3"/>
      <c r="B123" s="24"/>
      <c r="C123" s="3"/>
      <c r="D123" s="3"/>
      <c r="E123" s="3"/>
      <c r="F123" s="3"/>
      <c r="G123" s="3"/>
      <c r="H123" s="3"/>
      <c r="I123" s="3"/>
      <c r="J123" s="3"/>
    </row>
    <row r="124" spans="1:10" x14ac:dyDescent="0.3">
      <c r="A124" s="3"/>
      <c r="B124" s="24"/>
      <c r="C124" s="3"/>
      <c r="D124" s="3"/>
      <c r="E124" s="3"/>
      <c r="F124" s="3"/>
      <c r="G124" s="3"/>
      <c r="H124" s="3"/>
      <c r="I124" s="3"/>
      <c r="J124" s="3"/>
    </row>
    <row r="125" spans="1:10" x14ac:dyDescent="0.3">
      <c r="A125" s="3"/>
      <c r="B125" s="24"/>
      <c r="C125" s="3"/>
      <c r="D125" s="3"/>
      <c r="E125" s="3"/>
      <c r="F125" s="3"/>
      <c r="G125" s="3"/>
      <c r="H125" s="3"/>
      <c r="I125" s="3"/>
      <c r="J125" s="3"/>
    </row>
    <row r="126" spans="1:10" x14ac:dyDescent="0.3">
      <c r="A126" s="3"/>
      <c r="B126" s="24"/>
      <c r="C126" s="3"/>
      <c r="D126" s="3"/>
      <c r="E126" s="3"/>
      <c r="F126" s="3"/>
      <c r="G126" s="3"/>
      <c r="H126" s="3"/>
      <c r="I126" s="3"/>
      <c r="J126" s="3"/>
    </row>
    <row r="127" spans="1:10" x14ac:dyDescent="0.3">
      <c r="A127" s="3"/>
      <c r="B127" s="24"/>
      <c r="C127" s="3"/>
      <c r="D127" s="3"/>
      <c r="E127" s="3"/>
      <c r="F127" s="3"/>
      <c r="G127" s="3"/>
      <c r="H127" s="3"/>
      <c r="I127" s="3"/>
      <c r="J127" s="3"/>
    </row>
    <row r="128" spans="1:10" x14ac:dyDescent="0.3">
      <c r="A128" s="3"/>
      <c r="B128" s="24"/>
      <c r="C128" s="3"/>
      <c r="D128" s="3"/>
      <c r="E128" s="3"/>
      <c r="F128" s="3"/>
      <c r="G128" s="3"/>
      <c r="H128" s="3"/>
      <c r="I128" s="3"/>
      <c r="J128" s="3"/>
    </row>
    <row r="129" spans="1:10" x14ac:dyDescent="0.3">
      <c r="A129" s="3"/>
      <c r="B129" s="24"/>
      <c r="C129" s="3"/>
      <c r="D129" s="3"/>
      <c r="E129" s="3"/>
      <c r="F129" s="3"/>
      <c r="G129" s="3"/>
      <c r="H129" s="3"/>
      <c r="I129" s="3"/>
      <c r="J129" s="3"/>
    </row>
    <row r="130" spans="1:10" x14ac:dyDescent="0.3">
      <c r="A130" s="3"/>
      <c r="B130" s="24"/>
      <c r="C130" s="3"/>
      <c r="D130" s="3"/>
      <c r="E130" s="3"/>
      <c r="F130" s="3"/>
      <c r="G130" s="3"/>
      <c r="H130" s="3"/>
      <c r="I130" s="3"/>
      <c r="J130" s="3"/>
    </row>
    <row r="131" spans="1:10" x14ac:dyDescent="0.3">
      <c r="A131" s="3"/>
      <c r="B131" s="24"/>
      <c r="C131" s="3"/>
      <c r="D131" s="3"/>
      <c r="E131" s="3"/>
      <c r="F131" s="3"/>
      <c r="G131" s="3"/>
      <c r="H131" s="3"/>
      <c r="I131" s="3"/>
      <c r="J131" s="3"/>
    </row>
    <row r="132" spans="1:10" x14ac:dyDescent="0.3">
      <c r="A132" s="3"/>
      <c r="B132" s="24"/>
      <c r="C132" s="3"/>
      <c r="D132" s="3"/>
      <c r="E132" s="3"/>
      <c r="F132" s="3"/>
      <c r="G132" s="3"/>
      <c r="H132" s="3"/>
      <c r="I132" s="3"/>
      <c r="J132" s="3"/>
    </row>
    <row r="133" spans="1:10" x14ac:dyDescent="0.3">
      <c r="A133" s="3"/>
      <c r="B133" s="24"/>
      <c r="C133" s="3"/>
      <c r="D133" s="3"/>
      <c r="E133" s="3"/>
      <c r="F133" s="3"/>
      <c r="G133" s="3"/>
      <c r="H133" s="3"/>
      <c r="I133" s="3"/>
      <c r="J133" s="3"/>
    </row>
    <row r="134" spans="1:10" x14ac:dyDescent="0.3">
      <c r="A134" s="3"/>
      <c r="B134" s="24"/>
      <c r="C134" s="3"/>
      <c r="D134" s="3"/>
      <c r="E134" s="3"/>
      <c r="F134" s="3"/>
      <c r="G134" s="3"/>
      <c r="H134" s="3"/>
      <c r="I134" s="3"/>
      <c r="J134" s="3"/>
    </row>
    <row r="135" spans="1:10" x14ac:dyDescent="0.3">
      <c r="A135" s="3"/>
      <c r="B135" s="24"/>
      <c r="C135" s="3"/>
      <c r="D135" s="3"/>
      <c r="E135" s="3"/>
      <c r="F135" s="3"/>
      <c r="G135" s="3"/>
      <c r="H135" s="3"/>
      <c r="I135" s="3"/>
      <c r="J135" s="3"/>
    </row>
    <row r="136" spans="1:10" x14ac:dyDescent="0.3">
      <c r="A136" s="3"/>
      <c r="B136" s="24"/>
      <c r="C136" s="3"/>
      <c r="D136" s="3"/>
      <c r="E136" s="3"/>
      <c r="F136" s="3"/>
      <c r="G136" s="3"/>
      <c r="H136" s="3"/>
      <c r="I136" s="3"/>
      <c r="J136" s="3"/>
    </row>
    <row r="137" spans="1:10" x14ac:dyDescent="0.3">
      <c r="A137" s="3"/>
      <c r="B137" s="24"/>
      <c r="C137" s="3"/>
      <c r="D137" s="3"/>
      <c r="E137" s="3"/>
      <c r="F137" s="3"/>
      <c r="G137" s="3"/>
      <c r="H137" s="3"/>
      <c r="I137" s="3"/>
      <c r="J137" s="3"/>
    </row>
    <row r="138" spans="1:10" x14ac:dyDescent="0.3">
      <c r="A138" s="3"/>
      <c r="B138" s="24"/>
      <c r="C138" s="3"/>
      <c r="D138" s="3"/>
      <c r="E138" s="3"/>
      <c r="F138" s="3"/>
      <c r="G138" s="3"/>
      <c r="H138" s="3"/>
      <c r="I138" s="3"/>
      <c r="J138" s="3"/>
    </row>
    <row r="139" spans="1:10" x14ac:dyDescent="0.3">
      <c r="A139" s="3"/>
      <c r="B139" s="24"/>
      <c r="C139" s="3"/>
      <c r="D139" s="3"/>
      <c r="E139" s="3"/>
      <c r="F139" s="3"/>
      <c r="G139" s="3"/>
      <c r="H139" s="3"/>
      <c r="I139" s="3"/>
      <c r="J139" s="3"/>
    </row>
    <row r="140" spans="1:10" x14ac:dyDescent="0.3">
      <c r="A140" s="3"/>
      <c r="B140" s="24"/>
      <c r="C140" s="3"/>
      <c r="D140" s="3"/>
      <c r="E140" s="3"/>
      <c r="F140" s="3"/>
      <c r="G140" s="3"/>
      <c r="H140" s="3"/>
      <c r="I140" s="3"/>
      <c r="J140" s="3"/>
    </row>
    <row r="141" spans="1:10" x14ac:dyDescent="0.3">
      <c r="A141" s="3"/>
      <c r="B141" s="24"/>
      <c r="C141" s="3"/>
      <c r="D141" s="3"/>
      <c r="E141" s="3"/>
      <c r="F141" s="3"/>
      <c r="G141" s="3"/>
      <c r="H141" s="3"/>
      <c r="I141" s="3"/>
      <c r="J141" s="3"/>
    </row>
    <row r="142" spans="1:10" x14ac:dyDescent="0.3">
      <c r="A142" s="3"/>
      <c r="B142" s="24"/>
      <c r="C142" s="3"/>
      <c r="D142" s="3"/>
      <c r="E142" s="3"/>
      <c r="F142" s="3"/>
      <c r="G142" s="3"/>
      <c r="H142" s="3"/>
      <c r="I142" s="3"/>
      <c r="J142" s="3"/>
    </row>
    <row r="143" spans="1:10" x14ac:dyDescent="0.3">
      <c r="A143" s="3"/>
      <c r="B143" s="24"/>
      <c r="C143" s="3"/>
      <c r="D143" s="3"/>
      <c r="E143" s="3"/>
      <c r="F143" s="3"/>
      <c r="G143" s="3"/>
      <c r="H143" s="3"/>
      <c r="I143" s="3"/>
      <c r="J143" s="3"/>
    </row>
    <row r="144" spans="1:10" x14ac:dyDescent="0.3">
      <c r="A144" s="3"/>
      <c r="B144" s="24"/>
      <c r="C144" s="3"/>
      <c r="D144" s="3"/>
      <c r="E144" s="3"/>
      <c r="F144" s="3"/>
      <c r="G144" s="3"/>
      <c r="H144" s="3"/>
      <c r="I144" s="3"/>
      <c r="J144" s="3"/>
    </row>
    <row r="145" spans="1:10" x14ac:dyDescent="0.3">
      <c r="A145" s="3"/>
      <c r="B145" s="24"/>
      <c r="C145" s="3"/>
      <c r="D145" s="3"/>
      <c r="E145" s="3"/>
      <c r="F145" s="3"/>
      <c r="G145" s="3"/>
      <c r="H145" s="3"/>
      <c r="I145" s="3"/>
      <c r="J145" s="3"/>
    </row>
    <row r="146" spans="1:10" x14ac:dyDescent="0.3">
      <c r="A146" s="3"/>
      <c r="B146" s="24"/>
      <c r="C146" s="3"/>
      <c r="D146" s="3"/>
      <c r="E146" s="3"/>
      <c r="F146" s="3"/>
      <c r="G146" s="3"/>
      <c r="H146" s="3"/>
      <c r="I146" s="3"/>
      <c r="J146" s="3"/>
    </row>
    <row r="147" spans="1:10" x14ac:dyDescent="0.3">
      <c r="A147" s="3"/>
      <c r="B147" s="24"/>
      <c r="C147" s="3"/>
      <c r="D147" s="3"/>
      <c r="E147" s="3"/>
      <c r="F147" s="3"/>
      <c r="G147" s="3"/>
      <c r="H147" s="3"/>
      <c r="I147" s="3"/>
      <c r="J147" s="3"/>
    </row>
    <row r="148" spans="1:10" x14ac:dyDescent="0.3">
      <c r="A148" s="3"/>
      <c r="B148" s="24"/>
      <c r="C148" s="3"/>
      <c r="D148" s="3"/>
      <c r="E148" s="3"/>
      <c r="F148" s="3"/>
      <c r="G148" s="3"/>
      <c r="H148" s="3"/>
      <c r="I148" s="3"/>
      <c r="J148" s="3"/>
    </row>
    <row r="149" spans="1:10" x14ac:dyDescent="0.3">
      <c r="A149" s="3"/>
      <c r="B149" s="24"/>
      <c r="C149" s="3"/>
      <c r="D149" s="3"/>
      <c r="E149" s="3"/>
      <c r="F149" s="3"/>
      <c r="G149" s="3"/>
      <c r="H149" s="3"/>
      <c r="I149" s="3"/>
      <c r="J149" s="3"/>
    </row>
    <row r="150" spans="1:10" x14ac:dyDescent="0.3">
      <c r="A150" s="3"/>
      <c r="B150" s="24"/>
      <c r="C150" s="3"/>
      <c r="D150" s="3"/>
      <c r="E150" s="3"/>
      <c r="F150" s="3"/>
      <c r="G150" s="3"/>
      <c r="H150" s="3"/>
      <c r="I150" s="3"/>
      <c r="J150" s="3"/>
    </row>
    <row r="151" spans="1:10" x14ac:dyDescent="0.3">
      <c r="A151" s="3"/>
      <c r="B151" s="24"/>
      <c r="C151" s="3"/>
      <c r="D151" s="3"/>
      <c r="E151" s="3"/>
      <c r="F151" s="3"/>
      <c r="G151" s="3"/>
      <c r="H151" s="3"/>
      <c r="I151" s="3"/>
      <c r="J151" s="3"/>
    </row>
    <row r="152" spans="1:10" x14ac:dyDescent="0.3">
      <c r="A152" s="3"/>
      <c r="B152" s="24"/>
      <c r="C152" s="3"/>
      <c r="D152" s="3"/>
      <c r="E152" s="3"/>
      <c r="F152" s="3"/>
      <c r="G152" s="3"/>
      <c r="H152" s="3"/>
      <c r="I152" s="3"/>
      <c r="J152" s="3"/>
    </row>
    <row r="153" spans="1:10" x14ac:dyDescent="0.3">
      <c r="A153" s="3"/>
      <c r="B153" s="24"/>
      <c r="C153" s="3"/>
      <c r="D153" s="3"/>
      <c r="E153" s="3"/>
      <c r="F153" s="3"/>
      <c r="G153" s="3"/>
      <c r="H153" s="3"/>
      <c r="I153" s="3"/>
      <c r="J153" s="3"/>
    </row>
    <row r="154" spans="1:10" x14ac:dyDescent="0.3">
      <c r="A154" s="3"/>
      <c r="B154" s="24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24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24"/>
      <c r="C156" s="3"/>
      <c r="D156" s="3"/>
      <c r="E156" s="3"/>
      <c r="F156" s="3"/>
      <c r="G156" s="3"/>
      <c r="H156" s="3"/>
      <c r="I156" s="3"/>
      <c r="J156" s="3"/>
    </row>
    <row r="157" spans="1:10" x14ac:dyDescent="0.3">
      <c r="A157" s="3"/>
      <c r="B157" s="24"/>
      <c r="C157" s="3"/>
      <c r="D157" s="3"/>
      <c r="E157" s="3"/>
      <c r="F157" s="3"/>
      <c r="G157" s="3"/>
      <c r="H157" s="3"/>
      <c r="I157" s="3"/>
      <c r="J157" s="3"/>
    </row>
    <row r="158" spans="1:10" x14ac:dyDescent="0.3">
      <c r="A158" s="3"/>
      <c r="B158" s="24"/>
      <c r="C158" s="3"/>
      <c r="D158" s="3"/>
      <c r="E158" s="3"/>
      <c r="F158" s="3"/>
      <c r="G158" s="3"/>
      <c r="H158" s="3"/>
      <c r="I158" s="3"/>
      <c r="J158" s="3"/>
    </row>
    <row r="159" spans="1:10" x14ac:dyDescent="0.3">
      <c r="A159" s="3"/>
      <c r="B159" s="24"/>
      <c r="C159" s="3"/>
      <c r="D159" s="3"/>
      <c r="E159" s="3"/>
      <c r="F159" s="3"/>
      <c r="G159" s="3"/>
      <c r="H159" s="3"/>
      <c r="I159" s="3"/>
      <c r="J159" s="3"/>
    </row>
    <row r="160" spans="1:10" x14ac:dyDescent="0.3">
      <c r="A160" s="3"/>
      <c r="B160" s="24"/>
      <c r="C160" s="3"/>
      <c r="D160" s="3"/>
      <c r="E160" s="3"/>
      <c r="F160" s="3"/>
      <c r="G160" s="3"/>
      <c r="H160" s="3"/>
      <c r="I160" s="3"/>
      <c r="J160" s="3"/>
    </row>
    <row r="161" spans="1:10" x14ac:dyDescent="0.3">
      <c r="A161" s="3"/>
      <c r="B161" s="24"/>
      <c r="C161" s="3"/>
      <c r="D161" s="3"/>
      <c r="E161" s="3"/>
      <c r="F161" s="3"/>
      <c r="G161" s="3"/>
      <c r="H161" s="3"/>
      <c r="I161" s="3"/>
      <c r="J161" s="3"/>
    </row>
    <row r="162" spans="1:10" x14ac:dyDescent="0.3">
      <c r="A162" s="3"/>
      <c r="B162" s="24"/>
      <c r="C162" s="3"/>
      <c r="D162" s="3"/>
      <c r="E162" s="3"/>
      <c r="F162" s="3"/>
      <c r="G162" s="3"/>
      <c r="H162" s="3"/>
      <c r="I162" s="3"/>
      <c r="J162" s="3"/>
    </row>
    <row r="163" spans="1:10" x14ac:dyDescent="0.3">
      <c r="A163" s="3"/>
      <c r="B163" s="24"/>
      <c r="C163" s="3"/>
      <c r="D163" s="3"/>
      <c r="E163" s="3"/>
      <c r="F163" s="3"/>
      <c r="G163" s="3"/>
      <c r="H163" s="3"/>
      <c r="I163" s="3"/>
      <c r="J163" s="3"/>
    </row>
    <row r="164" spans="1:10" x14ac:dyDescent="0.3">
      <c r="A164" s="3"/>
      <c r="B164" s="24"/>
      <c r="C164" s="3"/>
      <c r="D164" s="3"/>
      <c r="E164" s="3"/>
      <c r="F164" s="3"/>
      <c r="G164" s="3"/>
      <c r="H164" s="3"/>
      <c r="I164" s="3"/>
      <c r="J164" s="3"/>
    </row>
    <row r="165" spans="1:10" x14ac:dyDescent="0.3">
      <c r="A165" s="3"/>
      <c r="B165" s="24"/>
      <c r="C165" s="3"/>
      <c r="D165" s="3"/>
      <c r="E165" s="3"/>
      <c r="F165" s="3"/>
      <c r="G165" s="3"/>
      <c r="H165" s="3"/>
      <c r="I165" s="3"/>
      <c r="J165" s="3"/>
    </row>
    <row r="166" spans="1:10" x14ac:dyDescent="0.3">
      <c r="A166" s="3"/>
      <c r="B166" s="24"/>
      <c r="C166" s="3"/>
      <c r="D166" s="3"/>
      <c r="E166" s="3"/>
      <c r="F166" s="3"/>
      <c r="G166" s="3"/>
      <c r="H166" s="3"/>
      <c r="I166" s="3"/>
      <c r="J166" s="3"/>
    </row>
    <row r="167" spans="1:10" x14ac:dyDescent="0.3">
      <c r="A167" s="3"/>
      <c r="B167" s="24"/>
      <c r="C167" s="3"/>
      <c r="D167" s="3"/>
      <c r="E167" s="3"/>
      <c r="F167" s="3"/>
      <c r="G167" s="3"/>
      <c r="H167" s="3"/>
      <c r="I167" s="3"/>
      <c r="J167" s="3"/>
    </row>
    <row r="168" spans="1:10" x14ac:dyDescent="0.3">
      <c r="A168" s="3"/>
      <c r="B168" s="24"/>
      <c r="C168" s="3"/>
      <c r="D168" s="3"/>
      <c r="E168" s="3"/>
      <c r="F168" s="3"/>
      <c r="G168" s="3"/>
      <c r="H168" s="3"/>
      <c r="I168" s="3"/>
      <c r="J168" s="3"/>
    </row>
    <row r="169" spans="1:10" x14ac:dyDescent="0.3">
      <c r="A169" s="3"/>
      <c r="B169" s="24"/>
      <c r="C169" s="3"/>
      <c r="D169" s="3"/>
      <c r="E169" s="3"/>
      <c r="F169" s="3"/>
      <c r="G169" s="3"/>
      <c r="H169" s="3"/>
      <c r="I169" s="3"/>
      <c r="J169" s="3"/>
    </row>
    <row r="170" spans="1:10" x14ac:dyDescent="0.3">
      <c r="A170" s="3"/>
      <c r="B170" s="24"/>
      <c r="C170" s="3"/>
      <c r="D170" s="3"/>
      <c r="E170" s="3"/>
      <c r="F170" s="3"/>
      <c r="G170" s="3"/>
      <c r="H170" s="3"/>
      <c r="I170" s="3"/>
      <c r="J170" s="3"/>
    </row>
    <row r="171" spans="1:10" x14ac:dyDescent="0.3">
      <c r="A171" s="3"/>
      <c r="B171" s="24"/>
      <c r="C171" s="3"/>
      <c r="D171" s="3"/>
      <c r="E171" s="3"/>
      <c r="F171" s="3"/>
      <c r="G171" s="3"/>
      <c r="H171" s="3"/>
      <c r="I171" s="3"/>
      <c r="J171" s="3"/>
    </row>
    <row r="172" spans="1:10" x14ac:dyDescent="0.3">
      <c r="A172" s="3"/>
      <c r="B172" s="24"/>
      <c r="C172" s="3"/>
      <c r="D172" s="3"/>
      <c r="E172" s="3"/>
      <c r="F172" s="3"/>
      <c r="G172" s="3"/>
      <c r="H172" s="3"/>
      <c r="I172" s="3"/>
      <c r="J172" s="3"/>
    </row>
    <row r="173" spans="1:10" x14ac:dyDescent="0.3">
      <c r="A173" s="3"/>
      <c r="B173" s="24"/>
      <c r="C173" s="3"/>
      <c r="D173" s="3"/>
      <c r="E173" s="3"/>
      <c r="F173" s="3"/>
      <c r="G173" s="3"/>
      <c r="H173" s="3"/>
      <c r="I173" s="3"/>
      <c r="J173" s="3"/>
    </row>
    <row r="174" spans="1:10" x14ac:dyDescent="0.3">
      <c r="A174" s="3"/>
      <c r="B174" s="24"/>
      <c r="C174" s="3"/>
      <c r="D174" s="3"/>
      <c r="E174" s="3"/>
      <c r="F174" s="3"/>
      <c r="G174" s="3"/>
      <c r="H174" s="3"/>
      <c r="I174" s="3"/>
      <c r="J174" s="3"/>
    </row>
    <row r="175" spans="1:10" x14ac:dyDescent="0.3">
      <c r="A175" s="3"/>
      <c r="B175" s="24"/>
      <c r="C175" s="3"/>
      <c r="D175" s="3"/>
      <c r="E175" s="3"/>
      <c r="F175" s="3"/>
      <c r="G175" s="3"/>
      <c r="H175" s="3"/>
      <c r="I175" s="3"/>
      <c r="J175" s="3"/>
    </row>
    <row r="176" spans="1:10" x14ac:dyDescent="0.3">
      <c r="A176" s="3"/>
      <c r="B176" s="24"/>
      <c r="C176" s="3"/>
      <c r="D176" s="3"/>
      <c r="E176" s="3"/>
      <c r="F176" s="3"/>
      <c r="G176" s="3"/>
      <c r="H176" s="3"/>
      <c r="I176" s="3"/>
      <c r="J176" s="3"/>
    </row>
    <row r="177" spans="1:10" x14ac:dyDescent="0.3">
      <c r="A177" s="3"/>
      <c r="B177" s="24"/>
      <c r="C177" s="3"/>
      <c r="D177" s="3"/>
      <c r="E177" s="3"/>
      <c r="F177" s="3"/>
      <c r="G177" s="3"/>
      <c r="H177" s="3"/>
      <c r="I177" s="3"/>
      <c r="J177" s="3"/>
    </row>
    <row r="178" spans="1:10" x14ac:dyDescent="0.3">
      <c r="A178" s="3"/>
      <c r="B178" s="24"/>
      <c r="C178" s="3"/>
      <c r="D178" s="3"/>
      <c r="E178" s="3"/>
      <c r="F178" s="3"/>
      <c r="G178" s="3"/>
      <c r="H178" s="3"/>
      <c r="I178" s="3"/>
      <c r="J178" s="3"/>
    </row>
    <row r="179" spans="1:10" x14ac:dyDescent="0.3">
      <c r="A179" s="3"/>
      <c r="B179" s="24"/>
      <c r="C179" s="3"/>
      <c r="D179" s="3"/>
      <c r="E179" s="3"/>
      <c r="F179" s="3"/>
      <c r="G179" s="3"/>
      <c r="H179" s="3"/>
      <c r="I179" s="3"/>
      <c r="J179" s="3"/>
    </row>
    <row r="180" spans="1:10" x14ac:dyDescent="0.3">
      <c r="A180" s="3"/>
      <c r="B180" s="24"/>
      <c r="C180" s="3"/>
      <c r="D180" s="3"/>
      <c r="E180" s="3"/>
      <c r="F180" s="3"/>
      <c r="G180" s="3"/>
      <c r="H180" s="3"/>
      <c r="I180" s="3"/>
      <c r="J180" s="3"/>
    </row>
    <row r="181" spans="1:10" x14ac:dyDescent="0.3">
      <c r="A181" s="3"/>
      <c r="B181" s="24"/>
      <c r="C181" s="3"/>
      <c r="D181" s="3"/>
      <c r="E181" s="3"/>
      <c r="F181" s="3"/>
      <c r="G181" s="3"/>
      <c r="H181" s="3"/>
      <c r="I181" s="3"/>
      <c r="J181" s="3"/>
    </row>
    <row r="182" spans="1:10" x14ac:dyDescent="0.3">
      <c r="A182" s="3"/>
      <c r="B182" s="24"/>
      <c r="C182" s="3"/>
      <c r="D182" s="3"/>
      <c r="E182" s="3"/>
      <c r="F182" s="3"/>
      <c r="G182" s="3"/>
      <c r="H182" s="3"/>
      <c r="I182" s="3"/>
      <c r="J182" s="3"/>
    </row>
    <row r="183" spans="1:10" x14ac:dyDescent="0.3">
      <c r="A183" s="3"/>
      <c r="B183" s="24"/>
      <c r="C183" s="3"/>
      <c r="D183" s="3"/>
      <c r="E183" s="3"/>
      <c r="F183" s="3"/>
      <c r="G183" s="3"/>
      <c r="H183" s="3"/>
      <c r="I183" s="3"/>
      <c r="J183" s="3"/>
    </row>
    <row r="184" spans="1:10" x14ac:dyDescent="0.3">
      <c r="A184" s="3"/>
      <c r="B184" s="24"/>
      <c r="C184" s="3"/>
      <c r="D184" s="3"/>
      <c r="E184" s="3"/>
      <c r="F184" s="3"/>
      <c r="G184" s="3"/>
      <c r="H184" s="3"/>
      <c r="I184" s="3"/>
      <c r="J184" s="3"/>
    </row>
    <row r="185" spans="1:10" x14ac:dyDescent="0.3">
      <c r="A185" s="3"/>
      <c r="B185" s="24"/>
      <c r="C185" s="3"/>
      <c r="D185" s="3"/>
      <c r="E185" s="3"/>
      <c r="F185" s="3"/>
      <c r="G185" s="3"/>
      <c r="H185" s="3"/>
      <c r="I185" s="3"/>
      <c r="J185" s="3"/>
    </row>
    <row r="186" spans="1:10" x14ac:dyDescent="0.3">
      <c r="A186" s="3"/>
      <c r="B186" s="24"/>
      <c r="C186" s="3"/>
      <c r="D186" s="3"/>
      <c r="E186" s="3"/>
      <c r="F186" s="3"/>
      <c r="G186" s="3"/>
      <c r="H186" s="3"/>
      <c r="I186" s="3"/>
      <c r="J186" s="3"/>
    </row>
    <row r="187" spans="1:10" x14ac:dyDescent="0.3">
      <c r="A187" s="3"/>
      <c r="B187" s="24"/>
      <c r="C187" s="3"/>
      <c r="D187" s="3"/>
      <c r="E187" s="3"/>
      <c r="F187" s="3"/>
      <c r="G187" s="3"/>
      <c r="H187" s="3"/>
      <c r="I187" s="3"/>
      <c r="J187" s="3"/>
    </row>
    <row r="188" spans="1:10" x14ac:dyDescent="0.3">
      <c r="A188" s="3"/>
      <c r="B188" s="24"/>
      <c r="C188" s="3"/>
      <c r="D188" s="3"/>
      <c r="E188" s="3"/>
      <c r="F188" s="3"/>
      <c r="G188" s="3"/>
      <c r="H188" s="3"/>
      <c r="I188" s="3"/>
      <c r="J188" s="3"/>
    </row>
    <row r="189" spans="1:10" x14ac:dyDescent="0.3">
      <c r="A189" s="3"/>
      <c r="B189" s="24"/>
      <c r="C189" s="3"/>
      <c r="D189" s="3"/>
      <c r="E189" s="3"/>
      <c r="F189" s="3"/>
      <c r="G189" s="3"/>
      <c r="H189" s="3"/>
      <c r="I189" s="3"/>
      <c r="J189" s="3"/>
    </row>
    <row r="190" spans="1:10" x14ac:dyDescent="0.3">
      <c r="A190" s="3"/>
      <c r="B190" s="24"/>
      <c r="C190" s="3"/>
      <c r="D190" s="3"/>
      <c r="E190" s="3"/>
      <c r="F190" s="3"/>
      <c r="G190" s="3"/>
      <c r="H190" s="3"/>
      <c r="I190" s="3"/>
      <c r="J190" s="3"/>
    </row>
    <row r="191" spans="1:10" x14ac:dyDescent="0.3">
      <c r="A191" s="3"/>
      <c r="B191" s="24"/>
      <c r="C191" s="3"/>
      <c r="D191" s="3"/>
      <c r="E191" s="3"/>
      <c r="F191" s="3"/>
      <c r="G191" s="3"/>
      <c r="H191" s="3"/>
      <c r="I191" s="3"/>
      <c r="J191" s="3"/>
    </row>
    <row r="192" spans="1:10" x14ac:dyDescent="0.3">
      <c r="A192" s="3"/>
      <c r="B192" s="24"/>
      <c r="C192" s="3"/>
      <c r="D192" s="3"/>
      <c r="E192" s="3"/>
      <c r="F192" s="3"/>
      <c r="G192" s="3"/>
      <c r="H192" s="3"/>
      <c r="I192" s="3"/>
      <c r="J192" s="3"/>
    </row>
    <row r="193" spans="1:10" x14ac:dyDescent="0.3">
      <c r="A193" s="3"/>
      <c r="B193" s="24"/>
      <c r="C193" s="3"/>
      <c r="D193" s="3"/>
      <c r="E193" s="3"/>
      <c r="F193" s="3"/>
      <c r="G193" s="3"/>
      <c r="H193" s="3"/>
      <c r="I193" s="3"/>
      <c r="J193" s="3"/>
    </row>
    <row r="194" spans="1:10" x14ac:dyDescent="0.3">
      <c r="A194" s="3"/>
      <c r="B194" s="24"/>
      <c r="C194" s="3"/>
      <c r="D194" s="3"/>
      <c r="E194" s="3"/>
      <c r="F194" s="3"/>
      <c r="G194" s="3"/>
      <c r="H194" s="3"/>
      <c r="I194" s="3"/>
      <c r="J194" s="3"/>
    </row>
    <row r="195" spans="1:10" x14ac:dyDescent="0.3">
      <c r="A195" s="3"/>
      <c r="B195" s="24"/>
      <c r="C195" s="3"/>
      <c r="D195" s="3"/>
      <c r="E195" s="3"/>
      <c r="F195" s="3"/>
      <c r="G195" s="3"/>
      <c r="H195" s="3"/>
      <c r="I195" s="3"/>
      <c r="J195" s="3"/>
    </row>
    <row r="196" spans="1:10" x14ac:dyDescent="0.3">
      <c r="A196" s="3"/>
      <c r="B196" s="24"/>
      <c r="C196" s="3"/>
      <c r="D196" s="3"/>
      <c r="E196" s="3"/>
      <c r="F196" s="3"/>
      <c r="G196" s="3"/>
      <c r="H196" s="3"/>
      <c r="I196" s="3"/>
      <c r="J196" s="3"/>
    </row>
    <row r="197" spans="1:10" x14ac:dyDescent="0.3">
      <c r="A197" s="3"/>
      <c r="B197" s="24"/>
      <c r="C197" s="3"/>
      <c r="D197" s="3"/>
      <c r="E197" s="3"/>
      <c r="F197" s="3"/>
      <c r="G197" s="3"/>
      <c r="H197" s="3"/>
      <c r="I197" s="3"/>
      <c r="J197" s="3"/>
    </row>
    <row r="198" spans="1:10" x14ac:dyDescent="0.3">
      <c r="A198" s="3"/>
      <c r="B198" s="24"/>
      <c r="C198" s="3"/>
      <c r="D198" s="3"/>
      <c r="E198" s="3"/>
      <c r="F198" s="3"/>
      <c r="G198" s="3"/>
      <c r="H198" s="3"/>
      <c r="I198" s="3"/>
      <c r="J198" s="3"/>
    </row>
    <row r="199" spans="1:10" x14ac:dyDescent="0.3">
      <c r="A199" s="3"/>
      <c r="B199" s="24"/>
      <c r="C199" s="3"/>
      <c r="D199" s="3"/>
      <c r="E199" s="3"/>
      <c r="F199" s="3"/>
      <c r="G199" s="3"/>
      <c r="H199" s="3"/>
      <c r="I199" s="3"/>
      <c r="J199" s="3"/>
    </row>
    <row r="200" spans="1:10" x14ac:dyDescent="0.3">
      <c r="A200" s="3"/>
      <c r="B200" s="24"/>
      <c r="C200" s="3"/>
      <c r="D200" s="3"/>
      <c r="E200" s="3"/>
      <c r="F200" s="3"/>
      <c r="G200" s="3"/>
      <c r="H200" s="3"/>
      <c r="I200" s="3"/>
      <c r="J200" s="3"/>
    </row>
    <row r="201" spans="1:10" x14ac:dyDescent="0.3">
      <c r="A201" s="3"/>
      <c r="B201" s="24"/>
      <c r="C201" s="3"/>
      <c r="D201" s="3"/>
      <c r="E201" s="3"/>
      <c r="F201" s="3"/>
      <c r="G201" s="3"/>
      <c r="H201" s="3"/>
      <c r="I201" s="3"/>
      <c r="J201" s="3"/>
    </row>
    <row r="202" spans="1:10" x14ac:dyDescent="0.3">
      <c r="A202" s="3"/>
      <c r="B202" s="24"/>
      <c r="C202" s="3"/>
      <c r="D202" s="3"/>
      <c r="E202" s="3"/>
      <c r="F202" s="3"/>
      <c r="G202" s="3"/>
      <c r="H202" s="3"/>
      <c r="I202" s="3"/>
      <c r="J202" s="3"/>
    </row>
    <row r="203" spans="1:10" x14ac:dyDescent="0.3">
      <c r="A203" s="3"/>
      <c r="B203" s="24"/>
      <c r="C203" s="3"/>
      <c r="D203" s="3"/>
      <c r="E203" s="3"/>
      <c r="F203" s="3"/>
      <c r="G203" s="3"/>
      <c r="H203" s="3"/>
      <c r="I203" s="3"/>
      <c r="J203" s="3"/>
    </row>
    <row r="204" spans="1:10" x14ac:dyDescent="0.3">
      <c r="A204" s="3"/>
      <c r="B204" s="24"/>
      <c r="C204" s="3"/>
      <c r="D204" s="3"/>
      <c r="E204" s="3"/>
      <c r="F204" s="3"/>
      <c r="G204" s="3"/>
      <c r="H204" s="3"/>
      <c r="I204" s="3"/>
      <c r="J204" s="3"/>
    </row>
    <row r="205" spans="1:10" x14ac:dyDescent="0.3">
      <c r="A205" s="3"/>
      <c r="B205" s="24"/>
      <c r="C205" s="3"/>
      <c r="D205" s="3"/>
      <c r="E205" s="3"/>
      <c r="F205" s="3"/>
      <c r="G205" s="3"/>
      <c r="H205" s="3"/>
      <c r="I205" s="3"/>
      <c r="J205" s="3"/>
    </row>
    <row r="206" spans="1:10" x14ac:dyDescent="0.3">
      <c r="A206" s="3"/>
      <c r="B206" s="24"/>
      <c r="C206" s="3"/>
      <c r="D206" s="3"/>
      <c r="E206" s="3"/>
      <c r="F206" s="3"/>
      <c r="G206" s="3"/>
      <c r="H206" s="3"/>
      <c r="I206" s="3"/>
      <c r="J206" s="3"/>
    </row>
    <row r="207" spans="1:10" x14ac:dyDescent="0.3">
      <c r="A207" s="3"/>
      <c r="B207" s="24"/>
      <c r="C207" s="3"/>
      <c r="D207" s="3"/>
      <c r="E207" s="3"/>
      <c r="F207" s="3"/>
      <c r="G207" s="3"/>
      <c r="H207" s="3"/>
      <c r="I207" s="3"/>
      <c r="J207" s="3"/>
    </row>
    <row r="208" spans="1:10" x14ac:dyDescent="0.3">
      <c r="A208" s="3"/>
      <c r="B208" s="24"/>
      <c r="C208" s="3"/>
      <c r="D208" s="3"/>
      <c r="E208" s="3"/>
      <c r="F208" s="3"/>
      <c r="G208" s="3"/>
      <c r="H208" s="3"/>
      <c r="I208" s="3"/>
      <c r="J208" s="3"/>
    </row>
    <row r="209" spans="1:10" x14ac:dyDescent="0.3">
      <c r="A209" s="3"/>
      <c r="B209" s="24"/>
      <c r="C209" s="3"/>
      <c r="D209" s="3"/>
      <c r="E209" s="3"/>
      <c r="F209" s="3"/>
      <c r="G209" s="3"/>
      <c r="H209" s="3"/>
      <c r="I209" s="3"/>
      <c r="J209" s="3"/>
    </row>
    <row r="210" spans="1:10" x14ac:dyDescent="0.3">
      <c r="A210" s="3"/>
      <c r="B210" s="24"/>
      <c r="C210" s="3"/>
      <c r="D210" s="3"/>
      <c r="E210" s="3"/>
      <c r="F210" s="3"/>
      <c r="G210" s="3"/>
      <c r="H210" s="3"/>
      <c r="I210" s="3"/>
      <c r="J210" s="3"/>
    </row>
    <row r="211" spans="1:10" x14ac:dyDescent="0.3">
      <c r="A211" s="3"/>
      <c r="B211" s="24"/>
      <c r="C211" s="3"/>
      <c r="D211" s="3"/>
      <c r="E211" s="3"/>
      <c r="F211" s="3"/>
      <c r="G211" s="3"/>
      <c r="H211" s="3"/>
      <c r="I211" s="3"/>
      <c r="J211" s="3"/>
    </row>
    <row r="212" spans="1:10" x14ac:dyDescent="0.3">
      <c r="A212" s="3"/>
      <c r="B212" s="24"/>
      <c r="C212" s="3"/>
      <c r="D212" s="3"/>
      <c r="E212" s="3"/>
      <c r="F212" s="3"/>
      <c r="G212" s="3"/>
      <c r="H212" s="3"/>
      <c r="I212" s="3"/>
      <c r="J212" s="3"/>
    </row>
    <row r="213" spans="1:10" x14ac:dyDescent="0.3">
      <c r="A213" s="3"/>
      <c r="B213" s="24"/>
      <c r="C213" s="3"/>
      <c r="D213" s="3"/>
      <c r="E213" s="3"/>
      <c r="F213" s="3"/>
      <c r="G213" s="3"/>
      <c r="H213" s="3"/>
      <c r="I213" s="3"/>
      <c r="J213" s="3"/>
    </row>
    <row r="214" spans="1:10" x14ac:dyDescent="0.3">
      <c r="A214" s="3"/>
      <c r="B214" s="24"/>
      <c r="C214" s="3"/>
      <c r="D214" s="3"/>
      <c r="E214" s="3"/>
      <c r="F214" s="3"/>
      <c r="G214" s="3"/>
      <c r="H214" s="3"/>
      <c r="I214" s="3"/>
      <c r="J214" s="3"/>
    </row>
    <row r="215" spans="1:10" x14ac:dyDescent="0.3">
      <c r="A215" s="3"/>
      <c r="B215" s="24"/>
      <c r="C215" s="3"/>
      <c r="D215" s="3"/>
      <c r="E215" s="3"/>
      <c r="F215" s="3"/>
      <c r="G215" s="3"/>
      <c r="H215" s="3"/>
      <c r="I215" s="3"/>
      <c r="J215" s="3"/>
    </row>
    <row r="216" spans="1:10" x14ac:dyDescent="0.3">
      <c r="A216" s="3"/>
      <c r="B216" s="24"/>
      <c r="C216" s="3"/>
      <c r="D216" s="3"/>
      <c r="E216" s="3"/>
      <c r="F216" s="3"/>
      <c r="G216" s="3"/>
      <c r="H216" s="3"/>
      <c r="I216" s="3"/>
      <c r="J216" s="3"/>
    </row>
    <row r="217" spans="1:10" x14ac:dyDescent="0.3">
      <c r="A217" s="3"/>
      <c r="B217" s="24"/>
      <c r="C217" s="3"/>
      <c r="D217" s="3"/>
      <c r="E217" s="3"/>
      <c r="F217" s="3"/>
      <c r="G217" s="3"/>
      <c r="H217" s="3"/>
      <c r="I217" s="3"/>
      <c r="J217" s="3"/>
    </row>
    <row r="218" spans="1:10" x14ac:dyDescent="0.3">
      <c r="A218" s="3"/>
      <c r="B218" s="24"/>
      <c r="C218" s="3"/>
      <c r="D218" s="3"/>
      <c r="E218" s="3"/>
      <c r="F218" s="3"/>
      <c r="G218" s="3"/>
      <c r="H218" s="3"/>
      <c r="I218" s="3"/>
      <c r="J218" s="3"/>
    </row>
    <row r="219" spans="1:10" x14ac:dyDescent="0.3">
      <c r="A219" s="3"/>
      <c r="B219" s="24"/>
      <c r="C219" s="3"/>
      <c r="D219" s="3"/>
      <c r="E219" s="3"/>
      <c r="F219" s="3"/>
      <c r="G219" s="3"/>
      <c r="H219" s="3"/>
      <c r="I219" s="3"/>
      <c r="J219" s="3"/>
    </row>
    <row r="220" spans="1:10" x14ac:dyDescent="0.3">
      <c r="A220" s="3"/>
      <c r="B220" s="24"/>
      <c r="C220" s="3"/>
      <c r="D220" s="3"/>
      <c r="E220" s="3"/>
      <c r="F220" s="3"/>
      <c r="G220" s="3"/>
      <c r="H220" s="3"/>
      <c r="I220" s="3"/>
      <c r="J220" s="3"/>
    </row>
    <row r="221" spans="1:10" x14ac:dyDescent="0.3">
      <c r="A221" s="3"/>
      <c r="B221" s="24"/>
      <c r="C221" s="3"/>
      <c r="D221" s="3"/>
      <c r="E221" s="3"/>
      <c r="F221" s="3"/>
      <c r="G221" s="3"/>
      <c r="H221" s="3"/>
      <c r="I221" s="3"/>
      <c r="J221" s="3"/>
    </row>
    <row r="222" spans="1:10" x14ac:dyDescent="0.3">
      <c r="A222" s="3"/>
      <c r="B222" s="24"/>
      <c r="C222" s="3"/>
      <c r="D222" s="3"/>
      <c r="E222" s="3"/>
      <c r="F222" s="3"/>
      <c r="G222" s="3"/>
      <c r="H222" s="3"/>
      <c r="I222" s="3"/>
      <c r="J222" s="3"/>
    </row>
    <row r="223" spans="1:10" x14ac:dyDescent="0.3">
      <c r="A223" s="3"/>
      <c r="B223" s="24"/>
      <c r="C223" s="3"/>
      <c r="D223" s="3"/>
      <c r="E223" s="3"/>
      <c r="F223" s="3"/>
      <c r="G223" s="3"/>
      <c r="H223" s="3"/>
      <c r="I223" s="3"/>
      <c r="J223" s="3"/>
    </row>
    <row r="224" spans="1:10" x14ac:dyDescent="0.3">
      <c r="A224" s="3"/>
      <c r="B224" s="24"/>
      <c r="C224" s="3"/>
      <c r="D224" s="3"/>
      <c r="E224" s="3"/>
      <c r="F224" s="3"/>
      <c r="G224" s="3"/>
      <c r="H224" s="3"/>
      <c r="I224" s="3"/>
      <c r="J224" s="3"/>
    </row>
    <row r="225" spans="1:10" x14ac:dyDescent="0.3">
      <c r="A225" s="3"/>
      <c r="B225" s="24"/>
      <c r="C225" s="3"/>
      <c r="D225" s="3"/>
      <c r="E225" s="3"/>
      <c r="F225" s="3"/>
      <c r="G225" s="3"/>
      <c r="H225" s="3"/>
      <c r="I225" s="3"/>
      <c r="J225" s="3"/>
    </row>
    <row r="226" spans="1:10" x14ac:dyDescent="0.3">
      <c r="A226" s="3"/>
      <c r="B226" s="24"/>
      <c r="C226" s="3"/>
      <c r="D226" s="3"/>
      <c r="E226" s="3"/>
      <c r="F226" s="3"/>
      <c r="G226" s="3"/>
      <c r="H226" s="3"/>
      <c r="I226" s="3"/>
      <c r="J226" s="3"/>
    </row>
    <row r="227" spans="1:10" x14ac:dyDescent="0.3">
      <c r="A227" s="3"/>
      <c r="B227" s="24"/>
      <c r="C227" s="3"/>
      <c r="D227" s="3"/>
      <c r="E227" s="3"/>
      <c r="F227" s="3"/>
      <c r="G227" s="3"/>
      <c r="H227" s="3"/>
      <c r="I227" s="3"/>
      <c r="J227" s="3"/>
    </row>
    <row r="228" spans="1:10" x14ac:dyDescent="0.3">
      <c r="A228" s="3"/>
      <c r="B228" s="24"/>
      <c r="C228" s="3"/>
      <c r="D228" s="3"/>
      <c r="E228" s="3"/>
      <c r="F228" s="3"/>
      <c r="G228" s="3"/>
      <c r="H228" s="3"/>
      <c r="I228" s="3"/>
      <c r="J228" s="3"/>
    </row>
    <row r="229" spans="1:10" x14ac:dyDescent="0.3">
      <c r="A229" s="3"/>
      <c r="B229" s="24"/>
      <c r="C229" s="3"/>
      <c r="D229" s="3"/>
      <c r="E229" s="3"/>
      <c r="F229" s="3"/>
      <c r="G229" s="3"/>
      <c r="H229" s="3"/>
      <c r="I229" s="3"/>
      <c r="J229" s="3"/>
    </row>
    <row r="230" spans="1:10" x14ac:dyDescent="0.3">
      <c r="A230" s="3"/>
      <c r="B230" s="24"/>
      <c r="C230" s="3"/>
      <c r="D230" s="3"/>
      <c r="E230" s="3"/>
      <c r="F230" s="3"/>
      <c r="G230" s="3"/>
      <c r="H230" s="3"/>
      <c r="I230" s="3"/>
      <c r="J230" s="3"/>
    </row>
    <row r="231" spans="1:10" x14ac:dyDescent="0.3">
      <c r="A231" s="3"/>
      <c r="B231" s="24"/>
      <c r="C231" s="3"/>
      <c r="D231" s="3"/>
      <c r="E231" s="3"/>
      <c r="F231" s="3"/>
      <c r="G231" s="3"/>
      <c r="H231" s="3"/>
      <c r="I231" s="3"/>
      <c r="J231" s="3"/>
    </row>
    <row r="232" spans="1:10" x14ac:dyDescent="0.3">
      <c r="A232" s="3"/>
      <c r="B232" s="24"/>
      <c r="C232" s="3"/>
      <c r="D232" s="3"/>
      <c r="E232" s="3"/>
      <c r="F232" s="3"/>
      <c r="G232" s="3"/>
      <c r="H232" s="3"/>
      <c r="I232" s="3"/>
      <c r="J232" s="3"/>
    </row>
    <row r="233" spans="1:10" x14ac:dyDescent="0.3">
      <c r="A233" s="3"/>
      <c r="B233" s="24"/>
      <c r="C233" s="3"/>
      <c r="D233" s="3"/>
      <c r="E233" s="3"/>
      <c r="F233" s="3"/>
      <c r="G233" s="3"/>
      <c r="H233" s="3"/>
      <c r="I233" s="3"/>
      <c r="J233" s="3"/>
    </row>
    <row r="234" spans="1:10" x14ac:dyDescent="0.3">
      <c r="A234" s="3"/>
      <c r="B234" s="24"/>
      <c r="C234" s="3"/>
      <c r="D234" s="3"/>
      <c r="E234" s="3"/>
      <c r="F234" s="3"/>
      <c r="G234" s="3"/>
      <c r="H234" s="3"/>
      <c r="I234" s="3"/>
      <c r="J234" s="3"/>
    </row>
    <row r="235" spans="1:10" x14ac:dyDescent="0.3">
      <c r="A235" s="3"/>
      <c r="B235" s="24"/>
      <c r="C235" s="3"/>
      <c r="D235" s="3"/>
      <c r="E235" s="3"/>
      <c r="F235" s="3"/>
      <c r="G235" s="3"/>
      <c r="H235" s="3"/>
      <c r="I235" s="3"/>
      <c r="J235" s="3"/>
    </row>
    <row r="236" spans="1:10" x14ac:dyDescent="0.3">
      <c r="A236" s="3"/>
      <c r="B236" s="24"/>
      <c r="C236" s="3"/>
      <c r="D236" s="3"/>
      <c r="E236" s="3"/>
      <c r="F236" s="3"/>
      <c r="G236" s="3"/>
      <c r="H236" s="3"/>
      <c r="I236" s="3"/>
      <c r="J236" s="3"/>
    </row>
    <row r="237" spans="1:10" x14ac:dyDescent="0.3">
      <c r="A237" s="3"/>
      <c r="B237" s="24"/>
      <c r="C237" s="3"/>
      <c r="D237" s="3"/>
      <c r="E237" s="3"/>
      <c r="F237" s="3"/>
      <c r="G237" s="3"/>
      <c r="H237" s="3"/>
      <c r="I237" s="3"/>
      <c r="J237" s="3"/>
    </row>
    <row r="238" spans="1:10" x14ac:dyDescent="0.3">
      <c r="A238" s="3"/>
      <c r="B238" s="24"/>
      <c r="C238" s="3"/>
      <c r="D238" s="3"/>
      <c r="E238" s="3"/>
      <c r="F238" s="3"/>
      <c r="G238" s="3"/>
      <c r="H238" s="3"/>
      <c r="I238" s="3"/>
      <c r="J238" s="3"/>
    </row>
    <row r="239" spans="1:10" x14ac:dyDescent="0.3">
      <c r="A239" s="3"/>
      <c r="B239" s="24"/>
      <c r="C239" s="3"/>
      <c r="D239" s="3"/>
      <c r="E239" s="3"/>
      <c r="F239" s="3"/>
      <c r="G239" s="3"/>
      <c r="H239" s="3"/>
      <c r="I239" s="3"/>
      <c r="J239" s="3"/>
    </row>
    <row r="240" spans="1:10" x14ac:dyDescent="0.3">
      <c r="A240" s="3"/>
      <c r="B240" s="24"/>
      <c r="C240" s="3"/>
      <c r="D240" s="3"/>
      <c r="E240" s="3"/>
      <c r="F240" s="3"/>
      <c r="G240" s="3"/>
      <c r="H240" s="3"/>
      <c r="I240" s="3"/>
      <c r="J240" s="3"/>
    </row>
    <row r="241" spans="1:10" x14ac:dyDescent="0.3">
      <c r="A241" s="3"/>
      <c r="B241" s="24"/>
      <c r="C241" s="3"/>
      <c r="D241" s="3"/>
      <c r="E241" s="3"/>
      <c r="F241" s="3"/>
      <c r="G241" s="3"/>
      <c r="H241" s="3"/>
      <c r="I241" s="3"/>
      <c r="J241" s="3"/>
    </row>
    <row r="242" spans="1:10" x14ac:dyDescent="0.3">
      <c r="A242" s="3"/>
      <c r="B242" s="24"/>
      <c r="C242" s="3"/>
      <c r="D242" s="3"/>
      <c r="E242" s="3"/>
      <c r="F242" s="3"/>
      <c r="G242" s="3"/>
      <c r="H242" s="3"/>
      <c r="I242" s="3"/>
      <c r="J242" s="3"/>
    </row>
    <row r="243" spans="1:10" x14ac:dyDescent="0.3">
      <c r="A243" s="3"/>
      <c r="B243" s="24"/>
      <c r="C243" s="3"/>
      <c r="D243" s="3"/>
      <c r="E243" s="3"/>
      <c r="F243" s="3"/>
      <c r="G243" s="3"/>
      <c r="H243" s="3"/>
      <c r="I243" s="3"/>
      <c r="J243" s="3"/>
    </row>
    <row r="244" spans="1:10" x14ac:dyDescent="0.3">
      <c r="A244" s="3"/>
      <c r="B244" s="24"/>
      <c r="C244" s="3"/>
      <c r="D244" s="3"/>
      <c r="E244" s="3"/>
      <c r="F244" s="3"/>
      <c r="G244" s="3"/>
      <c r="H244" s="3"/>
      <c r="I244" s="3"/>
      <c r="J244" s="3"/>
    </row>
    <row r="245" spans="1:10" x14ac:dyDescent="0.3">
      <c r="A245" s="3"/>
      <c r="B245" s="24"/>
      <c r="C245" s="3"/>
      <c r="D245" s="3"/>
      <c r="E245" s="3"/>
      <c r="F245" s="3"/>
      <c r="G245" s="3"/>
      <c r="H245" s="3"/>
      <c r="I245" s="3"/>
      <c r="J245" s="3"/>
    </row>
    <row r="246" spans="1:10" x14ac:dyDescent="0.3">
      <c r="A246" s="3"/>
      <c r="B246" s="24"/>
      <c r="C246" s="3"/>
      <c r="D246" s="3"/>
      <c r="E246" s="3"/>
      <c r="F246" s="3"/>
      <c r="G246" s="3"/>
      <c r="H246" s="3"/>
      <c r="I246" s="3"/>
      <c r="J246" s="3"/>
    </row>
    <row r="247" spans="1:10" x14ac:dyDescent="0.3">
      <c r="A247" s="3"/>
      <c r="B247" s="24"/>
      <c r="C247" s="3"/>
      <c r="D247" s="3"/>
      <c r="E247" s="3"/>
      <c r="F247" s="3"/>
      <c r="G247" s="3"/>
      <c r="H247" s="3"/>
      <c r="I247" s="3"/>
      <c r="J247" s="3"/>
    </row>
    <row r="248" spans="1:10" x14ac:dyDescent="0.3">
      <c r="A248" s="3"/>
      <c r="B248" s="24"/>
      <c r="C248" s="3"/>
      <c r="D248" s="3"/>
      <c r="E248" s="3"/>
      <c r="F248" s="3"/>
      <c r="G248" s="3"/>
      <c r="H248" s="3"/>
      <c r="I248" s="3"/>
      <c r="J248" s="3"/>
    </row>
    <row r="249" spans="1:10" x14ac:dyDescent="0.3">
      <c r="A249" s="3"/>
      <c r="B249" s="24"/>
      <c r="C249" s="3"/>
      <c r="D249" s="3"/>
      <c r="E249" s="3"/>
      <c r="F249" s="3"/>
      <c r="G249" s="3"/>
      <c r="H249" s="3"/>
      <c r="I249" s="3"/>
      <c r="J249" s="3"/>
    </row>
    <row r="250" spans="1:10" x14ac:dyDescent="0.3">
      <c r="A250" s="3"/>
      <c r="B250" s="24"/>
      <c r="C250" s="3"/>
      <c r="D250" s="3"/>
      <c r="E250" s="3"/>
      <c r="F250" s="3"/>
      <c r="G250" s="3"/>
      <c r="H250" s="3"/>
      <c r="I250" s="3"/>
      <c r="J250" s="3"/>
    </row>
    <row r="251" spans="1:10" x14ac:dyDescent="0.3">
      <c r="A251" s="3"/>
      <c r="B251" s="24"/>
      <c r="C251" s="3"/>
      <c r="D251" s="3"/>
      <c r="E251" s="3"/>
      <c r="F251" s="3"/>
      <c r="G251" s="3"/>
      <c r="H251" s="3"/>
      <c r="I251" s="3"/>
      <c r="J251" s="3"/>
    </row>
    <row r="252" spans="1:10" x14ac:dyDescent="0.3">
      <c r="A252" s="3"/>
      <c r="B252" s="24"/>
      <c r="C252" s="3"/>
      <c r="D252" s="3"/>
      <c r="E252" s="3"/>
      <c r="F252" s="3"/>
      <c r="G252" s="3"/>
      <c r="H252" s="3"/>
      <c r="I252" s="3"/>
      <c r="J252" s="3"/>
    </row>
    <row r="253" spans="1:10" x14ac:dyDescent="0.3">
      <c r="A253" s="3"/>
      <c r="B253" s="24"/>
      <c r="C253" s="3"/>
      <c r="D253" s="3"/>
      <c r="E253" s="3"/>
      <c r="F253" s="3"/>
      <c r="G253" s="3"/>
      <c r="H253" s="3"/>
      <c r="I253" s="3"/>
      <c r="J253" s="3"/>
    </row>
    <row r="254" spans="1:10" x14ac:dyDescent="0.3">
      <c r="A254" s="3"/>
      <c r="B254" s="24"/>
      <c r="C254" s="3"/>
      <c r="D254" s="3"/>
      <c r="E254" s="3"/>
      <c r="F254" s="3"/>
      <c r="G254" s="3"/>
      <c r="H254" s="3"/>
      <c r="I254" s="3"/>
      <c r="J254" s="3"/>
    </row>
    <row r="255" spans="1:10" x14ac:dyDescent="0.3">
      <c r="A255" s="3"/>
      <c r="B255" s="24"/>
      <c r="C255" s="3"/>
      <c r="D255" s="3"/>
      <c r="E255" s="3"/>
      <c r="F255" s="3"/>
      <c r="G255" s="3"/>
      <c r="H255" s="3"/>
      <c r="I255" s="3"/>
      <c r="J255" s="3"/>
    </row>
    <row r="256" spans="1:10" x14ac:dyDescent="0.3">
      <c r="A256" s="3"/>
      <c r="B256" s="24"/>
      <c r="C256" s="3"/>
      <c r="D256" s="3"/>
      <c r="E256" s="3"/>
      <c r="F256" s="3"/>
      <c r="G256" s="3"/>
      <c r="H256" s="3"/>
      <c r="I256" s="3"/>
      <c r="J256" s="3"/>
    </row>
    <row r="257" spans="1:10" x14ac:dyDescent="0.3">
      <c r="A257" s="3"/>
      <c r="B257" s="24"/>
      <c r="C257" s="3"/>
      <c r="D257" s="3"/>
      <c r="E257" s="3"/>
      <c r="F257" s="3"/>
      <c r="G257" s="3"/>
      <c r="H257" s="3"/>
      <c r="I257" s="3"/>
      <c r="J257" s="3"/>
    </row>
    <row r="258" spans="1:10" x14ac:dyDescent="0.3">
      <c r="A258" s="3"/>
      <c r="B258" s="24"/>
      <c r="C258" s="3"/>
      <c r="D258" s="3"/>
      <c r="E258" s="3"/>
      <c r="F258" s="3"/>
      <c r="G258" s="3"/>
      <c r="H258" s="3"/>
      <c r="I258" s="3"/>
      <c r="J258" s="3"/>
    </row>
    <row r="259" spans="1:10" x14ac:dyDescent="0.3">
      <c r="A259" s="3"/>
      <c r="B259" s="24"/>
      <c r="C259" s="3"/>
      <c r="D259" s="3"/>
      <c r="E259" s="3"/>
      <c r="F259" s="3"/>
      <c r="G259" s="3"/>
      <c r="H259" s="3"/>
      <c r="I259" s="3"/>
      <c r="J259" s="3"/>
    </row>
    <row r="260" spans="1:10" x14ac:dyDescent="0.3">
      <c r="A260" s="3"/>
      <c r="B260" s="24"/>
      <c r="C260" s="3"/>
      <c r="D260" s="3"/>
      <c r="E260" s="3"/>
      <c r="F260" s="3"/>
      <c r="G260" s="3"/>
      <c r="H260" s="3"/>
      <c r="I260" s="3"/>
      <c r="J260" s="3"/>
    </row>
    <row r="261" spans="1:10" x14ac:dyDescent="0.3">
      <c r="A261" s="3"/>
      <c r="B261" s="24"/>
      <c r="C261" s="3"/>
      <c r="D261" s="3"/>
      <c r="E261" s="3"/>
      <c r="F261" s="3"/>
      <c r="G261" s="3"/>
      <c r="H261" s="3"/>
      <c r="I261" s="3"/>
      <c r="J261" s="3"/>
    </row>
    <row r="262" spans="1:10" x14ac:dyDescent="0.3">
      <c r="A262" s="3"/>
      <c r="B262" s="24"/>
      <c r="C262" s="3"/>
      <c r="D262" s="3"/>
      <c r="E262" s="3"/>
      <c r="F262" s="3"/>
      <c r="G262" s="3"/>
      <c r="H262" s="3"/>
      <c r="I262" s="3"/>
      <c r="J262" s="3"/>
    </row>
    <row r="263" spans="1:10" x14ac:dyDescent="0.3">
      <c r="A263" s="3"/>
      <c r="B263" s="24"/>
      <c r="C263" s="3"/>
      <c r="D263" s="3"/>
      <c r="E263" s="3"/>
      <c r="F263" s="3"/>
      <c r="G263" s="3"/>
      <c r="H263" s="3"/>
      <c r="I263" s="3"/>
      <c r="J263" s="3"/>
    </row>
    <row r="264" spans="1:10" x14ac:dyDescent="0.3">
      <c r="A264" s="3"/>
      <c r="B264" s="24"/>
      <c r="C264" s="3"/>
      <c r="D264" s="3"/>
      <c r="E264" s="3"/>
      <c r="F264" s="3"/>
      <c r="G264" s="3"/>
      <c r="H264" s="3"/>
      <c r="I264" s="3"/>
      <c r="J264" s="3"/>
    </row>
    <row r="265" spans="1:10" x14ac:dyDescent="0.3">
      <c r="A265" s="3"/>
      <c r="B265" s="24"/>
      <c r="C265" s="3"/>
      <c r="D265" s="3"/>
      <c r="E265" s="3"/>
      <c r="F265" s="3"/>
      <c r="G265" s="3"/>
      <c r="H265" s="3"/>
      <c r="I265" s="3"/>
      <c r="J265" s="3"/>
    </row>
    <row r="266" spans="1:10" x14ac:dyDescent="0.3">
      <c r="A266" s="3"/>
      <c r="B266" s="24"/>
      <c r="C266" s="3"/>
      <c r="D266" s="3"/>
      <c r="E266" s="3"/>
      <c r="F266" s="3"/>
      <c r="G266" s="3"/>
      <c r="H266" s="3"/>
      <c r="I266" s="3"/>
      <c r="J266" s="3"/>
    </row>
    <row r="267" spans="1:10" x14ac:dyDescent="0.3">
      <c r="A267" s="3"/>
      <c r="B267" s="24"/>
      <c r="C267" s="3"/>
      <c r="D267" s="3"/>
      <c r="E267" s="3"/>
      <c r="F267" s="3"/>
      <c r="G267" s="3"/>
      <c r="H267" s="3"/>
      <c r="I267" s="3"/>
      <c r="J267" s="3"/>
    </row>
    <row r="268" spans="1:10" x14ac:dyDescent="0.3">
      <c r="A268" s="3"/>
      <c r="B268" s="24"/>
      <c r="C268" s="3"/>
      <c r="D268" s="3"/>
      <c r="E268" s="3"/>
      <c r="F268" s="3"/>
      <c r="G268" s="3"/>
      <c r="H268" s="3"/>
      <c r="I268" s="3"/>
      <c r="J268" s="3"/>
    </row>
    <row r="269" spans="1:10" x14ac:dyDescent="0.3">
      <c r="A269" s="3"/>
      <c r="B269" s="24"/>
      <c r="C269" s="3"/>
      <c r="D269" s="3"/>
      <c r="E269" s="3"/>
      <c r="F269" s="3"/>
      <c r="G269" s="3"/>
      <c r="H269" s="3"/>
      <c r="I269" s="3"/>
      <c r="J269" s="3"/>
    </row>
    <row r="270" spans="1:10" x14ac:dyDescent="0.3">
      <c r="A270" s="3"/>
      <c r="B270" s="24"/>
      <c r="C270" s="3"/>
      <c r="D270" s="3"/>
      <c r="E270" s="3"/>
      <c r="F270" s="3"/>
      <c r="G270" s="3"/>
      <c r="H270" s="3"/>
      <c r="I270" s="3"/>
      <c r="J270" s="3"/>
    </row>
    <row r="271" spans="1:10" x14ac:dyDescent="0.3">
      <c r="A271" s="3"/>
      <c r="B271" s="24"/>
      <c r="C271" s="3"/>
      <c r="D271" s="3"/>
      <c r="E271" s="3"/>
      <c r="F271" s="3"/>
      <c r="G271" s="3"/>
      <c r="H271" s="3"/>
      <c r="I271" s="3"/>
      <c r="J271" s="3"/>
    </row>
    <row r="272" spans="1:10" x14ac:dyDescent="0.3">
      <c r="A272" s="3"/>
      <c r="B272" s="24"/>
      <c r="C272" s="3"/>
      <c r="D272" s="3"/>
      <c r="E272" s="3"/>
      <c r="F272" s="3"/>
      <c r="G272" s="3"/>
      <c r="H272" s="3"/>
      <c r="I272" s="3"/>
      <c r="J272" s="3"/>
    </row>
    <row r="273" spans="1:10" x14ac:dyDescent="0.3">
      <c r="A273" s="3"/>
      <c r="B273" s="24"/>
      <c r="C273" s="3"/>
      <c r="D273" s="3"/>
      <c r="E273" s="3"/>
      <c r="F273" s="3"/>
      <c r="G273" s="3"/>
      <c r="H273" s="3"/>
      <c r="I273" s="3"/>
      <c r="J273" s="3"/>
    </row>
    <row r="274" spans="1:10" x14ac:dyDescent="0.3">
      <c r="A274" s="3"/>
      <c r="B274" s="24"/>
      <c r="C274" s="3"/>
      <c r="D274" s="3"/>
      <c r="E274" s="3"/>
      <c r="F274" s="3"/>
      <c r="G274" s="3"/>
      <c r="H274" s="3"/>
      <c r="I274" s="3"/>
      <c r="J274" s="3"/>
    </row>
    <row r="275" spans="1:10" x14ac:dyDescent="0.3">
      <c r="A275" s="3"/>
      <c r="B275" s="24"/>
      <c r="C275" s="3"/>
      <c r="D275" s="3"/>
      <c r="E275" s="3"/>
      <c r="F275" s="3"/>
      <c r="G275" s="3"/>
      <c r="H275" s="3"/>
      <c r="I275" s="3"/>
      <c r="J275" s="3"/>
    </row>
    <row r="276" spans="1:10" x14ac:dyDescent="0.3">
      <c r="A276" s="3"/>
      <c r="B276" s="24"/>
      <c r="C276" s="3"/>
      <c r="D276" s="3"/>
      <c r="E276" s="3"/>
      <c r="F276" s="3"/>
      <c r="G276" s="3"/>
      <c r="H276" s="3"/>
      <c r="I276" s="3"/>
      <c r="J276" s="3"/>
    </row>
    <row r="277" spans="1:10" x14ac:dyDescent="0.3">
      <c r="A277" s="3"/>
      <c r="B277" s="24"/>
      <c r="C277" s="3"/>
      <c r="D277" s="3"/>
      <c r="E277" s="3"/>
      <c r="F277" s="3"/>
      <c r="G277" s="3"/>
      <c r="H277" s="3"/>
      <c r="I277" s="3"/>
      <c r="J277" s="3"/>
    </row>
    <row r="278" spans="1:10" x14ac:dyDescent="0.3">
      <c r="A278" s="3"/>
      <c r="B278" s="24"/>
      <c r="C278" s="3"/>
      <c r="D278" s="3"/>
      <c r="E278" s="3"/>
      <c r="F278" s="3"/>
      <c r="G278" s="3"/>
      <c r="H278" s="3"/>
      <c r="I278" s="3"/>
      <c r="J278" s="3"/>
    </row>
    <row r="279" spans="1:10" x14ac:dyDescent="0.3">
      <c r="A279" s="3"/>
      <c r="B279" s="24"/>
      <c r="C279" s="3"/>
      <c r="D279" s="3"/>
      <c r="E279" s="3"/>
      <c r="F279" s="3"/>
      <c r="G279" s="3"/>
      <c r="H279" s="3"/>
      <c r="I279" s="3"/>
      <c r="J279" s="3"/>
    </row>
    <row r="280" spans="1:10" x14ac:dyDescent="0.3">
      <c r="A280" s="3"/>
      <c r="B280" s="24"/>
      <c r="C280" s="3"/>
      <c r="D280" s="3"/>
      <c r="E280" s="3"/>
      <c r="F280" s="3"/>
      <c r="G280" s="3"/>
      <c r="H280" s="3"/>
      <c r="I280" s="3"/>
      <c r="J280" s="3"/>
    </row>
    <row r="281" spans="1:10" x14ac:dyDescent="0.3">
      <c r="A281" s="3"/>
      <c r="B281" s="24"/>
      <c r="C281" s="3"/>
      <c r="D281" s="3"/>
      <c r="E281" s="3"/>
      <c r="F281" s="3"/>
      <c r="G281" s="3"/>
      <c r="H281" s="3"/>
      <c r="I281" s="3"/>
      <c r="J281" s="3"/>
    </row>
    <row r="282" spans="1:10" x14ac:dyDescent="0.3">
      <c r="A282" s="3"/>
      <c r="B282" s="24"/>
      <c r="C282" s="3"/>
      <c r="D282" s="3"/>
      <c r="E282" s="3"/>
      <c r="F282" s="3"/>
      <c r="G282" s="3"/>
      <c r="H282" s="3"/>
      <c r="I282" s="3"/>
      <c r="J282" s="3"/>
    </row>
    <row r="283" spans="1:10" x14ac:dyDescent="0.3">
      <c r="A283" s="3"/>
      <c r="B283" s="24"/>
      <c r="C283" s="3"/>
      <c r="D283" s="3"/>
      <c r="E283" s="3"/>
      <c r="F283" s="3"/>
      <c r="G283" s="3"/>
      <c r="H283" s="3"/>
      <c r="I283" s="3"/>
      <c r="J283" s="3"/>
    </row>
    <row r="284" spans="1:10" x14ac:dyDescent="0.3">
      <c r="A284" s="3"/>
      <c r="B284" s="24"/>
      <c r="C284" s="3"/>
      <c r="D284" s="3"/>
      <c r="E284" s="3"/>
      <c r="F284" s="3"/>
      <c r="G284" s="3"/>
      <c r="H284" s="3"/>
      <c r="I284" s="3"/>
      <c r="J284" s="3"/>
    </row>
    <row r="285" spans="1:10" x14ac:dyDescent="0.3">
      <c r="A285" s="3"/>
      <c r="B285" s="24"/>
      <c r="C285" s="3"/>
      <c r="D285" s="3"/>
      <c r="E285" s="3"/>
      <c r="F285" s="3"/>
      <c r="G285" s="3"/>
      <c r="H285" s="3"/>
      <c r="I285" s="3"/>
      <c r="J285" s="3"/>
    </row>
    <row r="286" spans="1:10" x14ac:dyDescent="0.3">
      <c r="A286" s="3"/>
      <c r="B286" s="24"/>
      <c r="C286" s="3"/>
      <c r="D286" s="3"/>
      <c r="E286" s="3"/>
      <c r="F286" s="3"/>
      <c r="G286" s="3"/>
      <c r="H286" s="3"/>
      <c r="I286" s="3"/>
      <c r="J286" s="3"/>
    </row>
    <row r="287" spans="1:10" x14ac:dyDescent="0.3">
      <c r="A287" s="3"/>
      <c r="B287" s="24"/>
      <c r="C287" s="3"/>
      <c r="D287" s="3"/>
      <c r="E287" s="3"/>
      <c r="F287" s="3"/>
      <c r="G287" s="3"/>
      <c r="H287" s="3"/>
      <c r="I287" s="3"/>
      <c r="J287" s="3"/>
    </row>
    <row r="288" spans="1:10" x14ac:dyDescent="0.3">
      <c r="A288" s="3"/>
      <c r="B288" s="24"/>
      <c r="C288" s="3"/>
      <c r="D288" s="3"/>
      <c r="E288" s="3"/>
      <c r="F288" s="3"/>
      <c r="G288" s="3"/>
      <c r="H288" s="3"/>
      <c r="I288" s="3"/>
      <c r="J288" s="3"/>
    </row>
    <row r="289" spans="1:10" x14ac:dyDescent="0.3">
      <c r="A289" s="3"/>
      <c r="B289" s="24"/>
      <c r="C289" s="3"/>
      <c r="D289" s="3"/>
      <c r="E289" s="3"/>
      <c r="F289" s="3"/>
      <c r="G289" s="3"/>
      <c r="H289" s="3"/>
      <c r="I289" s="3"/>
      <c r="J289" s="3"/>
    </row>
    <row r="290" spans="1:10" x14ac:dyDescent="0.3">
      <c r="A290" s="3"/>
      <c r="B290" s="24"/>
      <c r="C290" s="3"/>
      <c r="D290" s="3"/>
      <c r="E290" s="3"/>
      <c r="F290" s="3"/>
      <c r="G290" s="3"/>
      <c r="H290" s="3"/>
      <c r="I290" s="3"/>
      <c r="J290" s="3"/>
    </row>
    <row r="291" spans="1:10" x14ac:dyDescent="0.3">
      <c r="A291" s="3"/>
      <c r="B291" s="24"/>
      <c r="C291" s="3"/>
      <c r="D291" s="3"/>
      <c r="E291" s="3"/>
      <c r="F291" s="3"/>
      <c r="G291" s="3"/>
      <c r="H291" s="3"/>
      <c r="I291" s="3"/>
      <c r="J291" s="3"/>
    </row>
    <row r="292" spans="1:10" x14ac:dyDescent="0.3">
      <c r="A292" s="3"/>
      <c r="B292" s="24"/>
      <c r="C292" s="3"/>
      <c r="D292" s="3"/>
      <c r="E292" s="3"/>
      <c r="F292" s="3"/>
      <c r="G292" s="3"/>
      <c r="H292" s="3"/>
      <c r="I292" s="3"/>
      <c r="J292" s="3"/>
    </row>
    <row r="293" spans="1:10" x14ac:dyDescent="0.3">
      <c r="A293" s="3"/>
      <c r="B293" s="24"/>
      <c r="C293" s="3"/>
      <c r="D293" s="3"/>
      <c r="E293" s="3"/>
      <c r="F293" s="3"/>
      <c r="G293" s="3"/>
      <c r="H293" s="3"/>
      <c r="I293" s="3"/>
      <c r="J293" s="3"/>
    </row>
    <row r="294" spans="1:10" x14ac:dyDescent="0.3">
      <c r="A294" s="3"/>
      <c r="B294" s="24"/>
      <c r="C294" s="3"/>
      <c r="D294" s="3"/>
      <c r="E294" s="3"/>
      <c r="F294" s="3"/>
      <c r="G294" s="3"/>
      <c r="H294" s="3"/>
      <c r="I294" s="3"/>
      <c r="J294" s="3"/>
    </row>
    <row r="295" spans="1:10" x14ac:dyDescent="0.3">
      <c r="A295" s="3"/>
      <c r="B295" s="24"/>
      <c r="C295" s="3"/>
      <c r="D295" s="3"/>
      <c r="E295" s="3"/>
      <c r="F295" s="3"/>
      <c r="G295" s="3"/>
      <c r="H295" s="3"/>
      <c r="I295" s="3"/>
      <c r="J295" s="3"/>
    </row>
    <row r="296" spans="1:10" x14ac:dyDescent="0.3">
      <c r="A296" s="3"/>
      <c r="B296" s="24"/>
      <c r="C296" s="3"/>
      <c r="D296" s="3"/>
      <c r="E296" s="3"/>
      <c r="F296" s="3"/>
      <c r="G296" s="3"/>
      <c r="H296" s="3"/>
      <c r="I296" s="3"/>
      <c r="J296" s="3"/>
    </row>
    <row r="297" spans="1:10" x14ac:dyDescent="0.3">
      <c r="A297" s="3"/>
      <c r="B297" s="24"/>
      <c r="C297" s="3"/>
      <c r="D297" s="3"/>
      <c r="E297" s="3"/>
      <c r="F297" s="3"/>
      <c r="G297" s="3"/>
      <c r="H297" s="3"/>
      <c r="I297" s="3"/>
      <c r="J297" s="3"/>
    </row>
    <row r="298" spans="1:10" x14ac:dyDescent="0.3">
      <c r="A298" s="3"/>
      <c r="B298" s="24"/>
      <c r="C298" s="3"/>
      <c r="D298" s="3"/>
      <c r="E298" s="3"/>
      <c r="F298" s="3"/>
      <c r="G298" s="3"/>
      <c r="H298" s="3"/>
      <c r="I298" s="3"/>
      <c r="J298" s="3"/>
    </row>
    <row r="299" spans="1:10" x14ac:dyDescent="0.3">
      <c r="A299" s="3"/>
      <c r="B299" s="24"/>
      <c r="C299" s="3"/>
      <c r="D299" s="3"/>
      <c r="E299" s="3"/>
      <c r="F299" s="3"/>
      <c r="G299" s="3"/>
      <c r="H299" s="3"/>
      <c r="I299" s="3"/>
      <c r="J299" s="3"/>
    </row>
    <row r="300" spans="1:10" x14ac:dyDescent="0.3">
      <c r="A300" s="3"/>
      <c r="B300" s="24"/>
      <c r="C300" s="3"/>
      <c r="D300" s="3"/>
      <c r="E300" s="3"/>
      <c r="F300" s="3"/>
      <c r="G300" s="3"/>
      <c r="H300" s="3"/>
      <c r="I300" s="3"/>
      <c r="J300" s="3"/>
    </row>
    <row r="301" spans="1:10" x14ac:dyDescent="0.3">
      <c r="A301" s="3"/>
      <c r="B301" s="24"/>
      <c r="C301" s="3"/>
      <c r="D301" s="3"/>
      <c r="E301" s="3"/>
      <c r="F301" s="3"/>
      <c r="G301" s="3"/>
      <c r="H301" s="3"/>
      <c r="I301" s="3"/>
      <c r="J301" s="3"/>
    </row>
    <row r="302" spans="1:10" x14ac:dyDescent="0.3">
      <c r="A302" s="3"/>
      <c r="B302" s="24"/>
      <c r="C302" s="3"/>
      <c r="D302" s="3"/>
      <c r="E302" s="3"/>
      <c r="F302" s="3"/>
      <c r="G302" s="3"/>
      <c r="H302" s="3"/>
      <c r="I302" s="3"/>
      <c r="J302" s="3"/>
    </row>
    <row r="303" spans="1:10" x14ac:dyDescent="0.3">
      <c r="A303" s="3"/>
      <c r="B303" s="24"/>
      <c r="C303" s="3"/>
      <c r="D303" s="3"/>
      <c r="E303" s="3"/>
      <c r="F303" s="3"/>
      <c r="G303" s="3"/>
      <c r="H303" s="3"/>
      <c r="I303" s="3"/>
      <c r="J303" s="3"/>
    </row>
    <row r="304" spans="1:10" x14ac:dyDescent="0.3">
      <c r="A304" s="3"/>
      <c r="B304" s="24"/>
      <c r="C304" s="3"/>
      <c r="D304" s="3"/>
      <c r="E304" s="3"/>
      <c r="F304" s="3"/>
      <c r="G304" s="3"/>
      <c r="H304" s="3"/>
      <c r="I304" s="3"/>
      <c r="J304" s="3"/>
    </row>
    <row r="305" spans="1:10" x14ac:dyDescent="0.3">
      <c r="A305" s="3"/>
      <c r="B305" s="24"/>
      <c r="C305" s="3"/>
      <c r="D305" s="3"/>
      <c r="E305" s="3"/>
      <c r="F305" s="3"/>
      <c r="G305" s="3"/>
      <c r="H305" s="3"/>
      <c r="I305" s="3"/>
      <c r="J305" s="3"/>
    </row>
    <row r="306" spans="1:10" x14ac:dyDescent="0.3">
      <c r="A306" s="3"/>
      <c r="B306" s="24"/>
      <c r="C306" s="3"/>
      <c r="D306" s="3"/>
      <c r="E306" s="3"/>
      <c r="F306" s="3"/>
      <c r="G306" s="3"/>
      <c r="H306" s="3"/>
      <c r="I306" s="3"/>
      <c r="J306" s="3"/>
    </row>
    <row r="307" spans="1:10" x14ac:dyDescent="0.3">
      <c r="A307" s="3"/>
      <c r="B307" s="24"/>
      <c r="C307" s="3"/>
      <c r="D307" s="3"/>
      <c r="E307" s="3"/>
      <c r="F307" s="3"/>
      <c r="G307" s="3"/>
      <c r="H307" s="3"/>
      <c r="I307" s="3"/>
      <c r="J307" s="3"/>
    </row>
    <row r="308" spans="1:10" x14ac:dyDescent="0.3">
      <c r="A308" s="3"/>
      <c r="B308" s="24"/>
      <c r="C308" s="3"/>
      <c r="D308" s="3"/>
      <c r="E308" s="3"/>
      <c r="F308" s="3"/>
      <c r="G308" s="3"/>
      <c r="H308" s="3"/>
      <c r="I308" s="3"/>
      <c r="J308" s="3"/>
    </row>
    <row r="309" spans="1:10" x14ac:dyDescent="0.3">
      <c r="A309" s="3"/>
      <c r="B309" s="24"/>
      <c r="C309" s="3"/>
      <c r="D309" s="3"/>
      <c r="E309" s="3"/>
      <c r="F309" s="3"/>
      <c r="G309" s="3"/>
      <c r="H309" s="3"/>
      <c r="I309" s="3"/>
      <c r="J309" s="3"/>
    </row>
    <row r="310" spans="1:10" x14ac:dyDescent="0.3">
      <c r="A310" s="3"/>
      <c r="B310" s="24"/>
      <c r="C310" s="3"/>
      <c r="D310" s="3"/>
      <c r="E310" s="3"/>
      <c r="F310" s="3"/>
      <c r="G310" s="3"/>
      <c r="H310" s="3"/>
      <c r="I310" s="3"/>
      <c r="J310" s="3"/>
    </row>
    <row r="311" spans="1:10" x14ac:dyDescent="0.3">
      <c r="A311" s="3"/>
      <c r="B311" s="24"/>
      <c r="C311" s="3"/>
      <c r="D311" s="3"/>
      <c r="E311" s="3"/>
      <c r="F311" s="3"/>
      <c r="G311" s="3"/>
      <c r="H311" s="3"/>
      <c r="I311" s="3"/>
      <c r="J311" s="3"/>
    </row>
    <row r="312" spans="1:10" x14ac:dyDescent="0.3">
      <c r="A312" s="3"/>
      <c r="B312" s="24"/>
      <c r="C312" s="3"/>
      <c r="D312" s="3"/>
      <c r="E312" s="3"/>
      <c r="F312" s="3"/>
      <c r="G312" s="3"/>
      <c r="H312" s="3"/>
      <c r="I312" s="3"/>
      <c r="J312" s="3"/>
    </row>
    <row r="313" spans="1:10" x14ac:dyDescent="0.3">
      <c r="A313" s="3"/>
      <c r="B313" s="24"/>
      <c r="C313" s="3"/>
      <c r="D313" s="3"/>
      <c r="E313" s="3"/>
      <c r="F313" s="3"/>
      <c r="G313" s="3"/>
      <c r="H313" s="3"/>
      <c r="I313" s="3"/>
      <c r="J313" s="3"/>
    </row>
    <row r="314" spans="1:10" x14ac:dyDescent="0.3">
      <c r="A314" s="3"/>
      <c r="B314" s="24"/>
      <c r="C314" s="3"/>
      <c r="D314" s="3"/>
      <c r="E314" s="3"/>
      <c r="F314" s="3"/>
      <c r="G314" s="3"/>
      <c r="H314" s="3"/>
      <c r="I314" s="3"/>
      <c r="J314" s="3"/>
    </row>
    <row r="315" spans="1:10" x14ac:dyDescent="0.3">
      <c r="A315" s="3"/>
      <c r="B315" s="24"/>
      <c r="C315" s="3"/>
      <c r="D315" s="3"/>
      <c r="E315" s="3"/>
      <c r="F315" s="3"/>
      <c r="G315" s="3"/>
      <c r="H315" s="3"/>
      <c r="I315" s="3"/>
      <c r="J315" s="3"/>
    </row>
    <row r="316" spans="1:10" x14ac:dyDescent="0.3">
      <c r="A316" s="3"/>
      <c r="B316" s="24"/>
      <c r="C316" s="3"/>
      <c r="D316" s="3"/>
      <c r="E316" s="3"/>
      <c r="F316" s="3"/>
      <c r="G316" s="3"/>
      <c r="H316" s="3"/>
      <c r="I316" s="3"/>
      <c r="J316" s="3"/>
    </row>
    <row r="317" spans="1:10" x14ac:dyDescent="0.3">
      <c r="A317" s="3"/>
      <c r="B317" s="24"/>
      <c r="C317" s="3"/>
      <c r="D317" s="3"/>
      <c r="E317" s="3"/>
      <c r="F317" s="3"/>
      <c r="G317" s="3"/>
      <c r="H317" s="3"/>
      <c r="I317" s="3"/>
      <c r="J317" s="3"/>
    </row>
    <row r="318" spans="1:10" x14ac:dyDescent="0.3">
      <c r="A318" s="3"/>
      <c r="B318" s="24"/>
      <c r="C318" s="3"/>
      <c r="D318" s="3"/>
      <c r="E318" s="3"/>
      <c r="F318" s="3"/>
      <c r="G318" s="3"/>
      <c r="H318" s="3"/>
      <c r="I318" s="3"/>
      <c r="J318" s="3"/>
    </row>
    <row r="319" spans="1:10" x14ac:dyDescent="0.3">
      <c r="A319" s="3"/>
      <c r="B319" s="24"/>
      <c r="C319" s="3"/>
      <c r="D319" s="3"/>
      <c r="E319" s="3"/>
      <c r="F319" s="3"/>
      <c r="G319" s="3"/>
      <c r="H319" s="3"/>
      <c r="I319" s="3"/>
      <c r="J319" s="3"/>
    </row>
    <row r="320" spans="1:10" x14ac:dyDescent="0.3">
      <c r="A320" s="3"/>
      <c r="B320" s="24"/>
      <c r="C320" s="3"/>
      <c r="D320" s="3"/>
      <c r="E320" s="3"/>
      <c r="F320" s="3"/>
      <c r="G320" s="3"/>
      <c r="H320" s="3"/>
      <c r="I320" s="3"/>
      <c r="J320" s="3"/>
    </row>
    <row r="321" spans="1:10" x14ac:dyDescent="0.3">
      <c r="A321" s="3"/>
      <c r="B321" s="24"/>
      <c r="C321" s="3"/>
      <c r="D321" s="3"/>
      <c r="E321" s="3"/>
      <c r="F321" s="3"/>
      <c r="G321" s="3"/>
      <c r="H321" s="3"/>
      <c r="I321" s="3"/>
      <c r="J321" s="3"/>
    </row>
    <row r="322" spans="1:10" x14ac:dyDescent="0.3">
      <c r="A322" s="3"/>
      <c r="B322" s="24"/>
      <c r="C322" s="3"/>
      <c r="D322" s="3"/>
      <c r="E322" s="3"/>
      <c r="F322" s="3"/>
      <c r="G322" s="3"/>
      <c r="H322" s="3"/>
      <c r="I322" s="3"/>
      <c r="J322" s="3"/>
    </row>
    <row r="323" spans="1:10" x14ac:dyDescent="0.3">
      <c r="A323" s="3"/>
      <c r="B323" s="24"/>
      <c r="C323" s="3"/>
      <c r="D323" s="3"/>
      <c r="E323" s="3"/>
      <c r="F323" s="3"/>
      <c r="G323" s="3"/>
      <c r="H323" s="3"/>
      <c r="I323" s="3"/>
      <c r="J323" s="3"/>
    </row>
    <row r="324" spans="1:10" x14ac:dyDescent="0.3">
      <c r="A324" s="3"/>
      <c r="B324" s="24"/>
      <c r="C324" s="3"/>
      <c r="D324" s="3"/>
      <c r="E324" s="3"/>
      <c r="F324" s="3"/>
      <c r="G324" s="3"/>
      <c r="H324" s="3"/>
      <c r="I324" s="3"/>
      <c r="J324" s="3"/>
    </row>
    <row r="325" spans="1:10" x14ac:dyDescent="0.3">
      <c r="A325" s="3"/>
      <c r="B325" s="24"/>
      <c r="C325" s="3"/>
      <c r="D325" s="3"/>
      <c r="E325" s="3"/>
      <c r="F325" s="3"/>
      <c r="G325" s="3"/>
      <c r="H325" s="3"/>
      <c r="I325" s="3"/>
      <c r="J325" s="3"/>
    </row>
    <row r="326" spans="1:10" x14ac:dyDescent="0.3">
      <c r="A326" s="3"/>
      <c r="B326" s="24"/>
      <c r="C326" s="3"/>
      <c r="D326" s="3"/>
      <c r="E326" s="3"/>
      <c r="F326" s="3"/>
      <c r="G326" s="3"/>
      <c r="H326" s="3"/>
      <c r="I326" s="3"/>
      <c r="J326" s="3"/>
    </row>
    <row r="327" spans="1:10" x14ac:dyDescent="0.3">
      <c r="A327" s="3"/>
      <c r="B327" s="24"/>
      <c r="C327" s="3"/>
      <c r="D327" s="3"/>
      <c r="E327" s="3"/>
      <c r="F327" s="3"/>
      <c r="G327" s="3"/>
      <c r="H327" s="3"/>
      <c r="I327" s="3"/>
      <c r="J327" s="3"/>
    </row>
    <row r="328" spans="1:10" x14ac:dyDescent="0.3">
      <c r="A328" s="3"/>
      <c r="B328" s="24"/>
      <c r="C328" s="3"/>
      <c r="D328" s="3"/>
      <c r="E328" s="3"/>
      <c r="F328" s="3"/>
      <c r="G328" s="3"/>
      <c r="H328" s="3"/>
      <c r="I328" s="3"/>
      <c r="J328" s="3"/>
    </row>
    <row r="329" spans="1:10" x14ac:dyDescent="0.3">
      <c r="A329" s="3"/>
      <c r="B329" s="24"/>
      <c r="C329" s="3"/>
      <c r="D329" s="3"/>
      <c r="E329" s="3"/>
      <c r="F329" s="3"/>
      <c r="G329" s="3"/>
      <c r="H329" s="3"/>
      <c r="I329" s="3"/>
      <c r="J329" s="3"/>
    </row>
    <row r="330" spans="1:10" x14ac:dyDescent="0.3">
      <c r="A330" s="3"/>
      <c r="B330" s="24"/>
      <c r="C330" s="3"/>
      <c r="D330" s="3"/>
      <c r="E330" s="3"/>
      <c r="F330" s="3"/>
      <c r="G330" s="3"/>
      <c r="H330" s="3"/>
      <c r="I330" s="3"/>
      <c r="J330" s="3"/>
    </row>
    <row r="331" spans="1:10" x14ac:dyDescent="0.3">
      <c r="A331" s="3"/>
      <c r="B331" s="24"/>
      <c r="C331" s="3"/>
      <c r="D331" s="3"/>
      <c r="E331" s="3"/>
      <c r="F331" s="3"/>
      <c r="G331" s="3"/>
      <c r="H331" s="3"/>
      <c r="I331" s="3"/>
      <c r="J331" s="3"/>
    </row>
    <row r="332" spans="1:10" x14ac:dyDescent="0.3">
      <c r="A332" s="3"/>
      <c r="B332" s="24"/>
      <c r="C332" s="3"/>
      <c r="D332" s="3"/>
      <c r="E332" s="3"/>
      <c r="F332" s="3"/>
      <c r="G332" s="3"/>
      <c r="H332" s="3"/>
      <c r="I332" s="3"/>
      <c r="J332" s="3"/>
    </row>
    <row r="333" spans="1:10" x14ac:dyDescent="0.3">
      <c r="A333" s="3"/>
      <c r="B333" s="24"/>
      <c r="C333" s="3"/>
      <c r="D333" s="3"/>
      <c r="E333" s="3"/>
      <c r="F333" s="3"/>
      <c r="G333" s="3"/>
      <c r="H333" s="3"/>
      <c r="I333" s="3"/>
      <c r="J333" s="3"/>
    </row>
    <row r="334" spans="1:10" x14ac:dyDescent="0.3">
      <c r="A334" s="3"/>
      <c r="B334" s="24"/>
      <c r="C334" s="3"/>
      <c r="D334" s="3"/>
      <c r="E334" s="3"/>
      <c r="F334" s="3"/>
      <c r="G334" s="3"/>
      <c r="H334" s="3"/>
      <c r="I334" s="3"/>
      <c r="J334" s="3"/>
    </row>
    <row r="335" spans="1:10" x14ac:dyDescent="0.3">
      <c r="A335" s="3"/>
      <c r="B335" s="24"/>
      <c r="C335" s="3"/>
      <c r="D335" s="3"/>
      <c r="E335" s="3"/>
      <c r="F335" s="3"/>
      <c r="G335" s="3"/>
      <c r="H335" s="3"/>
      <c r="I335" s="3"/>
      <c r="J335" s="3"/>
    </row>
    <row r="336" spans="1:10" x14ac:dyDescent="0.3">
      <c r="A336" s="3"/>
      <c r="B336" s="24"/>
      <c r="C336" s="3"/>
      <c r="D336" s="3"/>
      <c r="E336" s="3"/>
      <c r="F336" s="3"/>
      <c r="G336" s="3"/>
      <c r="H336" s="3"/>
      <c r="I336" s="3"/>
      <c r="J336" s="3"/>
    </row>
    <row r="337" spans="1:10" x14ac:dyDescent="0.3">
      <c r="A337" s="3"/>
      <c r="B337" s="24"/>
      <c r="C337" s="3"/>
      <c r="D337" s="3"/>
      <c r="E337" s="3"/>
      <c r="F337" s="3"/>
      <c r="G337" s="3"/>
      <c r="H337" s="3"/>
      <c r="I337" s="3"/>
      <c r="J337" s="3"/>
    </row>
    <row r="338" spans="1:10" x14ac:dyDescent="0.3">
      <c r="A338" s="3"/>
      <c r="B338" s="24"/>
      <c r="C338" s="3"/>
      <c r="D338" s="3"/>
      <c r="E338" s="3"/>
      <c r="F338" s="3"/>
      <c r="G338" s="3"/>
      <c r="H338" s="3"/>
      <c r="I338" s="3"/>
      <c r="J338" s="3"/>
    </row>
    <row r="339" spans="1:10" x14ac:dyDescent="0.3">
      <c r="A339" s="3"/>
      <c r="B339" s="24"/>
      <c r="C339" s="3"/>
      <c r="D339" s="3"/>
      <c r="E339" s="3"/>
      <c r="F339" s="3"/>
      <c r="G339" s="3"/>
      <c r="H339" s="3"/>
      <c r="I339" s="3"/>
      <c r="J339" s="3"/>
    </row>
    <row r="340" spans="1:10" x14ac:dyDescent="0.3">
      <c r="A340" s="3"/>
      <c r="B340" s="24"/>
      <c r="C340" s="3"/>
      <c r="D340" s="3"/>
      <c r="E340" s="3"/>
      <c r="F340" s="3"/>
      <c r="G340" s="3"/>
      <c r="H340" s="3"/>
      <c r="I340" s="3"/>
      <c r="J340" s="3"/>
    </row>
    <row r="341" spans="1:10" x14ac:dyDescent="0.3">
      <c r="A341" s="3"/>
      <c r="B341" s="24"/>
      <c r="C341" s="3"/>
      <c r="D341" s="3"/>
      <c r="E341" s="3"/>
      <c r="F341" s="3"/>
      <c r="G341" s="3"/>
      <c r="H341" s="3"/>
      <c r="I341" s="3"/>
      <c r="J341" s="3"/>
    </row>
    <row r="342" spans="1:10" x14ac:dyDescent="0.3">
      <c r="A342" s="3"/>
      <c r="B342" s="24"/>
      <c r="C342" s="3"/>
      <c r="D342" s="3"/>
      <c r="E342" s="3"/>
      <c r="F342" s="3"/>
      <c r="G342" s="3"/>
      <c r="H342" s="3"/>
      <c r="I342" s="3"/>
      <c r="J342" s="3"/>
    </row>
    <row r="343" spans="1:10" x14ac:dyDescent="0.3">
      <c r="A343" s="3"/>
      <c r="B343" s="24"/>
      <c r="C343" s="3"/>
      <c r="D343" s="3"/>
      <c r="E343" s="3"/>
      <c r="F343" s="3"/>
      <c r="G343" s="3"/>
      <c r="H343" s="3"/>
      <c r="I343" s="3"/>
      <c r="J343" s="3"/>
    </row>
    <row r="344" spans="1:10" x14ac:dyDescent="0.3">
      <c r="A344" s="3"/>
      <c r="B344" s="24"/>
      <c r="C344" s="3"/>
      <c r="D344" s="3"/>
      <c r="E344" s="3"/>
      <c r="F344" s="3"/>
      <c r="G344" s="3"/>
      <c r="H344" s="3"/>
      <c r="I344" s="3"/>
      <c r="J344" s="3"/>
    </row>
    <row r="345" spans="1:10" x14ac:dyDescent="0.3">
      <c r="A345" s="3"/>
      <c r="B345" s="24"/>
      <c r="C345" s="3"/>
      <c r="D345" s="3"/>
      <c r="E345" s="3"/>
      <c r="F345" s="3"/>
      <c r="G345" s="3"/>
      <c r="H345" s="3"/>
      <c r="I345" s="3"/>
      <c r="J345" s="3"/>
    </row>
    <row r="346" spans="1:10" x14ac:dyDescent="0.3">
      <c r="A346" s="3"/>
      <c r="B346" s="24"/>
      <c r="C346" s="3"/>
      <c r="D346" s="3"/>
      <c r="E346" s="3"/>
      <c r="F346" s="3"/>
      <c r="G346" s="3"/>
      <c r="H346" s="3"/>
      <c r="I346" s="3"/>
      <c r="J346" s="3"/>
    </row>
    <row r="347" spans="1:10" x14ac:dyDescent="0.3">
      <c r="A347" s="3"/>
      <c r="B347" s="24"/>
      <c r="C347" s="3"/>
      <c r="D347" s="3"/>
      <c r="E347" s="3"/>
      <c r="F347" s="3"/>
      <c r="G347" s="3"/>
      <c r="H347" s="3"/>
      <c r="I347" s="3"/>
      <c r="J347" s="3"/>
    </row>
    <row r="348" spans="1:10" x14ac:dyDescent="0.3">
      <c r="A348" s="3"/>
      <c r="B348" s="24"/>
      <c r="C348" s="3"/>
      <c r="D348" s="3"/>
      <c r="E348" s="3"/>
      <c r="F348" s="3"/>
      <c r="G348" s="3"/>
      <c r="H348" s="3"/>
      <c r="I348" s="3"/>
      <c r="J348" s="3"/>
    </row>
    <row r="349" spans="1:10" x14ac:dyDescent="0.3">
      <c r="A349" s="3"/>
      <c r="B349" s="24"/>
      <c r="C349" s="3"/>
      <c r="D349" s="3"/>
      <c r="E349" s="3"/>
      <c r="F349" s="3"/>
      <c r="G349" s="3"/>
      <c r="H349" s="3"/>
      <c r="I349" s="3"/>
      <c r="J349" s="3"/>
    </row>
    <row r="350" spans="1:10" x14ac:dyDescent="0.3">
      <c r="A350" s="3"/>
      <c r="B350" s="24"/>
      <c r="C350" s="3"/>
      <c r="D350" s="3"/>
      <c r="E350" s="3"/>
      <c r="F350" s="3"/>
      <c r="G350" s="3"/>
      <c r="H350" s="3"/>
      <c r="I350" s="3"/>
      <c r="J350" s="3"/>
    </row>
    <row r="351" spans="1:10" x14ac:dyDescent="0.3">
      <c r="A351" s="3"/>
      <c r="B351" s="24"/>
      <c r="C351" s="3"/>
      <c r="D351" s="3"/>
      <c r="E351" s="3"/>
      <c r="F351" s="3"/>
      <c r="G351" s="3"/>
      <c r="H351" s="3"/>
      <c r="I351" s="3"/>
      <c r="J351" s="3"/>
    </row>
    <row r="352" spans="1:10" x14ac:dyDescent="0.3">
      <c r="A352" s="3"/>
      <c r="B352" s="24"/>
      <c r="C352" s="3"/>
      <c r="D352" s="3"/>
      <c r="E352" s="3"/>
      <c r="F352" s="3"/>
      <c r="G352" s="3"/>
      <c r="H352" s="3"/>
      <c r="I352" s="3"/>
      <c r="J352" s="3"/>
    </row>
    <row r="353" spans="1:10" x14ac:dyDescent="0.3">
      <c r="A353" s="3"/>
      <c r="B353" s="24"/>
      <c r="C353" s="3"/>
      <c r="D353" s="3"/>
      <c r="E353" s="3"/>
      <c r="F353" s="3"/>
      <c r="G353" s="3"/>
      <c r="H353" s="3"/>
      <c r="I353" s="3"/>
      <c r="J353" s="3"/>
    </row>
    <row r="354" spans="1:10" x14ac:dyDescent="0.3">
      <c r="A354" s="3"/>
      <c r="B354" s="24"/>
      <c r="C354" s="3"/>
      <c r="D354" s="3"/>
      <c r="E354" s="3"/>
      <c r="F354" s="3"/>
      <c r="G354" s="3"/>
      <c r="H354" s="3"/>
      <c r="I354" s="3"/>
      <c r="J354" s="3"/>
    </row>
    <row r="355" spans="1:10" x14ac:dyDescent="0.3">
      <c r="A355" s="3"/>
      <c r="B355" s="24"/>
      <c r="C355" s="3"/>
      <c r="D355" s="3"/>
      <c r="E355" s="3"/>
      <c r="F355" s="3"/>
      <c r="G355" s="3"/>
      <c r="H355" s="3"/>
      <c r="I355" s="3"/>
      <c r="J355" s="3"/>
    </row>
    <row r="356" spans="1:10" x14ac:dyDescent="0.3">
      <c r="A356" s="3"/>
      <c r="B356" s="24"/>
      <c r="C356" s="3"/>
      <c r="D356" s="3"/>
      <c r="E356" s="3"/>
      <c r="F356" s="3"/>
      <c r="G356" s="3"/>
      <c r="H356" s="3"/>
      <c r="I356" s="3"/>
      <c r="J356" s="3"/>
    </row>
    <row r="357" spans="1:10" x14ac:dyDescent="0.3">
      <c r="A357" s="3"/>
      <c r="B357" s="24"/>
      <c r="C357" s="3"/>
      <c r="D357" s="3"/>
      <c r="E357" s="3"/>
      <c r="F357" s="3"/>
      <c r="G357" s="3"/>
      <c r="H357" s="3"/>
      <c r="I357" s="3"/>
      <c r="J357" s="3"/>
    </row>
    <row r="358" spans="1:10" x14ac:dyDescent="0.3">
      <c r="A358" s="3"/>
      <c r="B358" s="24"/>
      <c r="C358" s="3"/>
      <c r="D358" s="3"/>
      <c r="E358" s="3"/>
      <c r="F358" s="3"/>
      <c r="G358" s="3"/>
      <c r="H358" s="3"/>
      <c r="I358" s="3"/>
      <c r="J358" s="3"/>
    </row>
    <row r="359" spans="1:10" x14ac:dyDescent="0.3">
      <c r="A359" s="3"/>
      <c r="B359" s="24"/>
      <c r="C359" s="3"/>
      <c r="D359" s="3"/>
      <c r="E359" s="3"/>
      <c r="F359" s="3"/>
      <c r="G359" s="3"/>
      <c r="H359" s="3"/>
      <c r="I359" s="3"/>
      <c r="J359" s="3"/>
    </row>
    <row r="360" spans="1:10" x14ac:dyDescent="0.3">
      <c r="A360" s="3"/>
      <c r="B360" s="24"/>
      <c r="C360" s="3"/>
      <c r="D360" s="3"/>
      <c r="E360" s="3"/>
      <c r="F360" s="3"/>
      <c r="G360" s="3"/>
      <c r="H360" s="3"/>
      <c r="I360" s="3"/>
      <c r="J360" s="3"/>
    </row>
    <row r="361" spans="1:10" x14ac:dyDescent="0.3">
      <c r="A361" s="3"/>
      <c r="B361" s="24"/>
      <c r="C361" s="3"/>
      <c r="D361" s="3"/>
      <c r="E361" s="3"/>
      <c r="F361" s="3"/>
      <c r="G361" s="3"/>
      <c r="H361" s="3"/>
      <c r="I361" s="3"/>
      <c r="J361" s="3"/>
    </row>
    <row r="362" spans="1:10" x14ac:dyDescent="0.3">
      <c r="A362" s="3"/>
      <c r="B362" s="24"/>
      <c r="C362" s="3"/>
      <c r="D362" s="3"/>
      <c r="E362" s="3"/>
      <c r="F362" s="3"/>
      <c r="G362" s="3"/>
      <c r="H362" s="3"/>
      <c r="I362" s="3"/>
      <c r="J362" s="3"/>
    </row>
    <row r="363" spans="1:10" x14ac:dyDescent="0.3">
      <c r="A363" s="3"/>
      <c r="B363" s="24"/>
      <c r="C363" s="3"/>
      <c r="D363" s="3"/>
      <c r="E363" s="3"/>
      <c r="F363" s="3"/>
      <c r="G363" s="3"/>
      <c r="H363" s="3"/>
      <c r="I363" s="3"/>
      <c r="J363" s="3"/>
    </row>
    <row r="364" spans="1:10" x14ac:dyDescent="0.3">
      <c r="A364" s="3"/>
      <c r="B364" s="24"/>
      <c r="C364" s="3"/>
      <c r="D364" s="3"/>
      <c r="E364" s="3"/>
      <c r="F364" s="3"/>
      <c r="G364" s="3"/>
      <c r="H364" s="3"/>
      <c r="I364" s="3"/>
      <c r="J364" s="3"/>
    </row>
    <row r="365" spans="1:10" x14ac:dyDescent="0.3">
      <c r="A365" s="3"/>
      <c r="B365" s="24"/>
      <c r="C365" s="3"/>
      <c r="D365" s="3"/>
      <c r="E365" s="3"/>
      <c r="F365" s="3"/>
      <c r="G365" s="3"/>
      <c r="H365" s="3"/>
      <c r="I365" s="3"/>
      <c r="J365" s="3"/>
    </row>
    <row r="366" spans="1:10" x14ac:dyDescent="0.3">
      <c r="A366" s="3"/>
      <c r="B366" s="24"/>
      <c r="C366" s="3"/>
      <c r="D366" s="3"/>
      <c r="E366" s="3"/>
      <c r="F366" s="3"/>
      <c r="G366" s="3"/>
      <c r="H366" s="3"/>
      <c r="I366" s="3"/>
      <c r="J366" s="3"/>
    </row>
    <row r="367" spans="1:10" x14ac:dyDescent="0.3">
      <c r="A367" s="3"/>
      <c r="B367" s="24"/>
      <c r="C367" s="3"/>
      <c r="D367" s="3"/>
      <c r="E367" s="3"/>
      <c r="F367" s="3"/>
      <c r="G367" s="3"/>
      <c r="H367" s="3"/>
      <c r="I367" s="3"/>
      <c r="J367" s="3"/>
    </row>
    <row r="368" spans="1:10" x14ac:dyDescent="0.3">
      <c r="A368" s="3"/>
      <c r="B368" s="24"/>
      <c r="C368" s="3"/>
      <c r="D368" s="3"/>
      <c r="E368" s="3"/>
      <c r="F368" s="3"/>
      <c r="G368" s="3"/>
      <c r="H368" s="3"/>
      <c r="I368" s="3"/>
      <c r="J368" s="3"/>
    </row>
    <row r="369" spans="1:10" x14ac:dyDescent="0.3">
      <c r="A369" s="3"/>
      <c r="B369" s="24"/>
      <c r="C369" s="3"/>
      <c r="D369" s="3"/>
      <c r="E369" s="3"/>
      <c r="F369" s="3"/>
      <c r="G369" s="3"/>
      <c r="H369" s="3"/>
      <c r="I369" s="3"/>
      <c r="J369" s="3"/>
    </row>
    <row r="370" spans="1:10" x14ac:dyDescent="0.3">
      <c r="A370" s="3"/>
      <c r="B370" s="24"/>
      <c r="C370" s="3"/>
      <c r="D370" s="3"/>
      <c r="E370" s="3"/>
      <c r="F370" s="3"/>
      <c r="G370" s="3"/>
      <c r="H370" s="3"/>
      <c r="I370" s="3"/>
      <c r="J370" s="3"/>
    </row>
    <row r="371" spans="1:10" x14ac:dyDescent="0.3">
      <c r="A371" s="3"/>
      <c r="B371" s="24"/>
      <c r="C371" s="3"/>
      <c r="D371" s="3"/>
      <c r="E371" s="3"/>
      <c r="F371" s="3"/>
      <c r="G371" s="3"/>
      <c r="H371" s="3"/>
      <c r="I371" s="3"/>
      <c r="J371" s="3"/>
    </row>
    <row r="372" spans="1:10" x14ac:dyDescent="0.3">
      <c r="A372" s="3"/>
      <c r="B372" s="24"/>
      <c r="C372" s="3"/>
      <c r="D372" s="3"/>
      <c r="E372" s="3"/>
      <c r="F372" s="3"/>
      <c r="G372" s="3"/>
      <c r="H372" s="3"/>
      <c r="I372" s="3"/>
      <c r="J372" s="3"/>
    </row>
    <row r="373" spans="1:10" x14ac:dyDescent="0.3">
      <c r="A373" s="3"/>
      <c r="B373" s="24"/>
      <c r="C373" s="3"/>
      <c r="D373" s="3"/>
      <c r="E373" s="3"/>
      <c r="F373" s="3"/>
      <c r="G373" s="3"/>
      <c r="H373" s="3"/>
      <c r="I373" s="3"/>
      <c r="J373" s="3"/>
    </row>
    <row r="374" spans="1:10" x14ac:dyDescent="0.3">
      <c r="A374" s="3"/>
      <c r="B374" s="24"/>
      <c r="C374" s="3"/>
      <c r="D374" s="3"/>
      <c r="E374" s="3"/>
      <c r="F374" s="3"/>
      <c r="G374" s="3"/>
      <c r="H374" s="3"/>
      <c r="I374" s="3"/>
      <c r="J374" s="3"/>
    </row>
    <row r="375" spans="1:10" x14ac:dyDescent="0.3">
      <c r="A375" s="3"/>
      <c r="B375" s="24"/>
      <c r="C375" s="3"/>
      <c r="D375" s="3"/>
      <c r="E375" s="3"/>
      <c r="F375" s="3"/>
      <c r="G375" s="3"/>
      <c r="H375" s="3"/>
      <c r="I375" s="3"/>
      <c r="J375" s="3"/>
    </row>
    <row r="376" spans="1:10" x14ac:dyDescent="0.3">
      <c r="A376" s="3"/>
      <c r="B376" s="24"/>
      <c r="C376" s="3"/>
      <c r="D376" s="3"/>
      <c r="E376" s="3"/>
      <c r="F376" s="3"/>
      <c r="G376" s="3"/>
      <c r="H376" s="3"/>
      <c r="I376" s="3"/>
      <c r="J376" s="3"/>
    </row>
    <row r="377" spans="1:10" x14ac:dyDescent="0.3">
      <c r="A377" s="3"/>
      <c r="B377" s="24"/>
      <c r="C377" s="3"/>
      <c r="D377" s="3"/>
      <c r="E377" s="3"/>
      <c r="F377" s="3"/>
      <c r="G377" s="3"/>
      <c r="H377" s="3"/>
      <c r="I377" s="3"/>
      <c r="J377" s="3"/>
    </row>
    <row r="378" spans="1:10" x14ac:dyDescent="0.3">
      <c r="A378" s="3"/>
      <c r="B378" s="24"/>
      <c r="C378" s="3"/>
      <c r="D378" s="3"/>
      <c r="E378" s="3"/>
      <c r="F378" s="3"/>
      <c r="G378" s="3"/>
      <c r="H378" s="3"/>
      <c r="I378" s="3"/>
      <c r="J378" s="3"/>
    </row>
    <row r="379" spans="1:10" x14ac:dyDescent="0.3">
      <c r="A379" s="3"/>
      <c r="B379" s="24"/>
      <c r="C379" s="3"/>
      <c r="D379" s="3"/>
      <c r="E379" s="3"/>
      <c r="F379" s="3"/>
      <c r="G379" s="3"/>
      <c r="H379" s="3"/>
      <c r="I379" s="3"/>
      <c r="J379" s="3"/>
    </row>
    <row r="380" spans="1:10" x14ac:dyDescent="0.3">
      <c r="A380" s="3"/>
      <c r="B380" s="24"/>
      <c r="C380" s="3"/>
      <c r="D380" s="3"/>
      <c r="E380" s="3"/>
      <c r="F380" s="3"/>
      <c r="G380" s="3"/>
      <c r="H380" s="3"/>
      <c r="I380" s="3"/>
      <c r="J380" s="3"/>
    </row>
    <row r="381" spans="1:10" x14ac:dyDescent="0.3">
      <c r="A381" s="3"/>
      <c r="B381" s="24"/>
      <c r="C381" s="3"/>
      <c r="D381" s="3"/>
      <c r="E381" s="3"/>
      <c r="F381" s="3"/>
      <c r="G381" s="3"/>
      <c r="H381" s="3"/>
      <c r="I381" s="3"/>
      <c r="J381" s="3"/>
    </row>
    <row r="382" spans="1:10" x14ac:dyDescent="0.3">
      <c r="A382" s="3"/>
      <c r="B382" s="24"/>
      <c r="C382" s="3"/>
      <c r="D382" s="3"/>
      <c r="E382" s="3"/>
      <c r="F382" s="3"/>
      <c r="G382" s="3"/>
      <c r="H382" s="3"/>
      <c r="I382" s="3"/>
      <c r="J382" s="3"/>
    </row>
    <row r="383" spans="1:10" x14ac:dyDescent="0.3">
      <c r="A383" s="3"/>
      <c r="B383" s="24"/>
      <c r="C383" s="3"/>
      <c r="D383" s="3"/>
      <c r="E383" s="3"/>
      <c r="F383" s="3"/>
      <c r="G383" s="3"/>
      <c r="H383" s="3"/>
      <c r="I383" s="3"/>
      <c r="J383" s="3"/>
    </row>
    <row r="384" spans="1:10" x14ac:dyDescent="0.3">
      <c r="A384" s="3"/>
      <c r="B384" s="24"/>
      <c r="C384" s="3"/>
      <c r="D384" s="3"/>
      <c r="E384" s="3"/>
      <c r="F384" s="3"/>
      <c r="G384" s="3"/>
      <c r="H384" s="3"/>
      <c r="I384" s="3"/>
      <c r="J384" s="3"/>
    </row>
    <row r="385" spans="1:10" x14ac:dyDescent="0.3">
      <c r="A385" s="3"/>
      <c r="B385" s="24"/>
      <c r="C385" s="3"/>
      <c r="D385" s="3"/>
      <c r="E385" s="3"/>
      <c r="F385" s="3"/>
      <c r="G385" s="3"/>
      <c r="H385" s="3"/>
      <c r="I385" s="3"/>
      <c r="J385" s="3"/>
    </row>
    <row r="386" spans="1:10" x14ac:dyDescent="0.3">
      <c r="A386" s="3"/>
      <c r="B386" s="24"/>
      <c r="C386" s="3"/>
      <c r="D386" s="3"/>
      <c r="E386" s="3"/>
      <c r="F386" s="3"/>
      <c r="G386" s="3"/>
      <c r="H386" s="3"/>
      <c r="I386" s="3"/>
      <c r="J386" s="3"/>
    </row>
    <row r="387" spans="1:10" x14ac:dyDescent="0.3">
      <c r="A387" s="3"/>
      <c r="B387" s="24"/>
      <c r="C387" s="3"/>
      <c r="D387" s="3"/>
      <c r="E387" s="3"/>
      <c r="F387" s="3"/>
      <c r="G387" s="3"/>
      <c r="H387" s="3"/>
      <c r="I387" s="3"/>
      <c r="J387" s="3"/>
    </row>
    <row r="388" spans="1:10" x14ac:dyDescent="0.3">
      <c r="A388" s="3"/>
      <c r="B388" s="24"/>
      <c r="C388" s="3"/>
      <c r="D388" s="3"/>
      <c r="E388" s="3"/>
      <c r="F388" s="3"/>
      <c r="G388" s="3"/>
      <c r="H388" s="3"/>
      <c r="I388" s="3"/>
      <c r="J388" s="3"/>
    </row>
    <row r="389" spans="1:10" x14ac:dyDescent="0.3">
      <c r="A389" s="3"/>
      <c r="B389" s="24"/>
      <c r="C389" s="3"/>
      <c r="D389" s="3"/>
      <c r="E389" s="3"/>
      <c r="F389" s="3"/>
      <c r="G389" s="3"/>
      <c r="H389" s="3"/>
      <c r="I389" s="3"/>
      <c r="J389" s="3"/>
    </row>
    <row r="390" spans="1:10" x14ac:dyDescent="0.3">
      <c r="A390" s="3"/>
      <c r="B390" s="24"/>
      <c r="C390" s="3"/>
      <c r="D390" s="3"/>
      <c r="E390" s="3"/>
      <c r="F390" s="3"/>
      <c r="G390" s="3"/>
      <c r="H390" s="3"/>
      <c r="I390" s="3"/>
      <c r="J390" s="3"/>
    </row>
    <row r="391" spans="1:10" x14ac:dyDescent="0.3">
      <c r="A391" s="3"/>
      <c r="B391" s="24"/>
      <c r="C391" s="3"/>
      <c r="D391" s="3"/>
      <c r="E391" s="3"/>
      <c r="F391" s="3"/>
      <c r="G391" s="3"/>
      <c r="H391" s="3"/>
      <c r="I391" s="3"/>
      <c r="J391" s="3"/>
    </row>
    <row r="392" spans="1:10" x14ac:dyDescent="0.3">
      <c r="A392" s="3"/>
      <c r="B392" s="24"/>
      <c r="C392" s="3"/>
      <c r="D392" s="3"/>
      <c r="E392" s="3"/>
      <c r="F392" s="3"/>
      <c r="G392" s="3"/>
      <c r="H392" s="3"/>
      <c r="I392" s="3"/>
      <c r="J392" s="3"/>
    </row>
    <row r="393" spans="1:10" x14ac:dyDescent="0.3">
      <c r="A393" s="3"/>
      <c r="B393" s="24"/>
      <c r="C393" s="3"/>
      <c r="D393" s="3"/>
      <c r="E393" s="3"/>
      <c r="F393" s="3"/>
      <c r="G393" s="3"/>
      <c r="H393" s="3"/>
      <c r="I393" s="3"/>
      <c r="J393" s="3"/>
    </row>
    <row r="394" spans="1:10" x14ac:dyDescent="0.3">
      <c r="A394" s="3"/>
      <c r="B394" s="24"/>
      <c r="C394" s="3"/>
      <c r="D394" s="3"/>
      <c r="E394" s="3"/>
      <c r="F394" s="3"/>
      <c r="G394" s="3"/>
      <c r="H394" s="3"/>
      <c r="I394" s="3"/>
      <c r="J394" s="3"/>
    </row>
    <row r="395" spans="1:10" x14ac:dyDescent="0.3">
      <c r="A395" s="3"/>
      <c r="B395" s="24"/>
      <c r="C395" s="3"/>
      <c r="D395" s="3"/>
      <c r="E395" s="3"/>
      <c r="F395" s="3"/>
      <c r="G395" s="3"/>
      <c r="H395" s="3"/>
      <c r="I395" s="3"/>
      <c r="J395" s="3"/>
    </row>
    <row r="396" spans="1:10" x14ac:dyDescent="0.3">
      <c r="A396" s="3"/>
      <c r="B396" s="24"/>
      <c r="C396" s="3"/>
      <c r="D396" s="3"/>
      <c r="E396" s="3"/>
      <c r="F396" s="3"/>
      <c r="G396" s="3"/>
      <c r="H396" s="3"/>
      <c r="I396" s="3"/>
      <c r="J396" s="3"/>
    </row>
    <row r="397" spans="1:10" x14ac:dyDescent="0.3">
      <c r="A397" s="3"/>
      <c r="B397" s="24"/>
      <c r="C397" s="3"/>
      <c r="D397" s="3"/>
      <c r="E397" s="3"/>
      <c r="F397" s="3"/>
      <c r="G397" s="3"/>
      <c r="H397" s="3"/>
      <c r="I397" s="3"/>
      <c r="J397" s="3"/>
    </row>
    <row r="398" spans="1:10" x14ac:dyDescent="0.3">
      <c r="A398" s="3"/>
      <c r="B398" s="24"/>
      <c r="C398" s="3"/>
      <c r="D398" s="3"/>
      <c r="E398" s="3"/>
      <c r="F398" s="3"/>
      <c r="G398" s="3"/>
      <c r="H398" s="3"/>
      <c r="I398" s="3"/>
      <c r="J398" s="3"/>
    </row>
    <row r="399" spans="1:10" x14ac:dyDescent="0.3">
      <c r="A399" s="3"/>
      <c r="B399" s="24"/>
      <c r="C399" s="3"/>
      <c r="D399" s="3"/>
      <c r="E399" s="3"/>
      <c r="F399" s="3"/>
      <c r="G399" s="3"/>
      <c r="H399" s="3"/>
      <c r="I399" s="3"/>
      <c r="J399" s="3"/>
    </row>
    <row r="400" spans="1:10" x14ac:dyDescent="0.3">
      <c r="A400" s="3"/>
      <c r="B400" s="24"/>
      <c r="C400" s="3"/>
      <c r="D400" s="3"/>
      <c r="E400" s="3"/>
      <c r="F400" s="3"/>
      <c r="G400" s="3"/>
      <c r="H400" s="3"/>
      <c r="I400" s="3"/>
      <c r="J400" s="3"/>
    </row>
    <row r="401" spans="1:10" x14ac:dyDescent="0.3">
      <c r="A401" s="3"/>
      <c r="B401" s="24"/>
      <c r="C401" s="3"/>
      <c r="D401" s="3"/>
      <c r="E401" s="3"/>
      <c r="F401" s="3"/>
      <c r="G401" s="3"/>
      <c r="H401" s="3"/>
      <c r="I401" s="3"/>
      <c r="J401" s="3"/>
    </row>
    <row r="402" spans="1:10" x14ac:dyDescent="0.3">
      <c r="A402" s="3"/>
      <c r="B402" s="24"/>
      <c r="C402" s="3"/>
      <c r="D402" s="3"/>
      <c r="E402" s="3"/>
      <c r="F402" s="3"/>
      <c r="G402" s="3"/>
      <c r="H402" s="3"/>
      <c r="I402" s="3"/>
      <c r="J402" s="3"/>
    </row>
    <row r="403" spans="1:10" x14ac:dyDescent="0.3">
      <c r="A403" s="3"/>
      <c r="B403" s="24"/>
      <c r="C403" s="3"/>
      <c r="D403" s="3"/>
      <c r="E403" s="3"/>
      <c r="F403" s="3"/>
      <c r="G403" s="3"/>
      <c r="H403" s="3"/>
      <c r="I403" s="3"/>
      <c r="J403" s="3"/>
    </row>
    <row r="404" spans="1:10" x14ac:dyDescent="0.3">
      <c r="A404" s="3"/>
      <c r="B404" s="24"/>
      <c r="C404" s="3"/>
      <c r="D404" s="3"/>
      <c r="E404" s="3"/>
      <c r="F404" s="3"/>
      <c r="G404" s="3"/>
      <c r="H404" s="3"/>
      <c r="I404" s="3"/>
      <c r="J404" s="3"/>
    </row>
    <row r="405" spans="1:10" x14ac:dyDescent="0.3">
      <c r="A405" s="3"/>
      <c r="B405" s="24"/>
      <c r="C405" s="3"/>
      <c r="D405" s="3"/>
      <c r="E405" s="3"/>
      <c r="F405" s="3"/>
      <c r="G405" s="3"/>
      <c r="H405" s="3"/>
      <c r="I405" s="3"/>
      <c r="J405" s="3"/>
    </row>
    <row r="406" spans="1:10" x14ac:dyDescent="0.3">
      <c r="A406" s="3"/>
      <c r="B406" s="24"/>
      <c r="C406" s="3"/>
      <c r="D406" s="3"/>
      <c r="E406" s="3"/>
      <c r="F406" s="3"/>
      <c r="G406" s="3"/>
      <c r="H406" s="3"/>
      <c r="I406" s="3"/>
      <c r="J406" s="3"/>
    </row>
    <row r="407" spans="1:10" x14ac:dyDescent="0.3">
      <c r="A407" s="3"/>
      <c r="B407" s="24"/>
      <c r="C407" s="3"/>
      <c r="D407" s="3"/>
      <c r="E407" s="3"/>
      <c r="F407" s="3"/>
      <c r="G407" s="3"/>
      <c r="H407" s="3"/>
      <c r="I407" s="3"/>
      <c r="J407" s="3"/>
    </row>
    <row r="408" spans="1:10" x14ac:dyDescent="0.3">
      <c r="A408" s="3"/>
      <c r="B408" s="24"/>
      <c r="C408" s="3"/>
      <c r="D408" s="3"/>
      <c r="E408" s="3"/>
      <c r="F408" s="3"/>
      <c r="G408" s="3"/>
      <c r="H408" s="3"/>
      <c r="I408" s="3"/>
      <c r="J408" s="3"/>
    </row>
    <row r="409" spans="1:10" x14ac:dyDescent="0.3">
      <c r="A409" s="3"/>
      <c r="B409" s="24"/>
      <c r="C409" s="3"/>
      <c r="D409" s="3"/>
      <c r="E409" s="3"/>
      <c r="F409" s="3"/>
      <c r="G409" s="3"/>
      <c r="H409" s="3"/>
      <c r="I409" s="3"/>
      <c r="J409" s="3"/>
    </row>
    <row r="410" spans="1:10" x14ac:dyDescent="0.3">
      <c r="A410" s="3"/>
      <c r="B410" s="24"/>
      <c r="C410" s="3"/>
      <c r="D410" s="3"/>
      <c r="E410" s="3"/>
      <c r="F410" s="3"/>
      <c r="G410" s="3"/>
      <c r="H410" s="3"/>
      <c r="I410" s="3"/>
      <c r="J410" s="3"/>
    </row>
    <row r="411" spans="1:10" x14ac:dyDescent="0.3">
      <c r="A411" s="3"/>
      <c r="B411" s="24"/>
      <c r="C411" s="3"/>
      <c r="D411" s="3"/>
      <c r="E411" s="3"/>
      <c r="F411" s="3"/>
      <c r="G411" s="3"/>
      <c r="H411" s="3"/>
      <c r="I411" s="3"/>
      <c r="J411" s="3"/>
    </row>
    <row r="412" spans="1:10" x14ac:dyDescent="0.3">
      <c r="A412" s="3"/>
      <c r="B412" s="24"/>
      <c r="C412" s="3"/>
      <c r="D412" s="3"/>
      <c r="E412" s="3"/>
      <c r="F412" s="3"/>
      <c r="G412" s="3"/>
      <c r="H412" s="3"/>
      <c r="I412" s="3"/>
      <c r="J412" s="3"/>
    </row>
    <row r="413" spans="1:10" x14ac:dyDescent="0.3">
      <c r="A413" s="3"/>
      <c r="B413" s="24"/>
      <c r="C413" s="3"/>
      <c r="D413" s="3"/>
      <c r="E413" s="3"/>
      <c r="F413" s="3"/>
      <c r="G413" s="3"/>
      <c r="H413" s="3"/>
      <c r="I413" s="3"/>
      <c r="J413" s="3"/>
    </row>
    <row r="414" spans="1:10" x14ac:dyDescent="0.3">
      <c r="A414" s="3"/>
      <c r="B414" s="24"/>
      <c r="C414" s="3"/>
      <c r="D414" s="3"/>
      <c r="E414" s="3"/>
      <c r="F414" s="3"/>
      <c r="G414" s="3"/>
      <c r="H414" s="3"/>
      <c r="I414" s="3"/>
      <c r="J414" s="3"/>
    </row>
    <row r="415" spans="1:10" x14ac:dyDescent="0.3">
      <c r="A415" s="3"/>
      <c r="B415" s="24"/>
      <c r="C415" s="3"/>
      <c r="D415" s="3"/>
      <c r="E415" s="3"/>
      <c r="F415" s="3"/>
      <c r="G415" s="3"/>
      <c r="H415" s="3"/>
      <c r="I415" s="3"/>
      <c r="J415" s="3"/>
    </row>
    <row r="416" spans="1:10" x14ac:dyDescent="0.3">
      <c r="A416" s="3"/>
      <c r="B416" s="24"/>
      <c r="C416" s="3"/>
      <c r="D416" s="3"/>
      <c r="E416" s="3"/>
      <c r="F416" s="3"/>
      <c r="G416" s="3"/>
      <c r="H416" s="3"/>
      <c r="I416" s="3"/>
      <c r="J416" s="3"/>
    </row>
    <row r="417" spans="1:10" x14ac:dyDescent="0.3">
      <c r="A417" s="3"/>
      <c r="B417" s="24"/>
      <c r="C417" s="3"/>
      <c r="D417" s="3"/>
      <c r="E417" s="3"/>
      <c r="F417" s="3"/>
      <c r="G417" s="3"/>
      <c r="H417" s="3"/>
      <c r="I417" s="3"/>
      <c r="J417" s="3"/>
    </row>
    <row r="418" spans="1:10" x14ac:dyDescent="0.3">
      <c r="A418" s="3"/>
      <c r="B418" s="24"/>
      <c r="C418" s="3"/>
      <c r="D418" s="3"/>
      <c r="E418" s="3"/>
      <c r="F418" s="3"/>
      <c r="G418" s="3"/>
      <c r="H418" s="3"/>
      <c r="I418" s="3"/>
      <c r="J418" s="3"/>
    </row>
    <row r="419" spans="1:10" x14ac:dyDescent="0.3">
      <c r="A419" s="3"/>
      <c r="B419" s="24"/>
      <c r="C419" s="3"/>
      <c r="D419" s="3"/>
      <c r="E419" s="3"/>
      <c r="F419" s="3"/>
      <c r="G419" s="3"/>
      <c r="H419" s="3"/>
      <c r="I419" s="3"/>
      <c r="J419" s="3"/>
    </row>
    <row r="420" spans="1:10" x14ac:dyDescent="0.3">
      <c r="A420" s="3"/>
      <c r="B420" s="24"/>
      <c r="C420" s="3"/>
      <c r="D420" s="3"/>
      <c r="E420" s="3"/>
      <c r="F420" s="3"/>
      <c r="G420" s="3"/>
      <c r="H420" s="3"/>
      <c r="I420" s="3"/>
      <c r="J420" s="3"/>
    </row>
    <row r="421" spans="1:10" x14ac:dyDescent="0.3">
      <c r="A421" s="3"/>
      <c r="B421" s="24"/>
      <c r="C421" s="3"/>
      <c r="D421" s="3"/>
      <c r="E421" s="3"/>
      <c r="F421" s="3"/>
      <c r="G421" s="3"/>
      <c r="H421" s="3"/>
      <c r="I421" s="3"/>
      <c r="J421" s="3"/>
    </row>
    <row r="422" spans="1:10" x14ac:dyDescent="0.3">
      <c r="A422" s="3"/>
      <c r="B422" s="24"/>
      <c r="C422" s="3"/>
      <c r="D422" s="3"/>
      <c r="E422" s="3"/>
      <c r="F422" s="3"/>
      <c r="G422" s="3"/>
      <c r="H422" s="3"/>
      <c r="I422" s="3"/>
      <c r="J422" s="3"/>
    </row>
    <row r="423" spans="1:10" x14ac:dyDescent="0.3">
      <c r="A423" s="3"/>
      <c r="B423" s="24"/>
      <c r="C423" s="3"/>
      <c r="D423" s="3"/>
      <c r="E423" s="3"/>
      <c r="F423" s="3"/>
      <c r="G423" s="3"/>
      <c r="H423" s="3"/>
      <c r="I423" s="3"/>
      <c r="J423" s="3"/>
    </row>
    <row r="424" spans="1:10" x14ac:dyDescent="0.3">
      <c r="A424" s="3"/>
      <c r="B424" s="24"/>
      <c r="C424" s="3"/>
      <c r="D424" s="3"/>
      <c r="E424" s="3"/>
      <c r="F424" s="3"/>
      <c r="G424" s="3"/>
      <c r="H424" s="3"/>
      <c r="I424" s="3"/>
      <c r="J424" s="3"/>
    </row>
    <row r="425" spans="1:10" x14ac:dyDescent="0.3">
      <c r="A425" s="3"/>
      <c r="B425" s="24"/>
      <c r="C425" s="3"/>
      <c r="D425" s="3"/>
      <c r="E425" s="3"/>
      <c r="F425" s="3"/>
      <c r="G425" s="3"/>
      <c r="H425" s="3"/>
      <c r="I425" s="3"/>
      <c r="J425" s="3"/>
    </row>
    <row r="426" spans="1:10" x14ac:dyDescent="0.3">
      <c r="A426" s="3"/>
      <c r="B426" s="24"/>
      <c r="C426" s="3"/>
      <c r="D426" s="3"/>
      <c r="E426" s="3"/>
      <c r="F426" s="3"/>
      <c r="G426" s="3"/>
      <c r="H426" s="3"/>
      <c r="I426" s="3"/>
      <c r="J426" s="3"/>
    </row>
    <row r="427" spans="1:10" x14ac:dyDescent="0.3">
      <c r="A427" s="3"/>
      <c r="B427" s="24"/>
      <c r="C427" s="3"/>
      <c r="D427" s="3"/>
      <c r="E427" s="3"/>
      <c r="F427" s="3"/>
      <c r="G427" s="3"/>
      <c r="H427" s="3"/>
      <c r="I427" s="3"/>
      <c r="J427" s="3"/>
    </row>
    <row r="428" spans="1:10" x14ac:dyDescent="0.3">
      <c r="A428" s="3"/>
      <c r="B428" s="24"/>
      <c r="C428" s="3"/>
      <c r="D428" s="3"/>
      <c r="E428" s="3"/>
      <c r="F428" s="3"/>
      <c r="G428" s="3"/>
      <c r="H428" s="3"/>
      <c r="I428" s="3"/>
      <c r="J428" s="3"/>
    </row>
    <row r="429" spans="1:10" x14ac:dyDescent="0.3">
      <c r="A429" s="3"/>
      <c r="B429" s="24"/>
      <c r="C429" s="3"/>
      <c r="D429" s="3"/>
      <c r="E429" s="3"/>
      <c r="F429" s="3"/>
      <c r="G429" s="3"/>
      <c r="H429" s="3"/>
      <c r="I429" s="3"/>
      <c r="J429" s="3"/>
    </row>
    <row r="430" spans="1:10" x14ac:dyDescent="0.3">
      <c r="A430" s="3"/>
      <c r="B430" s="24"/>
      <c r="C430" s="3"/>
      <c r="D430" s="3"/>
      <c r="E430" s="3"/>
      <c r="F430" s="3"/>
      <c r="G430" s="3"/>
      <c r="H430" s="3"/>
      <c r="I430" s="3"/>
      <c r="J430" s="3"/>
    </row>
    <row r="431" spans="1:10" x14ac:dyDescent="0.3">
      <c r="A431" s="3"/>
      <c r="B431" s="24"/>
      <c r="C431" s="3"/>
      <c r="D431" s="3"/>
      <c r="E431" s="3"/>
      <c r="F431" s="3"/>
      <c r="G431" s="3"/>
      <c r="H431" s="3"/>
      <c r="I431" s="3"/>
      <c r="J431" s="3"/>
    </row>
    <row r="432" spans="1:10" x14ac:dyDescent="0.3">
      <c r="A432" s="3"/>
      <c r="B432" s="24"/>
      <c r="C432" s="3"/>
      <c r="D432" s="3"/>
      <c r="E432" s="3"/>
      <c r="F432" s="3"/>
      <c r="G432" s="3"/>
      <c r="H432" s="3"/>
      <c r="I432" s="3"/>
      <c r="J432" s="3"/>
    </row>
    <row r="433" spans="1:10" x14ac:dyDescent="0.3">
      <c r="A433" s="3"/>
      <c r="B433" s="24"/>
      <c r="C433" s="3"/>
      <c r="D433" s="3"/>
      <c r="E433" s="3"/>
      <c r="F433" s="3"/>
      <c r="G433" s="3"/>
      <c r="H433" s="3"/>
      <c r="I433" s="3"/>
      <c r="J433" s="3"/>
    </row>
    <row r="434" spans="1:10" x14ac:dyDescent="0.3">
      <c r="A434" s="3"/>
      <c r="B434" s="24"/>
      <c r="C434" s="3"/>
      <c r="D434" s="3"/>
      <c r="E434" s="3"/>
      <c r="F434" s="3"/>
      <c r="G434" s="3"/>
      <c r="H434" s="3"/>
      <c r="I434" s="3"/>
      <c r="J434" s="3"/>
    </row>
    <row r="435" spans="1:10" x14ac:dyDescent="0.3">
      <c r="A435" s="3"/>
      <c r="B435" s="24"/>
      <c r="C435" s="3"/>
      <c r="D435" s="3"/>
      <c r="E435" s="3"/>
      <c r="F435" s="3"/>
      <c r="G435" s="3"/>
      <c r="H435" s="3"/>
      <c r="I435" s="3"/>
      <c r="J435" s="3"/>
    </row>
    <row r="436" spans="1:10" x14ac:dyDescent="0.3">
      <c r="A436" s="3"/>
      <c r="B436" s="24"/>
      <c r="C436" s="3"/>
      <c r="D436" s="3"/>
      <c r="E436" s="3"/>
      <c r="F436" s="3"/>
      <c r="G436" s="3"/>
      <c r="H436" s="3"/>
      <c r="I436" s="3"/>
      <c r="J436" s="3"/>
    </row>
    <row r="437" spans="1:10" x14ac:dyDescent="0.3">
      <c r="A437" s="3"/>
      <c r="B437" s="24"/>
      <c r="C437" s="3"/>
      <c r="D437" s="3"/>
      <c r="E437" s="3"/>
      <c r="F437" s="3"/>
      <c r="G437" s="3"/>
      <c r="H437" s="3"/>
      <c r="I437" s="3"/>
      <c r="J437" s="3"/>
    </row>
    <row r="438" spans="1:10" x14ac:dyDescent="0.3">
      <c r="A438" s="3"/>
      <c r="B438" s="24"/>
      <c r="C438" s="3"/>
      <c r="D438" s="3"/>
      <c r="E438" s="3"/>
      <c r="F438" s="3"/>
      <c r="G438" s="3"/>
      <c r="H438" s="3"/>
      <c r="I438" s="3"/>
      <c r="J438" s="3"/>
    </row>
    <row r="439" spans="1:10" x14ac:dyDescent="0.3">
      <c r="A439" s="3"/>
      <c r="B439" s="24"/>
      <c r="C439" s="3"/>
      <c r="D439" s="3"/>
      <c r="E439" s="3"/>
      <c r="F439" s="3"/>
      <c r="G439" s="3"/>
      <c r="H439" s="3"/>
      <c r="I439" s="3"/>
      <c r="J439" s="3"/>
    </row>
    <row r="440" spans="1:10" x14ac:dyDescent="0.3">
      <c r="A440" s="3"/>
      <c r="B440" s="24"/>
      <c r="C440" s="3"/>
      <c r="D440" s="3"/>
      <c r="E440" s="3"/>
      <c r="F440" s="3"/>
      <c r="G440" s="3"/>
      <c r="H440" s="3"/>
      <c r="I440" s="3"/>
      <c r="J440" s="3"/>
    </row>
    <row r="441" spans="1:10" x14ac:dyDescent="0.3">
      <c r="A441" s="3"/>
      <c r="B441" s="24"/>
      <c r="C441" s="3"/>
      <c r="D441" s="3"/>
      <c r="E441" s="3"/>
      <c r="F441" s="3"/>
      <c r="G441" s="3"/>
      <c r="H441" s="3"/>
      <c r="I441" s="3"/>
      <c r="J441" s="3"/>
    </row>
    <row r="442" spans="1:10" x14ac:dyDescent="0.3">
      <c r="A442" s="3"/>
      <c r="B442" s="24"/>
      <c r="C442" s="3"/>
      <c r="D442" s="3"/>
      <c r="E442" s="3"/>
      <c r="F442" s="3"/>
      <c r="G442" s="3"/>
      <c r="H442" s="3"/>
      <c r="I442" s="3"/>
      <c r="J442" s="3"/>
    </row>
    <row r="443" spans="1:10" x14ac:dyDescent="0.3">
      <c r="A443" s="3"/>
      <c r="B443" s="24"/>
      <c r="C443" s="3"/>
      <c r="D443" s="3"/>
      <c r="E443" s="3"/>
      <c r="F443" s="3"/>
      <c r="G443" s="3"/>
      <c r="H443" s="3"/>
      <c r="I443" s="3"/>
      <c r="J443" s="3"/>
    </row>
    <row r="444" spans="1:10" x14ac:dyDescent="0.3">
      <c r="A444" s="3"/>
      <c r="B444" s="24"/>
      <c r="C444" s="3"/>
      <c r="D444" s="3"/>
      <c r="E444" s="3"/>
      <c r="F444" s="3"/>
      <c r="G444" s="3"/>
      <c r="H444" s="3"/>
      <c r="I444" s="3"/>
      <c r="J444" s="3"/>
    </row>
    <row r="445" spans="1:10" x14ac:dyDescent="0.3">
      <c r="A445" s="3"/>
      <c r="B445" s="24"/>
      <c r="C445" s="3"/>
      <c r="D445" s="3"/>
      <c r="E445" s="3"/>
      <c r="F445" s="3"/>
      <c r="G445" s="3"/>
      <c r="H445" s="3"/>
      <c r="I445" s="3"/>
      <c r="J445" s="3"/>
    </row>
    <row r="446" spans="1:10" x14ac:dyDescent="0.3">
      <c r="A446" s="3"/>
      <c r="B446" s="24"/>
      <c r="C446" s="3"/>
      <c r="D446" s="3"/>
      <c r="E446" s="3"/>
      <c r="F446" s="3"/>
      <c r="G446" s="3"/>
      <c r="H446" s="3"/>
      <c r="I446" s="3"/>
      <c r="J446" s="3"/>
    </row>
    <row r="447" spans="1:10" x14ac:dyDescent="0.3">
      <c r="A447" s="3"/>
      <c r="B447" s="24"/>
      <c r="C447" s="3"/>
      <c r="D447" s="3"/>
      <c r="E447" s="3"/>
      <c r="F447" s="3"/>
      <c r="G447" s="3"/>
      <c r="H447" s="3"/>
      <c r="I447" s="3"/>
      <c r="J447" s="3"/>
    </row>
    <row r="448" spans="1:10" x14ac:dyDescent="0.3">
      <c r="A448" s="3"/>
      <c r="B448" s="24"/>
      <c r="C448" s="3"/>
      <c r="D448" s="3"/>
      <c r="E448" s="3"/>
      <c r="F448" s="3"/>
      <c r="G448" s="3"/>
      <c r="H448" s="3"/>
      <c r="I448" s="3"/>
      <c r="J448" s="3"/>
    </row>
    <row r="449" spans="1:10" x14ac:dyDescent="0.3">
      <c r="A449" s="3"/>
      <c r="B449" s="24"/>
      <c r="C449" s="3"/>
      <c r="D449" s="3"/>
      <c r="E449" s="3"/>
      <c r="F449" s="3"/>
      <c r="G449" s="3"/>
      <c r="H449" s="3"/>
      <c r="I449" s="3"/>
      <c r="J449" s="3"/>
    </row>
    <row r="450" spans="1:10" x14ac:dyDescent="0.3">
      <c r="A450" s="3"/>
      <c r="B450" s="24"/>
      <c r="C450" s="3"/>
      <c r="D450" s="3"/>
      <c r="E450" s="3"/>
      <c r="F450" s="3"/>
      <c r="G450" s="3"/>
      <c r="H450" s="3"/>
      <c r="I450" s="3"/>
      <c r="J450" s="3"/>
    </row>
    <row r="451" spans="1:10" x14ac:dyDescent="0.3">
      <c r="A451" s="3"/>
      <c r="B451" s="24"/>
      <c r="C451" s="3"/>
      <c r="D451" s="3"/>
      <c r="E451" s="3"/>
      <c r="F451" s="3"/>
      <c r="G451" s="3"/>
      <c r="H451" s="3"/>
      <c r="I451" s="3"/>
      <c r="J451" s="3"/>
    </row>
    <row r="452" spans="1:10" x14ac:dyDescent="0.3">
      <c r="A452" s="3"/>
      <c r="B452" s="24"/>
      <c r="C452" s="3"/>
      <c r="D452" s="3"/>
      <c r="E452" s="3"/>
      <c r="F452" s="3"/>
      <c r="G452" s="3"/>
      <c r="H452" s="3"/>
      <c r="I452" s="3"/>
      <c r="J452" s="3"/>
    </row>
    <row r="453" spans="1:10" x14ac:dyDescent="0.3">
      <c r="A453" s="3"/>
      <c r="B453" s="24"/>
      <c r="C453" s="3"/>
      <c r="D453" s="3"/>
      <c r="E453" s="3"/>
      <c r="F453" s="3"/>
      <c r="G453" s="3"/>
      <c r="H453" s="3"/>
      <c r="I453" s="3"/>
      <c r="J453" s="3"/>
    </row>
    <row r="454" spans="1:10" x14ac:dyDescent="0.3">
      <c r="A454" s="3"/>
      <c r="B454" s="24"/>
      <c r="C454" s="3"/>
      <c r="D454" s="3"/>
      <c r="E454" s="3"/>
      <c r="F454" s="3"/>
      <c r="G454" s="3"/>
      <c r="H454" s="3"/>
      <c r="I454" s="3"/>
      <c r="J454" s="3"/>
    </row>
    <row r="455" spans="1:10" x14ac:dyDescent="0.3">
      <c r="A455" s="3"/>
      <c r="B455" s="24"/>
      <c r="C455" s="3"/>
      <c r="D455" s="3"/>
      <c r="E455" s="3"/>
      <c r="F455" s="3"/>
      <c r="G455" s="3"/>
      <c r="H455" s="3"/>
      <c r="I455" s="3"/>
      <c r="J455" s="3"/>
    </row>
    <row r="456" spans="1:10" x14ac:dyDescent="0.3">
      <c r="A456" s="3"/>
      <c r="B456" s="24"/>
      <c r="C456" s="3"/>
      <c r="D456" s="3"/>
      <c r="E456" s="3"/>
      <c r="F456" s="3"/>
      <c r="G456" s="3"/>
      <c r="H456" s="3"/>
      <c r="I456" s="3"/>
      <c r="J456" s="3"/>
    </row>
    <row r="457" spans="1:10" x14ac:dyDescent="0.3">
      <c r="A457" s="3"/>
      <c r="B457" s="24"/>
      <c r="C457" s="3"/>
      <c r="D457" s="3"/>
      <c r="E457" s="3"/>
      <c r="F457" s="3"/>
      <c r="G457" s="3"/>
      <c r="H457" s="3"/>
      <c r="I457" s="3"/>
      <c r="J457" s="3"/>
    </row>
    <row r="458" spans="1:10" x14ac:dyDescent="0.3">
      <c r="A458" s="3"/>
      <c r="B458" s="24"/>
      <c r="C458" s="3"/>
      <c r="D458" s="3"/>
      <c r="E458" s="3"/>
      <c r="F458" s="3"/>
      <c r="G458" s="3"/>
      <c r="H458" s="3"/>
      <c r="I458" s="3"/>
      <c r="J458" s="3"/>
    </row>
    <row r="459" spans="1:10" x14ac:dyDescent="0.3">
      <c r="A459" s="3"/>
      <c r="B459" s="24"/>
      <c r="C459" s="3"/>
      <c r="D459" s="3"/>
      <c r="E459" s="3"/>
      <c r="F459" s="3"/>
      <c r="G459" s="3"/>
      <c r="H459" s="3"/>
      <c r="I459" s="3"/>
      <c r="J459" s="3"/>
    </row>
    <row r="460" spans="1:10" x14ac:dyDescent="0.3">
      <c r="A460" s="3"/>
      <c r="B460" s="24"/>
      <c r="C460" s="3"/>
      <c r="D460" s="3"/>
      <c r="E460" s="3"/>
      <c r="F460" s="3"/>
      <c r="G460" s="3"/>
      <c r="H460" s="3"/>
      <c r="I460" s="3"/>
      <c r="J460" s="3"/>
    </row>
    <row r="461" spans="1:10" x14ac:dyDescent="0.3">
      <c r="A461" s="3"/>
      <c r="B461" s="24"/>
      <c r="C461" s="3"/>
      <c r="D461" s="3"/>
      <c r="E461" s="3"/>
      <c r="F461" s="3"/>
      <c r="G461" s="3"/>
      <c r="H461" s="3"/>
      <c r="I461" s="3"/>
      <c r="J461" s="3"/>
    </row>
    <row r="462" spans="1:10" x14ac:dyDescent="0.3">
      <c r="A462" s="3"/>
      <c r="B462" s="24"/>
      <c r="C462" s="3"/>
      <c r="D462" s="3"/>
      <c r="E462" s="3"/>
      <c r="F462" s="3"/>
      <c r="G462" s="3"/>
      <c r="H462" s="3"/>
      <c r="I462" s="3"/>
      <c r="J462" s="3"/>
    </row>
    <row r="463" spans="1:10" x14ac:dyDescent="0.3">
      <c r="A463" s="3"/>
      <c r="B463" s="24"/>
      <c r="C463" s="3"/>
      <c r="D463" s="3"/>
      <c r="E463" s="3"/>
      <c r="F463" s="3"/>
      <c r="G463" s="3"/>
      <c r="H463" s="3"/>
      <c r="I463" s="3"/>
      <c r="J463" s="3"/>
    </row>
    <row r="464" spans="1:10" x14ac:dyDescent="0.3">
      <c r="A464" s="3"/>
      <c r="B464" s="24"/>
      <c r="C464" s="3"/>
      <c r="D464" s="3"/>
      <c r="E464" s="3"/>
      <c r="F464" s="3"/>
      <c r="G464" s="3"/>
      <c r="H464" s="3"/>
      <c r="I464" s="3"/>
      <c r="J464" s="3"/>
    </row>
    <row r="465" spans="1:10" x14ac:dyDescent="0.3">
      <c r="A465" s="3"/>
      <c r="B465" s="24"/>
      <c r="C465" s="3"/>
      <c r="D465" s="3"/>
      <c r="E465" s="3"/>
      <c r="F465" s="3"/>
      <c r="G465" s="3"/>
      <c r="H465" s="3"/>
      <c r="I465" s="3"/>
      <c r="J465" s="3"/>
    </row>
    <row r="466" spans="1:10" x14ac:dyDescent="0.3">
      <c r="A466" s="3"/>
      <c r="B466" s="24"/>
      <c r="C466" s="3"/>
      <c r="D466" s="3"/>
      <c r="E466" s="3"/>
      <c r="F466" s="3"/>
      <c r="G466" s="3"/>
      <c r="H466" s="3"/>
      <c r="I466" s="3"/>
      <c r="J466" s="3"/>
    </row>
    <row r="467" spans="1:10" x14ac:dyDescent="0.3">
      <c r="A467" s="3"/>
      <c r="B467" s="24"/>
      <c r="C467" s="3"/>
      <c r="D467" s="3"/>
      <c r="E467" s="3"/>
      <c r="F467" s="3"/>
      <c r="G467" s="3"/>
      <c r="H467" s="3"/>
      <c r="I467" s="3"/>
      <c r="J467" s="3"/>
    </row>
    <row r="468" spans="1:10" x14ac:dyDescent="0.3">
      <c r="A468" s="3"/>
      <c r="B468" s="24"/>
      <c r="C468" s="3"/>
      <c r="D468" s="3"/>
      <c r="E468" s="3"/>
      <c r="F468" s="3"/>
      <c r="G468" s="3"/>
      <c r="H468" s="3"/>
      <c r="I468" s="3"/>
      <c r="J468" s="3"/>
    </row>
    <row r="469" spans="1:10" x14ac:dyDescent="0.3">
      <c r="A469" s="3"/>
      <c r="B469" s="24"/>
      <c r="C469" s="3"/>
      <c r="D469" s="3"/>
      <c r="E469" s="3"/>
      <c r="F469" s="3"/>
      <c r="G469" s="3"/>
      <c r="H469" s="3"/>
      <c r="I469" s="3"/>
      <c r="J469" s="3"/>
    </row>
    <row r="470" spans="1:10" x14ac:dyDescent="0.3">
      <c r="A470" s="3"/>
      <c r="B470" s="24"/>
      <c r="C470" s="3"/>
      <c r="D470" s="3"/>
      <c r="E470" s="3"/>
      <c r="F470" s="3"/>
      <c r="G470" s="3"/>
      <c r="H470" s="3"/>
      <c r="I470" s="3"/>
      <c r="J470" s="3"/>
    </row>
    <row r="471" spans="1:10" x14ac:dyDescent="0.3">
      <c r="A471" s="3"/>
      <c r="B471" s="24"/>
      <c r="C471" s="3"/>
      <c r="D471" s="3"/>
      <c r="E471" s="3"/>
      <c r="F471" s="3"/>
      <c r="G471" s="3"/>
      <c r="H471" s="3"/>
      <c r="I471" s="3"/>
      <c r="J471" s="3"/>
    </row>
    <row r="472" spans="1:10" x14ac:dyDescent="0.3">
      <c r="A472" s="3"/>
      <c r="B472" s="24"/>
      <c r="C472" s="3"/>
      <c r="D472" s="3"/>
      <c r="E472" s="3"/>
      <c r="F472" s="3"/>
      <c r="G472" s="3"/>
      <c r="H472" s="3"/>
      <c r="I472" s="3"/>
      <c r="J472" s="3"/>
    </row>
    <row r="473" spans="1:10" x14ac:dyDescent="0.3">
      <c r="A473" s="3"/>
      <c r="B473" s="24"/>
      <c r="C473" s="3"/>
      <c r="D473" s="3"/>
      <c r="E473" s="3"/>
      <c r="F473" s="3"/>
      <c r="G473" s="3"/>
      <c r="H473" s="3"/>
      <c r="I473" s="3"/>
      <c r="J473" s="3"/>
    </row>
    <row r="474" spans="1:10" x14ac:dyDescent="0.3">
      <c r="A474" s="3"/>
      <c r="B474" s="24"/>
      <c r="C474" s="3"/>
      <c r="D474" s="3"/>
      <c r="E474" s="3"/>
      <c r="F474" s="3"/>
      <c r="G474" s="3"/>
      <c r="H474" s="3"/>
      <c r="I474" s="3"/>
      <c r="J474" s="3"/>
    </row>
    <row r="475" spans="1:10" x14ac:dyDescent="0.3">
      <c r="A475" s="3"/>
      <c r="B475" s="24"/>
      <c r="C475" s="3"/>
      <c r="D475" s="3"/>
      <c r="E475" s="3"/>
      <c r="F475" s="3"/>
      <c r="G475" s="3"/>
      <c r="H475" s="3"/>
      <c r="I475" s="3"/>
      <c r="J475" s="3"/>
    </row>
    <row r="476" spans="1:10" x14ac:dyDescent="0.3">
      <c r="A476" s="3"/>
      <c r="B476" s="24"/>
      <c r="C476" s="3"/>
      <c r="D476" s="3"/>
      <c r="E476" s="3"/>
      <c r="F476" s="3"/>
      <c r="G476" s="3"/>
      <c r="H476" s="3"/>
      <c r="I476" s="3"/>
      <c r="J476" s="3"/>
    </row>
    <row r="477" spans="1:10" x14ac:dyDescent="0.3">
      <c r="A477" s="3"/>
      <c r="B477" s="24"/>
      <c r="C477" s="3"/>
      <c r="D477" s="3"/>
      <c r="E477" s="3"/>
      <c r="F477" s="3"/>
      <c r="G477" s="3"/>
      <c r="H477" s="3"/>
      <c r="I477" s="3"/>
      <c r="J477" s="3"/>
    </row>
    <row r="478" spans="1:10" x14ac:dyDescent="0.3">
      <c r="A478" s="3"/>
      <c r="B478" s="24"/>
      <c r="C478" s="3"/>
      <c r="D478" s="3"/>
      <c r="E478" s="3"/>
      <c r="F478" s="3"/>
      <c r="G478" s="3"/>
      <c r="H478" s="3"/>
      <c r="I478" s="3"/>
      <c r="J478" s="3"/>
    </row>
    <row r="479" spans="1:10" x14ac:dyDescent="0.3">
      <c r="A479" s="3"/>
      <c r="B479" s="24"/>
      <c r="C479" s="3"/>
      <c r="D479" s="3"/>
      <c r="E479" s="3"/>
      <c r="F479" s="3"/>
      <c r="G479" s="3"/>
      <c r="H479" s="3"/>
      <c r="I479" s="3"/>
      <c r="J479" s="3"/>
    </row>
    <row r="480" spans="1:10" x14ac:dyDescent="0.3">
      <c r="A480" s="3"/>
      <c r="B480" s="24"/>
      <c r="C480" s="3"/>
      <c r="D480" s="3"/>
      <c r="E480" s="3"/>
      <c r="F480" s="3"/>
      <c r="G480" s="3"/>
      <c r="H480" s="3"/>
      <c r="I480" s="3"/>
      <c r="J480" s="3"/>
    </row>
    <row r="481" spans="1:10" x14ac:dyDescent="0.3">
      <c r="A481" s="3"/>
      <c r="B481" s="24"/>
      <c r="C481" s="3"/>
      <c r="D481" s="3"/>
      <c r="E481" s="3"/>
      <c r="F481" s="3"/>
      <c r="G481" s="3"/>
      <c r="H481" s="3"/>
      <c r="I481" s="3"/>
      <c r="J481" s="3"/>
    </row>
    <row r="482" spans="1:10" x14ac:dyDescent="0.3">
      <c r="A482" s="3"/>
      <c r="B482" s="24"/>
      <c r="C482" s="3"/>
      <c r="D482" s="3"/>
      <c r="E482" s="3"/>
      <c r="F482" s="3"/>
      <c r="G482" s="3"/>
      <c r="H482" s="3"/>
      <c r="I482" s="3"/>
      <c r="J482" s="3"/>
    </row>
    <row r="483" spans="1:10" x14ac:dyDescent="0.3">
      <c r="A483" s="3"/>
      <c r="B483" s="24"/>
      <c r="C483" s="3"/>
      <c r="D483" s="3"/>
      <c r="E483" s="3"/>
      <c r="F483" s="3"/>
      <c r="G483" s="3"/>
      <c r="H483" s="3"/>
      <c r="I483" s="3"/>
      <c r="J483" s="3"/>
    </row>
    <row r="484" spans="1:10" x14ac:dyDescent="0.3">
      <c r="A484" s="3"/>
      <c r="B484" s="24"/>
      <c r="C484" s="3"/>
      <c r="D484" s="3"/>
      <c r="E484" s="3"/>
      <c r="F484" s="3"/>
      <c r="G484" s="3"/>
      <c r="H484" s="3"/>
      <c r="I484" s="3"/>
      <c r="J484" s="3"/>
    </row>
    <row r="485" spans="1:10" x14ac:dyDescent="0.3">
      <c r="A485" s="3"/>
      <c r="B485" s="24"/>
      <c r="C485" s="3"/>
      <c r="D485" s="3"/>
      <c r="E485" s="3"/>
      <c r="F485" s="3"/>
      <c r="G485" s="3"/>
      <c r="H485" s="3"/>
      <c r="I485" s="3"/>
      <c r="J485" s="3"/>
    </row>
    <row r="486" spans="1:10" x14ac:dyDescent="0.3">
      <c r="A486" s="3"/>
      <c r="B486" s="24"/>
      <c r="C486" s="3"/>
      <c r="D486" s="3"/>
      <c r="E486" s="3"/>
      <c r="F486" s="3"/>
      <c r="G486" s="3"/>
      <c r="H486" s="3"/>
      <c r="I486" s="3"/>
      <c r="J486" s="3"/>
    </row>
    <row r="487" spans="1:10" x14ac:dyDescent="0.3">
      <c r="A487" s="3"/>
      <c r="B487" s="24"/>
      <c r="C487" s="3"/>
      <c r="D487" s="3"/>
      <c r="E487" s="3"/>
      <c r="F487" s="3"/>
      <c r="G487" s="3"/>
      <c r="H487" s="3"/>
      <c r="I487" s="3"/>
      <c r="J487" s="3"/>
    </row>
    <row r="488" spans="1:10" x14ac:dyDescent="0.3">
      <c r="A488" s="3"/>
      <c r="B488" s="24"/>
      <c r="C488" s="3"/>
      <c r="D488" s="3"/>
      <c r="E488" s="3"/>
      <c r="F488" s="3"/>
      <c r="G488" s="3"/>
      <c r="H488" s="3"/>
      <c r="I488" s="3"/>
      <c r="J488" s="3"/>
    </row>
    <row r="489" spans="1:10" x14ac:dyDescent="0.3">
      <c r="A489" s="3"/>
      <c r="B489" s="24"/>
      <c r="C489" s="3"/>
      <c r="D489" s="3"/>
      <c r="E489" s="3"/>
      <c r="F489" s="3"/>
      <c r="G489" s="3"/>
      <c r="H489" s="3"/>
      <c r="I489" s="3"/>
      <c r="J489" s="3"/>
    </row>
    <row r="490" spans="1:10" x14ac:dyDescent="0.3">
      <c r="A490" s="3"/>
      <c r="B490" s="24"/>
      <c r="C490" s="3"/>
      <c r="D490" s="3"/>
      <c r="E490" s="3"/>
      <c r="F490" s="3"/>
      <c r="G490" s="3"/>
      <c r="H490" s="3"/>
      <c r="I490" s="3"/>
      <c r="J490" s="3"/>
    </row>
    <row r="491" spans="1:10" x14ac:dyDescent="0.3">
      <c r="A491" s="3"/>
      <c r="B491" s="24"/>
      <c r="C491" s="3"/>
      <c r="D491" s="3"/>
      <c r="E491" s="3"/>
      <c r="F491" s="3"/>
      <c r="G491" s="3"/>
      <c r="H491" s="3"/>
      <c r="I491" s="3"/>
      <c r="J491" s="3"/>
    </row>
    <row r="492" spans="1:10" x14ac:dyDescent="0.3">
      <c r="A492" s="3"/>
      <c r="B492" s="24"/>
      <c r="C492" s="3"/>
      <c r="D492" s="3"/>
      <c r="E492" s="3"/>
      <c r="F492" s="3"/>
      <c r="G492" s="3"/>
      <c r="H492" s="3"/>
      <c r="I492" s="3"/>
      <c r="J492" s="3"/>
    </row>
    <row r="493" spans="1:10" x14ac:dyDescent="0.3">
      <c r="A493" s="3"/>
      <c r="B493" s="24"/>
      <c r="C493" s="3"/>
      <c r="D493" s="3"/>
      <c r="E493" s="3"/>
      <c r="F493" s="3"/>
      <c r="G493" s="3"/>
      <c r="H493" s="3"/>
      <c r="I493" s="3"/>
      <c r="J493" s="3"/>
    </row>
    <row r="494" spans="1:10" x14ac:dyDescent="0.3">
      <c r="A494" s="3"/>
      <c r="B494" s="24"/>
      <c r="C494" s="3"/>
      <c r="D494" s="3"/>
      <c r="E494" s="3"/>
      <c r="F494" s="3"/>
      <c r="G494" s="3"/>
      <c r="H494" s="3"/>
      <c r="I494" s="3"/>
      <c r="J494" s="3"/>
    </row>
    <row r="495" spans="1:10" x14ac:dyDescent="0.3">
      <c r="A495" s="3"/>
      <c r="B495" s="24"/>
      <c r="C495" s="3"/>
      <c r="D495" s="3"/>
      <c r="E495" s="3"/>
      <c r="F495" s="3"/>
      <c r="G495" s="3"/>
      <c r="H495" s="3"/>
      <c r="I495" s="3"/>
      <c r="J495" s="3"/>
    </row>
    <row r="496" spans="1:10" x14ac:dyDescent="0.3">
      <c r="A496" s="3"/>
      <c r="B496" s="24"/>
      <c r="C496" s="3"/>
      <c r="D496" s="3"/>
      <c r="E496" s="3"/>
      <c r="F496" s="3"/>
      <c r="G496" s="3"/>
      <c r="H496" s="3"/>
      <c r="I496" s="3"/>
      <c r="J496" s="3"/>
    </row>
    <row r="497" spans="1:10" x14ac:dyDescent="0.3">
      <c r="A497" s="3"/>
      <c r="B497" s="24"/>
      <c r="C497" s="3"/>
      <c r="D497" s="3"/>
      <c r="E497" s="3"/>
      <c r="F497" s="3"/>
      <c r="G497" s="3"/>
      <c r="H497" s="3"/>
      <c r="I497" s="3"/>
      <c r="J497" s="3"/>
    </row>
    <row r="498" spans="1:10" x14ac:dyDescent="0.3">
      <c r="A498" s="3"/>
      <c r="B498" s="24"/>
      <c r="C498" s="3"/>
      <c r="D498" s="3"/>
      <c r="E498" s="3"/>
      <c r="F498" s="3"/>
      <c r="G498" s="3"/>
      <c r="H498" s="3"/>
      <c r="I498" s="3"/>
      <c r="J498" s="3"/>
    </row>
    <row r="499" spans="1:10" x14ac:dyDescent="0.3">
      <c r="A499" s="3"/>
      <c r="B499" s="24"/>
      <c r="C499" s="3"/>
      <c r="D499" s="3"/>
      <c r="E499" s="3"/>
      <c r="F499" s="3"/>
      <c r="G499" s="3"/>
      <c r="H499" s="3"/>
      <c r="I499" s="3"/>
      <c r="J499" s="3"/>
    </row>
    <row r="500" spans="1:10" x14ac:dyDescent="0.3">
      <c r="A500" s="3"/>
      <c r="B500" s="24"/>
      <c r="C500" s="3"/>
      <c r="D500" s="3"/>
      <c r="E500" s="3"/>
      <c r="F500" s="3"/>
      <c r="G500" s="3"/>
      <c r="H500" s="3"/>
      <c r="I500" s="3"/>
      <c r="J500" s="3"/>
    </row>
    <row r="501" spans="1:10" x14ac:dyDescent="0.3">
      <c r="A501" s="3"/>
      <c r="B501" s="24"/>
      <c r="C501" s="3"/>
      <c r="D501" s="3"/>
      <c r="E501" s="3"/>
      <c r="F501" s="3"/>
      <c r="G501" s="3"/>
      <c r="H501" s="3"/>
      <c r="I501" s="3"/>
      <c r="J501" s="3"/>
    </row>
    <row r="502" spans="1:10" x14ac:dyDescent="0.3">
      <c r="A502" s="3"/>
      <c r="B502" s="24"/>
      <c r="C502" s="3"/>
      <c r="D502" s="3"/>
      <c r="E502" s="3"/>
      <c r="F502" s="3"/>
      <c r="G502" s="3"/>
      <c r="H502" s="3"/>
      <c r="I502" s="3"/>
      <c r="J502" s="3"/>
    </row>
    <row r="503" spans="1:10" x14ac:dyDescent="0.3">
      <c r="A503" s="3"/>
      <c r="B503" s="24"/>
      <c r="C503" s="3"/>
      <c r="D503" s="3"/>
      <c r="E503" s="3"/>
      <c r="F503" s="3"/>
      <c r="G503" s="3"/>
      <c r="H503" s="3"/>
      <c r="I503" s="3"/>
      <c r="J503" s="3"/>
    </row>
    <row r="504" spans="1:10" x14ac:dyDescent="0.3">
      <c r="A504" s="3"/>
      <c r="B504" s="24"/>
      <c r="C504" s="3"/>
      <c r="D504" s="3"/>
      <c r="E504" s="3"/>
      <c r="F504" s="3"/>
      <c r="G504" s="3"/>
      <c r="H504" s="3"/>
      <c r="I504" s="3"/>
      <c r="J504" s="3"/>
    </row>
    <row r="505" spans="1:10" x14ac:dyDescent="0.3">
      <c r="A505" s="3"/>
      <c r="B505" s="24"/>
      <c r="C505" s="3"/>
      <c r="D505" s="3"/>
      <c r="E505" s="3"/>
      <c r="F505" s="3"/>
      <c r="G505" s="3"/>
      <c r="H505" s="3"/>
      <c r="I505" s="3"/>
      <c r="J505" s="3"/>
    </row>
    <row r="506" spans="1:10" x14ac:dyDescent="0.3">
      <c r="A506" s="3"/>
      <c r="B506" s="24"/>
      <c r="C506" s="3"/>
      <c r="D506" s="3"/>
      <c r="E506" s="3"/>
      <c r="F506" s="3"/>
      <c r="G506" s="3"/>
      <c r="H506" s="3"/>
      <c r="I506" s="3"/>
      <c r="J506" s="3"/>
    </row>
    <row r="507" spans="1:10" x14ac:dyDescent="0.3">
      <c r="A507" s="3"/>
      <c r="B507" s="24"/>
      <c r="C507" s="3"/>
      <c r="D507" s="3"/>
      <c r="E507" s="3"/>
      <c r="F507" s="3"/>
      <c r="G507" s="3"/>
      <c r="H507" s="3"/>
      <c r="I507" s="3"/>
      <c r="J507" s="3"/>
    </row>
    <row r="508" spans="1:10" x14ac:dyDescent="0.3">
      <c r="A508" s="3"/>
      <c r="B508" s="24"/>
      <c r="C508" s="3"/>
      <c r="D508" s="3"/>
      <c r="E508" s="3"/>
      <c r="F508" s="3"/>
      <c r="G508" s="3"/>
      <c r="H508" s="3"/>
      <c r="I508" s="3"/>
      <c r="J508" s="3"/>
    </row>
    <row r="509" spans="1:10" x14ac:dyDescent="0.3">
      <c r="A509" s="3"/>
      <c r="B509" s="24"/>
      <c r="C509" s="3"/>
      <c r="D509" s="3"/>
      <c r="E509" s="3"/>
      <c r="F509" s="3"/>
      <c r="G509" s="3"/>
      <c r="H509" s="3"/>
      <c r="I509" s="3"/>
      <c r="J509" s="3"/>
    </row>
    <row r="510" spans="1:10" x14ac:dyDescent="0.3">
      <c r="A510" s="3"/>
      <c r="B510" s="24"/>
      <c r="C510" s="3"/>
      <c r="D510" s="3"/>
      <c r="E510" s="3"/>
      <c r="F510" s="3"/>
      <c r="G510" s="3"/>
      <c r="H510" s="3"/>
      <c r="I510" s="3"/>
      <c r="J510" s="3"/>
    </row>
    <row r="511" spans="1:10" x14ac:dyDescent="0.3">
      <c r="A511" s="3"/>
      <c r="B511" s="24"/>
      <c r="C511" s="3"/>
      <c r="D511" s="3"/>
      <c r="E511" s="3"/>
      <c r="F511" s="3"/>
      <c r="G511" s="3"/>
      <c r="H511" s="3"/>
      <c r="I511" s="3"/>
      <c r="J511" s="3"/>
    </row>
    <row r="512" spans="1:10" x14ac:dyDescent="0.3">
      <c r="A512" s="3"/>
      <c r="B512" s="24"/>
      <c r="C512" s="3"/>
      <c r="D512" s="3"/>
      <c r="E512" s="3"/>
      <c r="F512" s="3"/>
      <c r="G512" s="3"/>
      <c r="H512" s="3"/>
      <c r="I512" s="3"/>
      <c r="J512" s="3"/>
    </row>
    <row r="513" spans="1:10" x14ac:dyDescent="0.3">
      <c r="A513" s="3"/>
      <c r="B513" s="24"/>
      <c r="C513" s="3"/>
      <c r="D513" s="3"/>
      <c r="E513" s="3"/>
      <c r="F513" s="3"/>
      <c r="G513" s="3"/>
      <c r="H513" s="3"/>
      <c r="I513" s="3"/>
      <c r="J513" s="3"/>
    </row>
    <row r="514" spans="1:10" x14ac:dyDescent="0.3">
      <c r="A514" s="3"/>
      <c r="B514" s="24"/>
      <c r="C514" s="3"/>
      <c r="D514" s="3"/>
      <c r="E514" s="3"/>
      <c r="F514" s="3"/>
      <c r="G514" s="3"/>
      <c r="H514" s="3"/>
      <c r="I514" s="3"/>
      <c r="J514" s="3"/>
    </row>
    <row r="515" spans="1:10" x14ac:dyDescent="0.3">
      <c r="A515" s="3"/>
      <c r="B515" s="24"/>
      <c r="C515" s="3"/>
      <c r="D515" s="3"/>
      <c r="E515" s="3"/>
      <c r="F515" s="3"/>
      <c r="G515" s="3"/>
      <c r="H515" s="3"/>
      <c r="I515" s="3"/>
      <c r="J515" s="3"/>
    </row>
    <row r="516" spans="1:10" x14ac:dyDescent="0.3">
      <c r="A516" s="3"/>
      <c r="B516" s="24"/>
      <c r="C516" s="3"/>
      <c r="D516" s="3"/>
      <c r="E516" s="3"/>
      <c r="F516" s="3"/>
      <c r="G516" s="3"/>
      <c r="H516" s="3"/>
      <c r="I516" s="3"/>
      <c r="J516" s="3"/>
    </row>
    <row r="517" spans="1:10" x14ac:dyDescent="0.3">
      <c r="A517" s="3"/>
      <c r="B517" s="24"/>
      <c r="C517" s="3"/>
      <c r="D517" s="3"/>
      <c r="E517" s="3"/>
      <c r="F517" s="3"/>
      <c r="G517" s="3"/>
      <c r="H517" s="3"/>
      <c r="I517" s="3"/>
      <c r="J517" s="3"/>
    </row>
    <row r="518" spans="1:10" x14ac:dyDescent="0.3">
      <c r="A518" s="3"/>
      <c r="B518" s="24"/>
      <c r="C518" s="3"/>
      <c r="D518" s="3"/>
      <c r="E518" s="3"/>
      <c r="F518" s="3"/>
      <c r="G518" s="3"/>
      <c r="H518" s="3"/>
      <c r="I518" s="3"/>
      <c r="J518" s="3"/>
    </row>
    <row r="519" spans="1:10" x14ac:dyDescent="0.3">
      <c r="A519" s="3"/>
      <c r="B519" s="24"/>
      <c r="C519" s="3"/>
      <c r="D519" s="3"/>
      <c r="E519" s="3"/>
      <c r="F519" s="3"/>
      <c r="G519" s="3"/>
      <c r="H519" s="3"/>
      <c r="I519" s="3"/>
      <c r="J519" s="3"/>
    </row>
    <row r="520" spans="1:10" x14ac:dyDescent="0.3">
      <c r="A520" s="3"/>
      <c r="B520" s="24"/>
      <c r="C520" s="3"/>
      <c r="D520" s="3"/>
      <c r="E520" s="3"/>
      <c r="F520" s="3"/>
      <c r="G520" s="3"/>
      <c r="H520" s="3"/>
      <c r="I520" s="3"/>
      <c r="J520" s="3"/>
    </row>
    <row r="521" spans="1:10" x14ac:dyDescent="0.3">
      <c r="A521" s="3"/>
      <c r="B521" s="24"/>
      <c r="C521" s="3"/>
      <c r="D521" s="3"/>
      <c r="E521" s="3"/>
      <c r="F521" s="3"/>
      <c r="G521" s="3"/>
      <c r="H521" s="3"/>
      <c r="I521" s="3"/>
      <c r="J521" s="3"/>
    </row>
    <row r="522" spans="1:10" x14ac:dyDescent="0.3">
      <c r="A522" s="3"/>
      <c r="B522" s="24"/>
      <c r="C522" s="3"/>
      <c r="D522" s="3"/>
      <c r="E522" s="3"/>
      <c r="F522" s="3"/>
      <c r="G522" s="3"/>
      <c r="H522" s="3"/>
      <c r="I522" s="3"/>
      <c r="J522" s="3"/>
    </row>
    <row r="523" spans="1:10" x14ac:dyDescent="0.3">
      <c r="A523" s="3"/>
      <c r="B523" s="24"/>
      <c r="C523" s="3"/>
      <c r="D523" s="3"/>
      <c r="E523" s="3"/>
      <c r="F523" s="3"/>
      <c r="G523" s="3"/>
      <c r="H523" s="3"/>
      <c r="I523" s="3"/>
      <c r="J523" s="3"/>
    </row>
    <row r="524" spans="1:10" x14ac:dyDescent="0.3">
      <c r="A524" s="3"/>
      <c r="B524" s="24"/>
      <c r="C524" s="3"/>
      <c r="D524" s="3"/>
      <c r="E524" s="3"/>
      <c r="F524" s="3"/>
      <c r="G524" s="3"/>
      <c r="H524" s="3"/>
      <c r="I524" s="3"/>
      <c r="J524" s="3"/>
    </row>
    <row r="525" spans="1:10" x14ac:dyDescent="0.3">
      <c r="A525" s="3"/>
      <c r="B525" s="24"/>
      <c r="C525" s="3"/>
      <c r="D525" s="3"/>
      <c r="E525" s="3"/>
      <c r="F525" s="3"/>
      <c r="G525" s="3"/>
      <c r="H525" s="3"/>
      <c r="I525" s="3"/>
      <c r="J525" s="3"/>
    </row>
    <row r="526" spans="1:10" x14ac:dyDescent="0.3">
      <c r="A526" s="3"/>
      <c r="B526" s="24"/>
      <c r="C526" s="3"/>
      <c r="D526" s="3"/>
      <c r="E526" s="3"/>
      <c r="F526" s="3"/>
      <c r="G526" s="3"/>
      <c r="H526" s="3"/>
      <c r="I526" s="3"/>
      <c r="J526" s="3"/>
    </row>
    <row r="527" spans="1:10" x14ac:dyDescent="0.3">
      <c r="A527" s="3"/>
      <c r="B527" s="24"/>
      <c r="C527" s="3"/>
      <c r="D527" s="3"/>
      <c r="E527" s="3"/>
      <c r="F527" s="3"/>
      <c r="G527" s="3"/>
      <c r="H527" s="3"/>
      <c r="I527" s="3"/>
      <c r="J527" s="3"/>
    </row>
    <row r="528" spans="1:10" x14ac:dyDescent="0.3">
      <c r="A528" s="3"/>
      <c r="B528" s="24"/>
      <c r="C528" s="3"/>
      <c r="D528" s="3"/>
      <c r="E528" s="3"/>
      <c r="F528" s="3"/>
      <c r="G528" s="3"/>
      <c r="H528" s="3"/>
      <c r="I528" s="3"/>
      <c r="J528" s="3"/>
    </row>
    <row r="529" spans="1:10" x14ac:dyDescent="0.3">
      <c r="A529" s="3"/>
      <c r="B529" s="24"/>
      <c r="C529" s="3"/>
      <c r="D529" s="3"/>
      <c r="E529" s="3"/>
      <c r="F529" s="3"/>
      <c r="G529" s="3"/>
      <c r="H529" s="3"/>
      <c r="I529" s="3"/>
      <c r="J529" s="3"/>
    </row>
    <row r="530" spans="1:10" x14ac:dyDescent="0.3">
      <c r="A530" s="3"/>
      <c r="B530" s="24"/>
      <c r="C530" s="3"/>
      <c r="D530" s="3"/>
      <c r="E530" s="3"/>
      <c r="F530" s="3"/>
      <c r="G530" s="3"/>
      <c r="H530" s="3"/>
      <c r="I530" s="3"/>
      <c r="J530" s="3"/>
    </row>
    <row r="531" spans="1:10" x14ac:dyDescent="0.3">
      <c r="A531" s="3"/>
      <c r="B531" s="24"/>
      <c r="C531" s="3"/>
      <c r="D531" s="3"/>
      <c r="E531" s="3"/>
      <c r="F531" s="3"/>
      <c r="G531" s="3"/>
      <c r="H531" s="3"/>
      <c r="I531" s="3"/>
      <c r="J531" s="3"/>
    </row>
    <row r="532" spans="1:10" x14ac:dyDescent="0.3">
      <c r="A532" s="3"/>
      <c r="B532" s="24"/>
      <c r="C532" s="3"/>
      <c r="D532" s="3"/>
      <c r="E532" s="3"/>
      <c r="F532" s="3"/>
      <c r="G532" s="3"/>
      <c r="H532" s="3"/>
      <c r="I532" s="3"/>
      <c r="J532" s="3"/>
    </row>
    <row r="533" spans="1:10" x14ac:dyDescent="0.3">
      <c r="A533" s="3"/>
      <c r="B533" s="24"/>
      <c r="C533" s="3"/>
      <c r="D533" s="3"/>
      <c r="E533" s="3"/>
      <c r="F533" s="3"/>
      <c r="G533" s="3"/>
      <c r="H533" s="3"/>
      <c r="I533" s="3"/>
      <c r="J533" s="3"/>
    </row>
    <row r="534" spans="1:10" x14ac:dyDescent="0.3">
      <c r="A534" s="3"/>
      <c r="B534" s="24"/>
      <c r="C534" s="3"/>
      <c r="D534" s="3"/>
      <c r="E534" s="3"/>
      <c r="F534" s="3"/>
      <c r="G534" s="3"/>
      <c r="H534" s="3"/>
      <c r="I534" s="3"/>
      <c r="J534" s="3"/>
    </row>
    <row r="535" spans="1:10" x14ac:dyDescent="0.3">
      <c r="A535" s="3"/>
      <c r="B535" s="24"/>
      <c r="C535" s="3"/>
      <c r="D535" s="3"/>
      <c r="E535" s="3"/>
      <c r="F535" s="3"/>
      <c r="G535" s="3"/>
      <c r="H535" s="3"/>
      <c r="I535" s="3"/>
      <c r="J535" s="3"/>
    </row>
    <row r="536" spans="1:10" x14ac:dyDescent="0.3">
      <c r="A536" s="3"/>
      <c r="B536" s="24"/>
      <c r="C536" s="3"/>
      <c r="D536" s="3"/>
      <c r="E536" s="3"/>
      <c r="F536" s="3"/>
      <c r="G536" s="3"/>
      <c r="H536" s="3"/>
      <c r="I536" s="3"/>
      <c r="J536" s="3"/>
    </row>
    <row r="537" spans="1:10" x14ac:dyDescent="0.3">
      <c r="A537" s="3"/>
      <c r="B537" s="24"/>
      <c r="C537" s="3"/>
      <c r="D537" s="3"/>
      <c r="E537" s="3"/>
      <c r="F537" s="3"/>
      <c r="G537" s="3"/>
      <c r="H537" s="3"/>
      <c r="I537" s="3"/>
      <c r="J537" s="3"/>
    </row>
    <row r="538" spans="1:10" x14ac:dyDescent="0.3">
      <c r="A538" s="3"/>
      <c r="B538" s="24"/>
      <c r="C538" s="3"/>
      <c r="D538" s="3"/>
      <c r="E538" s="3"/>
      <c r="F538" s="3"/>
      <c r="G538" s="3"/>
      <c r="H538" s="3"/>
      <c r="I538" s="3"/>
      <c r="J538" s="3"/>
    </row>
    <row r="539" spans="1:10" x14ac:dyDescent="0.3">
      <c r="A539" s="3"/>
      <c r="B539" s="24"/>
      <c r="C539" s="3"/>
      <c r="D539" s="3"/>
      <c r="E539" s="3"/>
      <c r="F539" s="3"/>
      <c r="G539" s="3"/>
      <c r="H539" s="3"/>
      <c r="I539" s="3"/>
      <c r="J539" s="3"/>
    </row>
    <row r="540" spans="1:10" x14ac:dyDescent="0.3">
      <c r="A540" s="3"/>
      <c r="B540" s="24"/>
      <c r="C540" s="3"/>
      <c r="D540" s="3"/>
      <c r="E540" s="3"/>
      <c r="F540" s="3"/>
      <c r="G540" s="3"/>
      <c r="H540" s="3"/>
      <c r="I540" s="3"/>
      <c r="J540" s="3"/>
    </row>
    <row r="541" spans="1:10" x14ac:dyDescent="0.3">
      <c r="A541" s="3"/>
      <c r="B541" s="24"/>
      <c r="C541" s="3"/>
      <c r="D541" s="3"/>
      <c r="E541" s="3"/>
      <c r="F541" s="3"/>
      <c r="G541" s="3"/>
      <c r="H541" s="3"/>
      <c r="I541" s="3"/>
      <c r="J541" s="3"/>
    </row>
    <row r="542" spans="1:10" x14ac:dyDescent="0.3">
      <c r="A542" s="3"/>
      <c r="B542" s="24"/>
      <c r="C542" s="3"/>
      <c r="D542" s="3"/>
      <c r="E542" s="3"/>
      <c r="F542" s="3"/>
      <c r="G542" s="3"/>
      <c r="H542" s="3"/>
      <c r="I542" s="3"/>
      <c r="J542" s="3"/>
    </row>
    <row r="543" spans="1:10" x14ac:dyDescent="0.3">
      <c r="A543" s="3"/>
      <c r="B543" s="24"/>
      <c r="C543" s="3"/>
      <c r="D543" s="3"/>
      <c r="E543" s="3"/>
      <c r="F543" s="3"/>
      <c r="G543" s="3"/>
      <c r="H543" s="3"/>
      <c r="I543" s="3"/>
      <c r="J543" s="3"/>
    </row>
    <row r="544" spans="1:10" x14ac:dyDescent="0.3">
      <c r="A544" s="3"/>
      <c r="B544" s="24"/>
      <c r="C544" s="3"/>
      <c r="D544" s="3"/>
      <c r="E544" s="3"/>
      <c r="F544" s="3"/>
      <c r="G544" s="3"/>
      <c r="H544" s="3"/>
      <c r="I544" s="3"/>
      <c r="J544" s="3"/>
    </row>
    <row r="545" spans="1:10" x14ac:dyDescent="0.3">
      <c r="A545" s="3"/>
      <c r="B545" s="24"/>
      <c r="C545" s="3"/>
      <c r="D545" s="3"/>
      <c r="E545" s="3"/>
      <c r="F545" s="3"/>
      <c r="G545" s="3"/>
      <c r="H545" s="3"/>
      <c r="I545" s="3"/>
      <c r="J545" s="3"/>
    </row>
    <row r="546" spans="1:10" x14ac:dyDescent="0.3">
      <c r="A546" s="3"/>
      <c r="B546" s="24"/>
      <c r="C546" s="3"/>
      <c r="D546" s="3"/>
      <c r="E546" s="3"/>
      <c r="F546" s="3"/>
      <c r="G546" s="3"/>
      <c r="H546" s="3"/>
      <c r="I546" s="3"/>
      <c r="J546" s="3"/>
    </row>
    <row r="547" spans="1:10" x14ac:dyDescent="0.3">
      <c r="A547" s="3"/>
      <c r="B547" s="24"/>
      <c r="C547" s="3"/>
      <c r="D547" s="3"/>
      <c r="E547" s="3"/>
      <c r="F547" s="3"/>
      <c r="G547" s="3"/>
      <c r="H547" s="3"/>
      <c r="I547" s="3"/>
      <c r="J547" s="3"/>
    </row>
    <row r="548" spans="1:10" x14ac:dyDescent="0.3">
      <c r="A548" s="3"/>
      <c r="B548" s="24"/>
      <c r="C548" s="3"/>
      <c r="D548" s="3"/>
      <c r="E548" s="3"/>
      <c r="F548" s="3"/>
      <c r="G548" s="3"/>
      <c r="H548" s="3"/>
      <c r="I548" s="3"/>
      <c r="J548" s="3"/>
    </row>
    <row r="549" spans="1:10" x14ac:dyDescent="0.3">
      <c r="A549" s="3"/>
      <c r="B549" s="24"/>
      <c r="C549" s="3"/>
      <c r="D549" s="3"/>
      <c r="E549" s="3"/>
      <c r="F549" s="3"/>
      <c r="G549" s="3"/>
      <c r="H549" s="3"/>
      <c r="I549" s="3"/>
      <c r="J549" s="3"/>
    </row>
    <row r="550" spans="1:10" x14ac:dyDescent="0.3">
      <c r="A550" s="3"/>
      <c r="B550" s="24"/>
      <c r="C550" s="3"/>
      <c r="D550" s="3"/>
      <c r="E550" s="3"/>
      <c r="F550" s="3"/>
      <c r="G550" s="3"/>
      <c r="H550" s="3"/>
      <c r="I550" s="3"/>
      <c r="J550" s="3"/>
    </row>
    <row r="551" spans="1:10" x14ac:dyDescent="0.3">
      <c r="A551" s="3"/>
      <c r="B551" s="24"/>
      <c r="C551" s="3"/>
      <c r="D551" s="3"/>
      <c r="E551" s="3"/>
      <c r="F551" s="3"/>
      <c r="G551" s="3"/>
      <c r="H551" s="3"/>
      <c r="I551" s="3"/>
      <c r="J551" s="3"/>
    </row>
    <row r="552" spans="1:10" x14ac:dyDescent="0.3">
      <c r="A552" s="3"/>
      <c r="B552" s="24"/>
      <c r="C552" s="3"/>
      <c r="D552" s="3"/>
      <c r="E552" s="3"/>
      <c r="F552" s="3"/>
      <c r="G552" s="3"/>
      <c r="H552" s="3"/>
      <c r="I552" s="3"/>
      <c r="J552" s="3"/>
    </row>
    <row r="553" spans="1:10" x14ac:dyDescent="0.3">
      <c r="A553" s="3"/>
      <c r="B553" s="24"/>
      <c r="C553" s="3"/>
      <c r="D553" s="3"/>
      <c r="E553" s="3"/>
      <c r="F553" s="3"/>
      <c r="G553" s="3"/>
      <c r="H553" s="3"/>
      <c r="I553" s="3"/>
      <c r="J553" s="3"/>
    </row>
    <row r="554" spans="1:10" x14ac:dyDescent="0.3">
      <c r="A554" s="3"/>
      <c r="B554" s="24"/>
      <c r="C554" s="3"/>
      <c r="D554" s="3"/>
      <c r="E554" s="3"/>
      <c r="F554" s="3"/>
      <c r="G554" s="3"/>
      <c r="H554" s="3"/>
      <c r="I554" s="3"/>
      <c r="J554" s="3"/>
    </row>
    <row r="555" spans="1:10" x14ac:dyDescent="0.3">
      <c r="A555" s="3"/>
      <c r="B555" s="24"/>
      <c r="C555" s="3"/>
      <c r="D555" s="3"/>
      <c r="E555" s="3"/>
      <c r="F555" s="3"/>
      <c r="G555" s="3"/>
      <c r="H555" s="3"/>
      <c r="I555" s="3"/>
      <c r="J555" s="3"/>
    </row>
    <row r="556" spans="1:10" x14ac:dyDescent="0.3">
      <c r="A556" s="3"/>
      <c r="B556" s="24"/>
      <c r="C556" s="3"/>
      <c r="D556" s="3"/>
      <c r="E556" s="3"/>
      <c r="F556" s="3"/>
      <c r="G556" s="3"/>
      <c r="H556" s="3"/>
      <c r="I556" s="3"/>
      <c r="J556" s="3"/>
    </row>
    <row r="557" spans="1:10" x14ac:dyDescent="0.3">
      <c r="A557" s="3"/>
      <c r="B557" s="24"/>
      <c r="C557" s="3"/>
      <c r="D557" s="3"/>
      <c r="E557" s="3"/>
      <c r="F557" s="3"/>
      <c r="G557" s="3"/>
      <c r="H557" s="3"/>
      <c r="I557" s="3"/>
      <c r="J557" s="3"/>
    </row>
    <row r="558" spans="1:10" x14ac:dyDescent="0.3">
      <c r="A558" s="3"/>
      <c r="B558" s="24"/>
      <c r="C558" s="3"/>
      <c r="D558" s="3"/>
      <c r="E558" s="3"/>
      <c r="F558" s="3"/>
      <c r="G558" s="3"/>
      <c r="H558" s="3"/>
      <c r="I558" s="3"/>
      <c r="J558" s="3"/>
    </row>
    <row r="559" spans="1:10" x14ac:dyDescent="0.3">
      <c r="A559" s="3"/>
      <c r="B559" s="24"/>
      <c r="C559" s="3"/>
      <c r="D559" s="3"/>
      <c r="E559" s="3"/>
      <c r="F559" s="3"/>
      <c r="G559" s="3"/>
      <c r="H559" s="3"/>
      <c r="I559" s="3"/>
      <c r="J559" s="3"/>
    </row>
    <row r="560" spans="1:10" x14ac:dyDescent="0.3">
      <c r="A560" s="3"/>
      <c r="B560" s="24"/>
      <c r="C560" s="3"/>
      <c r="D560" s="3"/>
      <c r="E560" s="3"/>
      <c r="F560" s="3"/>
      <c r="G560" s="3"/>
      <c r="H560" s="3"/>
      <c r="I560" s="3"/>
      <c r="J560" s="3"/>
    </row>
    <row r="561" spans="1:10" x14ac:dyDescent="0.3">
      <c r="A561" s="3"/>
      <c r="B561" s="24"/>
      <c r="C561" s="3"/>
      <c r="D561" s="3"/>
      <c r="E561" s="3"/>
      <c r="F561" s="3"/>
      <c r="G561" s="3"/>
      <c r="H561" s="3"/>
      <c r="I561" s="3"/>
      <c r="J561" s="3"/>
    </row>
    <row r="562" spans="1:10" x14ac:dyDescent="0.3">
      <c r="A562" s="3"/>
      <c r="B562" s="24"/>
      <c r="C562" s="3"/>
      <c r="D562" s="3"/>
      <c r="E562" s="3"/>
      <c r="F562" s="3"/>
      <c r="G562" s="3"/>
      <c r="H562" s="3"/>
      <c r="I562" s="3"/>
      <c r="J562" s="3"/>
    </row>
    <row r="563" spans="1:10" x14ac:dyDescent="0.3">
      <c r="A563" s="3"/>
      <c r="B563" s="24"/>
      <c r="C563" s="3"/>
      <c r="D563" s="3"/>
      <c r="E563" s="3"/>
      <c r="F563" s="3"/>
      <c r="G563" s="3"/>
      <c r="H563" s="3"/>
      <c r="I563" s="3"/>
      <c r="J563" s="3"/>
    </row>
    <row r="564" spans="1:10" x14ac:dyDescent="0.3">
      <c r="A564" s="3"/>
      <c r="B564" s="24"/>
      <c r="C564" s="3"/>
      <c r="D564" s="3"/>
      <c r="E564" s="3"/>
      <c r="F564" s="3"/>
      <c r="G564" s="3"/>
      <c r="H564" s="3"/>
      <c r="I564" s="3"/>
      <c r="J564" s="3"/>
    </row>
    <row r="565" spans="1:10" x14ac:dyDescent="0.3">
      <c r="A565" s="3"/>
      <c r="B565" s="24"/>
      <c r="C565" s="3"/>
      <c r="D565" s="3"/>
      <c r="E565" s="3"/>
      <c r="F565" s="3"/>
      <c r="G565" s="3"/>
      <c r="H565" s="3"/>
      <c r="I565" s="3"/>
      <c r="J565" s="3"/>
    </row>
    <row r="566" spans="1:10" x14ac:dyDescent="0.3">
      <c r="A566" s="3"/>
      <c r="B566" s="24"/>
      <c r="C566" s="3"/>
      <c r="D566" s="3"/>
      <c r="E566" s="3"/>
      <c r="F566" s="3"/>
      <c r="G566" s="3"/>
      <c r="H566" s="3"/>
      <c r="I566" s="3"/>
      <c r="J566" s="3"/>
    </row>
    <row r="567" spans="1:10" x14ac:dyDescent="0.3">
      <c r="A567" s="3"/>
      <c r="B567" s="24"/>
      <c r="C567" s="3"/>
      <c r="D567" s="3"/>
      <c r="E567" s="3"/>
      <c r="F567" s="3"/>
      <c r="G567" s="3"/>
      <c r="H567" s="3"/>
      <c r="I567" s="3"/>
      <c r="J567" s="3"/>
    </row>
    <row r="568" spans="1:10" x14ac:dyDescent="0.3">
      <c r="A568" s="3"/>
      <c r="B568" s="24"/>
      <c r="C568" s="3"/>
      <c r="D568" s="3"/>
      <c r="E568" s="3"/>
      <c r="F568" s="3"/>
      <c r="G568" s="3"/>
      <c r="H568" s="3"/>
      <c r="I568" s="3"/>
      <c r="J568" s="3"/>
    </row>
    <row r="569" spans="1:10" x14ac:dyDescent="0.3">
      <c r="A569" s="3"/>
      <c r="B569" s="24"/>
      <c r="C569" s="3"/>
      <c r="D569" s="3"/>
      <c r="E569" s="3"/>
      <c r="F569" s="3"/>
      <c r="G569" s="3"/>
      <c r="H569" s="3"/>
      <c r="I569" s="3"/>
      <c r="J569" s="3"/>
    </row>
    <row r="570" spans="1:10" x14ac:dyDescent="0.3">
      <c r="A570" s="3"/>
      <c r="B570" s="24"/>
      <c r="C570" s="3"/>
      <c r="D570" s="3"/>
      <c r="E570" s="3"/>
      <c r="F570" s="3"/>
      <c r="G570" s="3"/>
      <c r="H570" s="3"/>
      <c r="I570" s="3"/>
      <c r="J570" s="3"/>
    </row>
    <row r="571" spans="1:10" x14ac:dyDescent="0.3">
      <c r="A571" s="3"/>
      <c r="B571" s="24"/>
      <c r="C571" s="3"/>
      <c r="D571" s="3"/>
      <c r="E571" s="3"/>
      <c r="F571" s="3"/>
      <c r="G571" s="3"/>
      <c r="H571" s="3"/>
      <c r="I571" s="3"/>
      <c r="J571" s="3"/>
    </row>
    <row r="572" spans="1:10" x14ac:dyDescent="0.3">
      <c r="A572" s="3"/>
      <c r="B572" s="24"/>
      <c r="C572" s="3"/>
      <c r="D572" s="3"/>
      <c r="E572" s="3"/>
      <c r="F572" s="3"/>
      <c r="G572" s="3"/>
      <c r="H572" s="3"/>
      <c r="I572" s="3"/>
      <c r="J572" s="3"/>
    </row>
    <row r="573" spans="1:10" x14ac:dyDescent="0.3">
      <c r="A573" s="3"/>
      <c r="B573" s="24"/>
      <c r="C573" s="3"/>
      <c r="D573" s="3"/>
      <c r="E573" s="3"/>
      <c r="F573" s="3"/>
      <c r="G573" s="3"/>
      <c r="H573" s="3"/>
      <c r="I573" s="3"/>
      <c r="J573" s="3"/>
    </row>
    <row r="574" spans="1:10" x14ac:dyDescent="0.3">
      <c r="A574" s="3"/>
      <c r="B574" s="24"/>
      <c r="C574" s="3"/>
      <c r="D574" s="3"/>
      <c r="E574" s="3"/>
      <c r="F574" s="3"/>
      <c r="G574" s="3"/>
      <c r="H574" s="3"/>
      <c r="I574" s="3"/>
      <c r="J574" s="3"/>
    </row>
    <row r="575" spans="1:10" x14ac:dyDescent="0.3">
      <c r="A575" s="3"/>
      <c r="B575" s="24"/>
      <c r="C575" s="3"/>
      <c r="D575" s="3"/>
      <c r="E575" s="3"/>
      <c r="F575" s="3"/>
      <c r="G575" s="3"/>
      <c r="H575" s="3"/>
      <c r="I575" s="3"/>
      <c r="J575" s="3"/>
    </row>
    <row r="576" spans="1:10" x14ac:dyDescent="0.3">
      <c r="A576" s="3"/>
      <c r="B576" s="24"/>
      <c r="C576" s="3"/>
      <c r="D576" s="3"/>
      <c r="E576" s="3"/>
      <c r="F576" s="3"/>
      <c r="G576" s="3"/>
      <c r="H576" s="3"/>
      <c r="I576" s="3"/>
      <c r="J576" s="3"/>
    </row>
    <row r="577" spans="1:10" x14ac:dyDescent="0.3">
      <c r="A577" s="3"/>
      <c r="B577" s="24"/>
      <c r="C577" s="3"/>
      <c r="D577" s="3"/>
      <c r="E577" s="3"/>
      <c r="F577" s="3"/>
      <c r="G577" s="3"/>
      <c r="H577" s="3"/>
      <c r="I577" s="3"/>
      <c r="J577" s="3"/>
    </row>
    <row r="578" spans="1:10" x14ac:dyDescent="0.3">
      <c r="A578" s="3"/>
      <c r="B578" s="24"/>
      <c r="C578" s="3"/>
      <c r="D578" s="3"/>
      <c r="E578" s="3"/>
      <c r="F578" s="3"/>
      <c r="G578" s="3"/>
      <c r="H578" s="3"/>
      <c r="I578" s="3"/>
      <c r="J578" s="3"/>
    </row>
    <row r="579" spans="1:10" x14ac:dyDescent="0.3">
      <c r="A579" s="3"/>
      <c r="B579" s="24"/>
      <c r="C579" s="3"/>
      <c r="D579" s="3"/>
      <c r="E579" s="3"/>
      <c r="F579" s="3"/>
      <c r="G579" s="3"/>
      <c r="H579" s="3"/>
      <c r="I579" s="3"/>
      <c r="J579" s="3"/>
    </row>
    <row r="580" spans="1:10" x14ac:dyDescent="0.3">
      <c r="A580" s="3"/>
      <c r="B580" s="24"/>
      <c r="C580" s="3"/>
      <c r="D580" s="3"/>
      <c r="E580" s="3"/>
      <c r="F580" s="3"/>
      <c r="G580" s="3"/>
      <c r="H580" s="3"/>
      <c r="I580" s="3"/>
      <c r="J580" s="3"/>
    </row>
    <row r="581" spans="1:10" x14ac:dyDescent="0.3">
      <c r="A581" s="3"/>
      <c r="B581" s="24"/>
      <c r="C581" s="3"/>
      <c r="D581" s="3"/>
      <c r="E581" s="3"/>
      <c r="F581" s="3"/>
      <c r="G581" s="3"/>
      <c r="H581" s="3"/>
      <c r="I581" s="3"/>
      <c r="J581" s="3"/>
    </row>
    <row r="582" spans="1:10" x14ac:dyDescent="0.3">
      <c r="A582" s="3"/>
      <c r="B582" s="24"/>
      <c r="C582" s="3"/>
      <c r="D582" s="3"/>
      <c r="E582" s="3"/>
      <c r="F582" s="3"/>
      <c r="G582" s="3"/>
      <c r="H582" s="3"/>
      <c r="I582" s="3"/>
      <c r="J582" s="3"/>
    </row>
    <row r="583" spans="1:10" x14ac:dyDescent="0.3">
      <c r="A583" s="3"/>
      <c r="B583" s="24"/>
      <c r="C583" s="3"/>
      <c r="D583" s="3"/>
      <c r="E583" s="3"/>
      <c r="F583" s="3"/>
      <c r="G583" s="3"/>
      <c r="H583" s="3"/>
      <c r="I583" s="3"/>
      <c r="J583" s="3"/>
    </row>
    <row r="584" spans="1:10" x14ac:dyDescent="0.3">
      <c r="A584" s="3"/>
      <c r="B584" s="24"/>
      <c r="C584" s="3"/>
      <c r="D584" s="3"/>
      <c r="E584" s="3"/>
      <c r="F584" s="3"/>
      <c r="G584" s="3"/>
      <c r="H584" s="3"/>
      <c r="I584" s="3"/>
      <c r="J584" s="3"/>
    </row>
    <row r="585" spans="1:10" x14ac:dyDescent="0.3">
      <c r="A585" s="3"/>
      <c r="B585" s="24"/>
      <c r="C585" s="3"/>
      <c r="D585" s="3"/>
      <c r="E585" s="3"/>
      <c r="F585" s="3"/>
      <c r="G585" s="3"/>
      <c r="H585" s="3"/>
      <c r="I585" s="3"/>
      <c r="J585" s="3"/>
    </row>
    <row r="586" spans="1:10" x14ac:dyDescent="0.3">
      <c r="A586" s="3"/>
      <c r="B586" s="24"/>
      <c r="C586" s="3"/>
      <c r="D586" s="3"/>
      <c r="E586" s="3"/>
      <c r="F586" s="3"/>
      <c r="G586" s="3"/>
      <c r="H586" s="3"/>
      <c r="I586" s="3"/>
      <c r="J586" s="3"/>
    </row>
    <row r="587" spans="1:10" x14ac:dyDescent="0.3">
      <c r="A587" s="3"/>
      <c r="B587" s="24"/>
      <c r="C587" s="3"/>
      <c r="D587" s="3"/>
      <c r="E587" s="3"/>
      <c r="F587" s="3"/>
      <c r="G587" s="3"/>
      <c r="H587" s="3"/>
      <c r="I587" s="3"/>
      <c r="J587" s="3"/>
    </row>
    <row r="588" spans="1:10" x14ac:dyDescent="0.3">
      <c r="A588" s="3"/>
      <c r="B588" s="24"/>
      <c r="C588" s="3"/>
      <c r="D588" s="3"/>
      <c r="E588" s="3"/>
      <c r="F588" s="3"/>
      <c r="G588" s="3"/>
      <c r="H588" s="3"/>
      <c r="I588" s="3"/>
      <c r="J588" s="3"/>
    </row>
    <row r="589" spans="1:10" x14ac:dyDescent="0.3">
      <c r="A589" s="3"/>
      <c r="B589" s="24"/>
      <c r="C589" s="3"/>
      <c r="D589" s="3"/>
      <c r="E589" s="3"/>
      <c r="F589" s="3"/>
      <c r="G589" s="3"/>
      <c r="H589" s="3"/>
      <c r="I589" s="3"/>
      <c r="J589" s="3"/>
    </row>
    <row r="590" spans="1:10" x14ac:dyDescent="0.3">
      <c r="A590" s="3"/>
      <c r="B590" s="24"/>
      <c r="C590" s="3"/>
      <c r="D590" s="3"/>
      <c r="E590" s="3"/>
      <c r="F590" s="3"/>
      <c r="G590" s="3"/>
      <c r="H590" s="3"/>
      <c r="I590" s="3"/>
      <c r="J590" s="3"/>
    </row>
    <row r="591" spans="1:10" x14ac:dyDescent="0.3">
      <c r="A591" s="3"/>
      <c r="B591" s="24"/>
      <c r="C591" s="3"/>
      <c r="D591" s="3"/>
      <c r="E591" s="3"/>
      <c r="F591" s="3"/>
      <c r="G591" s="3"/>
      <c r="H591" s="3"/>
      <c r="I591" s="3"/>
      <c r="J591" s="3"/>
    </row>
    <row r="592" spans="1:10" x14ac:dyDescent="0.3">
      <c r="A592" s="3"/>
      <c r="B592" s="24"/>
      <c r="C592" s="3"/>
      <c r="D592" s="3"/>
      <c r="E592" s="3"/>
      <c r="F592" s="3"/>
      <c r="G592" s="3"/>
      <c r="H592" s="3"/>
      <c r="I592" s="3"/>
      <c r="J592" s="3"/>
    </row>
    <row r="593" spans="1:10" x14ac:dyDescent="0.3">
      <c r="A593" s="3"/>
      <c r="B593" s="24"/>
      <c r="C593" s="3"/>
      <c r="D593" s="3"/>
      <c r="E593" s="3"/>
      <c r="F593" s="3"/>
      <c r="G593" s="3"/>
      <c r="H593" s="3"/>
      <c r="I593" s="3"/>
      <c r="J593" s="3"/>
    </row>
    <row r="594" spans="1:10" x14ac:dyDescent="0.3">
      <c r="A594" s="3"/>
      <c r="B594" s="24"/>
      <c r="C594" s="3"/>
      <c r="D594" s="3"/>
      <c r="E594" s="3"/>
      <c r="F594" s="3"/>
      <c r="G594" s="3"/>
      <c r="H594" s="3"/>
      <c r="I594" s="3"/>
      <c r="J594" s="3"/>
    </row>
    <row r="595" spans="1:10" x14ac:dyDescent="0.3">
      <c r="A595" s="3"/>
      <c r="B595" s="24"/>
      <c r="C595" s="3"/>
      <c r="D595" s="3"/>
      <c r="E595" s="3"/>
      <c r="F595" s="3"/>
      <c r="G595" s="3"/>
      <c r="H595" s="3"/>
      <c r="I595" s="3"/>
      <c r="J595" s="3"/>
    </row>
    <row r="596" spans="1:10" x14ac:dyDescent="0.3">
      <c r="A596" s="3"/>
      <c r="B596" s="24"/>
      <c r="C596" s="3"/>
      <c r="D596" s="3"/>
      <c r="E596" s="3"/>
      <c r="F596" s="3"/>
      <c r="G596" s="3"/>
      <c r="H596" s="3"/>
      <c r="I596" s="3"/>
      <c r="J596" s="3"/>
    </row>
    <row r="597" spans="1:10" x14ac:dyDescent="0.3">
      <c r="A597" s="3"/>
      <c r="B597" s="24"/>
      <c r="C597" s="3"/>
      <c r="D597" s="3"/>
      <c r="E597" s="3"/>
      <c r="F597" s="3"/>
      <c r="G597" s="3"/>
      <c r="H597" s="3"/>
      <c r="I597" s="3"/>
      <c r="J597" s="3"/>
    </row>
    <row r="598" spans="1:10" x14ac:dyDescent="0.3">
      <c r="A598" s="3"/>
      <c r="B598" s="24"/>
      <c r="C598" s="3"/>
      <c r="D598" s="3"/>
      <c r="E598" s="3"/>
      <c r="F598" s="3"/>
      <c r="G598" s="3"/>
      <c r="H598" s="3"/>
      <c r="I598" s="3"/>
      <c r="J598" s="3"/>
    </row>
    <row r="599" spans="1:10" x14ac:dyDescent="0.3">
      <c r="A599" s="3"/>
      <c r="B599" s="24"/>
      <c r="C599" s="3"/>
      <c r="D599" s="3"/>
      <c r="E599" s="3"/>
      <c r="F599" s="3"/>
      <c r="G599" s="3"/>
      <c r="H599" s="3"/>
      <c r="I599" s="3"/>
      <c r="J599" s="3"/>
    </row>
    <row r="600" spans="1:10" x14ac:dyDescent="0.3">
      <c r="A600" s="3"/>
      <c r="B600" s="24"/>
      <c r="C600" s="3"/>
      <c r="D600" s="3"/>
      <c r="E600" s="3"/>
      <c r="F600" s="3"/>
      <c r="G600" s="3"/>
      <c r="H600" s="3"/>
      <c r="I600" s="3"/>
      <c r="J600" s="3"/>
    </row>
    <row r="601" spans="1:10" x14ac:dyDescent="0.3">
      <c r="A601" s="3"/>
      <c r="B601" s="24"/>
      <c r="C601" s="3"/>
      <c r="D601" s="3"/>
      <c r="E601" s="3"/>
      <c r="F601" s="3"/>
      <c r="G601" s="3"/>
      <c r="H601" s="3"/>
      <c r="I601" s="3"/>
      <c r="J601" s="3"/>
    </row>
    <row r="602" spans="1:10" x14ac:dyDescent="0.3">
      <c r="A602" s="3"/>
      <c r="B602" s="24"/>
      <c r="C602" s="3"/>
      <c r="D602" s="3"/>
      <c r="E602" s="3"/>
      <c r="F602" s="3"/>
      <c r="G602" s="3"/>
      <c r="H602" s="3"/>
      <c r="I602" s="3"/>
      <c r="J602" s="3"/>
    </row>
    <row r="603" spans="1:10" x14ac:dyDescent="0.3">
      <c r="A603" s="3"/>
      <c r="B603" s="24"/>
      <c r="C603" s="3"/>
      <c r="D603" s="3"/>
      <c r="E603" s="3"/>
      <c r="F603" s="3"/>
      <c r="G603" s="3"/>
      <c r="H603" s="3"/>
      <c r="I603" s="3"/>
      <c r="J603" s="3"/>
    </row>
    <row r="604" spans="1:10" x14ac:dyDescent="0.3">
      <c r="A604" s="3"/>
      <c r="B604" s="24"/>
      <c r="C604" s="3"/>
      <c r="D604" s="3"/>
      <c r="E604" s="3"/>
      <c r="F604" s="3"/>
      <c r="G604" s="3"/>
      <c r="H604" s="3"/>
      <c r="I604" s="3"/>
      <c r="J604" s="3"/>
    </row>
    <row r="605" spans="1:10" x14ac:dyDescent="0.3">
      <c r="A605" s="3"/>
      <c r="B605" s="24"/>
      <c r="C605" s="3"/>
      <c r="D605" s="3"/>
      <c r="E605" s="3"/>
      <c r="F605" s="3"/>
      <c r="G605" s="3"/>
      <c r="H605" s="3"/>
      <c r="I605" s="3"/>
      <c r="J605" s="3"/>
    </row>
    <row r="606" spans="1:10" x14ac:dyDescent="0.3">
      <c r="A606" s="3"/>
      <c r="B606" s="24"/>
      <c r="C606" s="3"/>
      <c r="D606" s="3"/>
      <c r="E606" s="3"/>
      <c r="F606" s="3"/>
      <c r="G606" s="3"/>
      <c r="H606" s="3"/>
      <c r="I606" s="3"/>
      <c r="J606" s="3"/>
    </row>
    <row r="607" spans="1:10" x14ac:dyDescent="0.3">
      <c r="A607" s="3"/>
      <c r="B607" s="24"/>
      <c r="C607" s="3"/>
      <c r="D607" s="3"/>
      <c r="E607" s="3"/>
      <c r="F607" s="3"/>
      <c r="G607" s="3"/>
      <c r="H607" s="3"/>
      <c r="I607" s="3"/>
      <c r="J607" s="3"/>
    </row>
    <row r="608" spans="1:10" x14ac:dyDescent="0.3">
      <c r="A608" s="3"/>
      <c r="B608" s="24"/>
      <c r="C608" s="3"/>
      <c r="D608" s="3"/>
      <c r="E608" s="3"/>
      <c r="F608" s="3"/>
      <c r="G608" s="3"/>
      <c r="H608" s="3"/>
      <c r="I608" s="3"/>
      <c r="J608" s="3"/>
    </row>
    <row r="609" spans="1:10" x14ac:dyDescent="0.3">
      <c r="A609" s="3"/>
      <c r="B609" s="24"/>
      <c r="C609" s="3"/>
      <c r="D609" s="3"/>
      <c r="E609" s="3"/>
      <c r="F609" s="3"/>
      <c r="G609" s="3"/>
      <c r="H609" s="3"/>
      <c r="I609" s="3"/>
      <c r="J609" s="3"/>
    </row>
    <row r="610" spans="1:10" x14ac:dyDescent="0.3">
      <c r="A610" s="3"/>
      <c r="B610" s="24"/>
      <c r="C610" s="3"/>
      <c r="D610" s="3"/>
      <c r="E610" s="3"/>
      <c r="F610" s="3"/>
      <c r="G610" s="3"/>
      <c r="H610" s="3"/>
      <c r="I610" s="3"/>
      <c r="J610" s="3"/>
    </row>
    <row r="611" spans="1:10" x14ac:dyDescent="0.3">
      <c r="A611" s="3"/>
      <c r="B611" s="24"/>
      <c r="C611" s="3"/>
      <c r="D611" s="3"/>
      <c r="E611" s="3"/>
      <c r="F611" s="3"/>
      <c r="G611" s="3"/>
      <c r="H611" s="3"/>
      <c r="I611" s="3"/>
      <c r="J611" s="3"/>
    </row>
    <row r="612" spans="1:10" x14ac:dyDescent="0.3">
      <c r="A612" s="3"/>
      <c r="B612" s="24"/>
      <c r="C612" s="3"/>
      <c r="D612" s="3"/>
      <c r="E612" s="3"/>
      <c r="F612" s="3"/>
      <c r="G612" s="3"/>
      <c r="H612" s="3"/>
      <c r="I612" s="3"/>
      <c r="J612" s="3"/>
    </row>
    <row r="613" spans="1:10" x14ac:dyDescent="0.3">
      <c r="A613" s="3"/>
      <c r="B613" s="24"/>
      <c r="C613" s="3"/>
      <c r="D613" s="3"/>
      <c r="E613" s="3"/>
      <c r="F613" s="3"/>
      <c r="G613" s="3"/>
      <c r="H613" s="3"/>
      <c r="I613" s="3"/>
      <c r="J613" s="3"/>
    </row>
    <row r="614" spans="1:10" x14ac:dyDescent="0.3">
      <c r="A614" s="3"/>
      <c r="B614" s="24"/>
      <c r="C614" s="3"/>
      <c r="D614" s="3"/>
      <c r="E614" s="3"/>
      <c r="F614" s="3"/>
      <c r="G614" s="3"/>
      <c r="H614" s="3"/>
      <c r="I614" s="3"/>
      <c r="J614" s="3"/>
    </row>
    <row r="615" spans="1:10" x14ac:dyDescent="0.3">
      <c r="A615" s="3"/>
      <c r="B615" s="24"/>
      <c r="C615" s="3"/>
      <c r="D615" s="3"/>
      <c r="E615" s="3"/>
      <c r="F615" s="3"/>
      <c r="G615" s="3"/>
      <c r="H615" s="3"/>
      <c r="I615" s="3"/>
      <c r="J615" s="3"/>
    </row>
    <row r="616" spans="1:10" x14ac:dyDescent="0.3">
      <c r="A616" s="3"/>
      <c r="B616" s="24"/>
      <c r="C616" s="3"/>
      <c r="D616" s="3"/>
      <c r="E616" s="3"/>
      <c r="F616" s="3"/>
      <c r="G616" s="3"/>
      <c r="H616" s="3"/>
      <c r="I616" s="3"/>
      <c r="J616" s="3"/>
    </row>
    <row r="617" spans="1:10" x14ac:dyDescent="0.3">
      <c r="A617" s="3"/>
      <c r="B617" s="24"/>
      <c r="C617" s="3"/>
      <c r="D617" s="3"/>
      <c r="E617" s="3"/>
      <c r="F617" s="3"/>
      <c r="G617" s="3"/>
      <c r="H617" s="3"/>
      <c r="I617" s="3"/>
      <c r="J617" s="3"/>
    </row>
    <row r="618" spans="1:10" x14ac:dyDescent="0.3">
      <c r="A618" s="3"/>
      <c r="B618" s="24"/>
      <c r="C618" s="3"/>
      <c r="D618" s="3"/>
      <c r="E618" s="3"/>
      <c r="F618" s="3"/>
      <c r="G618" s="3"/>
      <c r="H618" s="3"/>
      <c r="I618" s="3"/>
      <c r="J618" s="3"/>
    </row>
    <row r="619" spans="1:10" x14ac:dyDescent="0.3">
      <c r="A619" s="3"/>
      <c r="B619" s="24"/>
      <c r="C619" s="3"/>
      <c r="D619" s="3"/>
      <c r="E619" s="3"/>
      <c r="F619" s="3"/>
      <c r="G619" s="3"/>
      <c r="H619" s="3"/>
      <c r="I619" s="3"/>
      <c r="J619" s="3"/>
    </row>
    <row r="620" spans="1:10" x14ac:dyDescent="0.3">
      <c r="A620" s="3"/>
      <c r="B620" s="24"/>
      <c r="C620" s="3"/>
      <c r="D620" s="3"/>
      <c r="E620" s="3"/>
      <c r="F620" s="3"/>
      <c r="G620" s="3"/>
      <c r="H620" s="3"/>
      <c r="I620" s="3"/>
      <c r="J620" s="3"/>
    </row>
    <row r="621" spans="1:10" x14ac:dyDescent="0.3">
      <c r="A621" s="3"/>
      <c r="B621" s="24"/>
      <c r="C621" s="3"/>
      <c r="D621" s="3"/>
      <c r="E621" s="3"/>
      <c r="F621" s="3"/>
      <c r="G621" s="3"/>
      <c r="H621" s="3"/>
      <c r="I621" s="3"/>
      <c r="J621" s="3"/>
    </row>
    <row r="622" spans="1:10" x14ac:dyDescent="0.3">
      <c r="A622" s="3"/>
      <c r="B622" s="24"/>
      <c r="C622" s="3"/>
      <c r="D622" s="3"/>
      <c r="E622" s="3"/>
      <c r="F622" s="3"/>
      <c r="G622" s="3"/>
      <c r="H622" s="3"/>
      <c r="I622" s="3"/>
      <c r="J622" s="3"/>
    </row>
    <row r="623" spans="1:10" x14ac:dyDescent="0.3">
      <c r="A623" s="3"/>
      <c r="B623" s="24"/>
      <c r="C623" s="3"/>
      <c r="D623" s="3"/>
      <c r="E623" s="3"/>
      <c r="F623" s="3"/>
      <c r="G623" s="3"/>
      <c r="H623" s="3"/>
      <c r="I623" s="3"/>
      <c r="J623" s="3"/>
    </row>
    <row r="624" spans="1:10" x14ac:dyDescent="0.3">
      <c r="A624" s="3"/>
      <c r="B624" s="24"/>
      <c r="C624" s="3"/>
      <c r="D624" s="3"/>
      <c r="E624" s="3"/>
      <c r="F624" s="3"/>
      <c r="G624" s="3"/>
      <c r="H624" s="3"/>
      <c r="I624" s="3"/>
      <c r="J624" s="3"/>
    </row>
    <row r="625" spans="1:10" x14ac:dyDescent="0.3">
      <c r="A625" s="3"/>
      <c r="B625" s="24"/>
      <c r="C625" s="3"/>
      <c r="D625" s="3"/>
      <c r="E625" s="3"/>
      <c r="F625" s="3"/>
      <c r="G625" s="3"/>
      <c r="H625" s="3"/>
      <c r="I625" s="3"/>
      <c r="J625" s="3"/>
    </row>
    <row r="626" spans="1:10" x14ac:dyDescent="0.3">
      <c r="A626" s="3"/>
      <c r="B626" s="24"/>
      <c r="C626" s="3"/>
      <c r="D626" s="3"/>
      <c r="E626" s="3"/>
      <c r="F626" s="3"/>
      <c r="G626" s="3"/>
      <c r="H626" s="3"/>
      <c r="I626" s="3"/>
      <c r="J626" s="3"/>
    </row>
    <row r="627" spans="1:10" x14ac:dyDescent="0.3">
      <c r="A627" s="3"/>
      <c r="B627" s="24"/>
      <c r="C627" s="3"/>
      <c r="D627" s="3"/>
      <c r="E627" s="3"/>
      <c r="F627" s="3"/>
      <c r="G627" s="3"/>
      <c r="H627" s="3"/>
      <c r="I627" s="3"/>
      <c r="J627" s="3"/>
    </row>
    <row r="628" spans="1:10" x14ac:dyDescent="0.3">
      <c r="A628" s="3"/>
      <c r="B628" s="24"/>
      <c r="C628" s="3"/>
      <c r="D628" s="3"/>
      <c r="E628" s="3"/>
      <c r="F628" s="3"/>
      <c r="G628" s="3"/>
      <c r="H628" s="3"/>
      <c r="I628" s="3"/>
      <c r="J628" s="3"/>
    </row>
    <row r="629" spans="1:10" x14ac:dyDescent="0.3">
      <c r="A629" s="3"/>
      <c r="B629" s="24"/>
      <c r="C629" s="3"/>
      <c r="D629" s="3"/>
      <c r="E629" s="3"/>
      <c r="F629" s="3"/>
      <c r="G629" s="3"/>
      <c r="H629" s="3"/>
      <c r="I629" s="3"/>
      <c r="J629" s="3"/>
    </row>
    <row r="630" spans="1:10" x14ac:dyDescent="0.3">
      <c r="A630" s="3"/>
      <c r="B630" s="24"/>
      <c r="C630" s="3"/>
      <c r="D630" s="3"/>
      <c r="E630" s="3"/>
      <c r="F630" s="3"/>
      <c r="G630" s="3"/>
      <c r="H630" s="3"/>
      <c r="I630" s="3"/>
      <c r="J630" s="3"/>
    </row>
    <row r="631" spans="1:10" x14ac:dyDescent="0.3">
      <c r="A631" s="3"/>
      <c r="B631" s="24"/>
      <c r="C631" s="3"/>
      <c r="D631" s="3"/>
      <c r="E631" s="3"/>
      <c r="F631" s="3"/>
      <c r="G631" s="3"/>
      <c r="H631" s="3"/>
      <c r="I631" s="3"/>
      <c r="J631" s="3"/>
    </row>
    <row r="632" spans="1:10" x14ac:dyDescent="0.3">
      <c r="A632" s="3"/>
      <c r="B632" s="24"/>
      <c r="C632" s="3"/>
      <c r="D632" s="3"/>
      <c r="E632" s="3"/>
      <c r="F632" s="3"/>
      <c r="G632" s="3"/>
      <c r="H632" s="3"/>
      <c r="I632" s="3"/>
      <c r="J632" s="3"/>
    </row>
    <row r="633" spans="1:10" x14ac:dyDescent="0.3">
      <c r="A633" s="3"/>
      <c r="B633" s="24"/>
      <c r="C633" s="3"/>
      <c r="D633" s="3"/>
      <c r="E633" s="3"/>
      <c r="F633" s="3"/>
      <c r="G633" s="3"/>
      <c r="H633" s="3"/>
      <c r="I633" s="3"/>
      <c r="J633" s="3"/>
    </row>
    <row r="634" spans="1:10" x14ac:dyDescent="0.3">
      <c r="A634" s="3"/>
      <c r="B634" s="24"/>
      <c r="C634" s="3"/>
      <c r="D634" s="3"/>
      <c r="E634" s="3"/>
      <c r="F634" s="3"/>
      <c r="G634" s="3"/>
      <c r="H634" s="3"/>
      <c r="I634" s="3"/>
      <c r="J634" s="3"/>
    </row>
    <row r="635" spans="1:10" x14ac:dyDescent="0.3">
      <c r="A635" s="3"/>
      <c r="B635" s="24"/>
      <c r="C635" s="3"/>
      <c r="D635" s="3"/>
      <c r="E635" s="3"/>
      <c r="F635" s="3"/>
      <c r="G635" s="3"/>
      <c r="H635" s="3"/>
      <c r="I635" s="3"/>
      <c r="J635" s="3"/>
    </row>
    <row r="636" spans="1:10" x14ac:dyDescent="0.3">
      <c r="A636" s="3"/>
      <c r="B636" s="24"/>
      <c r="C636" s="3"/>
      <c r="D636" s="3"/>
      <c r="E636" s="3"/>
      <c r="F636" s="3"/>
      <c r="G636" s="3"/>
      <c r="H636" s="3"/>
      <c r="I636" s="3"/>
      <c r="J636" s="3"/>
    </row>
    <row r="637" spans="1:10" x14ac:dyDescent="0.3">
      <c r="A637" s="3"/>
      <c r="B637" s="24"/>
      <c r="C637" s="3"/>
      <c r="D637" s="3"/>
      <c r="E637" s="3"/>
      <c r="F637" s="3"/>
      <c r="G637" s="3"/>
      <c r="H637" s="3"/>
      <c r="I637" s="3"/>
      <c r="J637" s="3"/>
    </row>
    <row r="638" spans="1:10" x14ac:dyDescent="0.3">
      <c r="A638" s="3"/>
      <c r="B638" s="24"/>
      <c r="C638" s="3"/>
      <c r="D638" s="3"/>
      <c r="E638" s="3"/>
      <c r="F638" s="3"/>
      <c r="G638" s="3"/>
      <c r="H638" s="3"/>
      <c r="I638" s="3"/>
      <c r="J638" s="3"/>
    </row>
    <row r="639" spans="1:10" x14ac:dyDescent="0.3">
      <c r="A639" s="3"/>
      <c r="B639" s="24"/>
      <c r="C639" s="3"/>
      <c r="D639" s="3"/>
      <c r="E639" s="3"/>
      <c r="F639" s="3"/>
      <c r="G639" s="3"/>
      <c r="H639" s="3"/>
      <c r="I639" s="3"/>
      <c r="J639" s="3"/>
    </row>
    <row r="640" spans="1:10" x14ac:dyDescent="0.3">
      <c r="A640" s="3"/>
      <c r="B640" s="24"/>
      <c r="C640" s="3"/>
      <c r="D640" s="3"/>
      <c r="E640" s="3"/>
      <c r="F640" s="3"/>
      <c r="G640" s="3"/>
      <c r="H640" s="3"/>
      <c r="I640" s="3"/>
      <c r="J640" s="3"/>
    </row>
    <row r="641" spans="1:10" x14ac:dyDescent="0.3">
      <c r="A641" s="3"/>
      <c r="B641" s="24"/>
      <c r="C641" s="3"/>
      <c r="D641" s="3"/>
      <c r="E641" s="3"/>
      <c r="F641" s="3"/>
      <c r="G641" s="3"/>
      <c r="H641" s="3"/>
      <c r="I641" s="3"/>
      <c r="J641" s="3"/>
    </row>
    <row r="642" spans="1:10" x14ac:dyDescent="0.3">
      <c r="A642" s="3"/>
      <c r="B642" s="24"/>
      <c r="C642" s="3"/>
      <c r="D642" s="3"/>
      <c r="E642" s="3"/>
      <c r="F642" s="3"/>
      <c r="G642" s="3"/>
      <c r="H642" s="3"/>
      <c r="I642" s="3"/>
      <c r="J642" s="3"/>
    </row>
    <row r="643" spans="1:10" x14ac:dyDescent="0.3">
      <c r="A643" s="3"/>
      <c r="B643" s="24"/>
      <c r="C643" s="3"/>
      <c r="D643" s="3"/>
      <c r="E643" s="3"/>
      <c r="F643" s="3"/>
      <c r="G643" s="3"/>
      <c r="H643" s="3"/>
      <c r="I643" s="3"/>
      <c r="J643" s="3"/>
    </row>
    <row r="644" spans="1:10" x14ac:dyDescent="0.3">
      <c r="A644" s="3"/>
      <c r="B644" s="24"/>
      <c r="C644" s="3"/>
      <c r="D644" s="3"/>
      <c r="E644" s="3"/>
      <c r="F644" s="3"/>
      <c r="G644" s="3"/>
      <c r="H644" s="3"/>
      <c r="I644" s="3"/>
      <c r="J644" s="3"/>
    </row>
    <row r="645" spans="1:10" x14ac:dyDescent="0.3">
      <c r="A645" s="3"/>
      <c r="B645" s="24"/>
      <c r="C645" s="3"/>
      <c r="D645" s="3"/>
      <c r="E645" s="3"/>
      <c r="F645" s="3"/>
      <c r="G645" s="3"/>
      <c r="H645" s="3"/>
      <c r="I645" s="3"/>
      <c r="J645" s="3"/>
    </row>
    <row r="646" spans="1:10" x14ac:dyDescent="0.3">
      <c r="A646" s="3"/>
      <c r="B646" s="24"/>
      <c r="C646" s="3"/>
      <c r="D646" s="3"/>
      <c r="E646" s="3"/>
      <c r="F646" s="3"/>
      <c r="G646" s="3"/>
      <c r="H646" s="3"/>
      <c r="I646" s="3"/>
      <c r="J646" s="3"/>
    </row>
    <row r="647" spans="1:10" x14ac:dyDescent="0.3">
      <c r="A647" s="3"/>
      <c r="B647" s="24"/>
      <c r="C647" s="3"/>
      <c r="D647" s="3"/>
      <c r="E647" s="3"/>
      <c r="F647" s="3"/>
      <c r="G647" s="3"/>
      <c r="H647" s="3"/>
      <c r="I647" s="3"/>
      <c r="J647" s="3"/>
    </row>
    <row r="648" spans="1:10" x14ac:dyDescent="0.3">
      <c r="A648" s="3"/>
      <c r="B648" s="24"/>
      <c r="C648" s="3"/>
      <c r="D648" s="3"/>
      <c r="E648" s="3"/>
      <c r="F648" s="3"/>
      <c r="G648" s="3"/>
      <c r="H648" s="3"/>
      <c r="I648" s="3"/>
      <c r="J648" s="3"/>
    </row>
    <row r="649" spans="1:10" x14ac:dyDescent="0.3">
      <c r="A649" s="3"/>
      <c r="B649" s="24"/>
      <c r="C649" s="3"/>
      <c r="D649" s="3"/>
      <c r="E649" s="3"/>
      <c r="F649" s="3"/>
      <c r="G649" s="3"/>
      <c r="H649" s="3"/>
      <c r="I649" s="3"/>
      <c r="J649" s="3"/>
    </row>
    <row r="650" spans="1:10" x14ac:dyDescent="0.3">
      <c r="A650" s="3"/>
      <c r="B650" s="24"/>
      <c r="C650" s="3"/>
      <c r="D650" s="3"/>
      <c r="E650" s="3"/>
      <c r="F650" s="3"/>
      <c r="G650" s="3"/>
      <c r="H650" s="3"/>
      <c r="I650" s="3"/>
      <c r="J650" s="3"/>
    </row>
    <row r="651" spans="1:10" x14ac:dyDescent="0.3">
      <c r="A651" s="3"/>
      <c r="B651" s="24"/>
      <c r="C651" s="3"/>
      <c r="D651" s="3"/>
      <c r="E651" s="3"/>
      <c r="F651" s="3"/>
      <c r="G651" s="3"/>
      <c r="H651" s="3"/>
      <c r="I651" s="3"/>
      <c r="J651" s="3"/>
    </row>
    <row r="652" spans="1:10" x14ac:dyDescent="0.3">
      <c r="A652" s="3"/>
      <c r="B652" s="24"/>
      <c r="C652" s="3"/>
      <c r="D652" s="3"/>
      <c r="E652" s="3"/>
      <c r="F652" s="3"/>
      <c r="G652" s="3"/>
      <c r="H652" s="3"/>
      <c r="I652" s="3"/>
      <c r="J652" s="3"/>
    </row>
    <row r="653" spans="1:10" x14ac:dyDescent="0.3">
      <c r="A653" s="3"/>
      <c r="B653" s="24"/>
      <c r="C653" s="3"/>
      <c r="D653" s="3"/>
      <c r="E653" s="3"/>
      <c r="F653" s="3"/>
      <c r="G653" s="3"/>
      <c r="H653" s="3"/>
      <c r="I653" s="3"/>
      <c r="J653" s="3"/>
    </row>
    <row r="654" spans="1:10" x14ac:dyDescent="0.3">
      <c r="A654" s="3"/>
      <c r="B654" s="24"/>
      <c r="C654" s="3"/>
      <c r="D654" s="3"/>
      <c r="E654" s="3"/>
      <c r="F654" s="3"/>
      <c r="G654" s="3"/>
      <c r="H654" s="3"/>
      <c r="I654" s="3"/>
      <c r="J654" s="3"/>
    </row>
    <row r="655" spans="1:10" x14ac:dyDescent="0.3">
      <c r="A655" s="3"/>
      <c r="B655" s="24"/>
      <c r="C655" s="3"/>
      <c r="D655" s="3"/>
      <c r="E655" s="3"/>
      <c r="F655" s="3"/>
      <c r="G655" s="3"/>
      <c r="H655" s="3"/>
      <c r="I655" s="3"/>
      <c r="J655" s="3"/>
    </row>
    <row r="656" spans="1:10" x14ac:dyDescent="0.3">
      <c r="A656" s="3"/>
      <c r="B656" s="24"/>
      <c r="C656" s="3"/>
      <c r="D656" s="3"/>
      <c r="E656" s="3"/>
      <c r="F656" s="3"/>
      <c r="G656" s="3"/>
      <c r="H656" s="3"/>
      <c r="I656" s="3"/>
      <c r="J656" s="3"/>
    </row>
    <row r="657" spans="1:10" x14ac:dyDescent="0.3">
      <c r="A657" s="3"/>
      <c r="B657" s="24"/>
      <c r="C657" s="3"/>
      <c r="D657" s="3"/>
      <c r="E657" s="3"/>
      <c r="F657" s="3"/>
      <c r="G657" s="3"/>
      <c r="H657" s="3"/>
      <c r="I657" s="3"/>
      <c r="J657" s="3"/>
    </row>
    <row r="658" spans="1:10" x14ac:dyDescent="0.3">
      <c r="A658" s="3"/>
      <c r="B658" s="24"/>
      <c r="C658" s="3"/>
      <c r="D658" s="3"/>
      <c r="E658" s="3"/>
      <c r="F658" s="3"/>
      <c r="G658" s="3"/>
      <c r="H658" s="3"/>
      <c r="I658" s="3"/>
      <c r="J658" s="3"/>
    </row>
    <row r="659" spans="1:10" x14ac:dyDescent="0.3">
      <c r="A659" s="3"/>
      <c r="B659" s="24"/>
      <c r="C659" s="3"/>
      <c r="D659" s="3"/>
      <c r="E659" s="3"/>
      <c r="F659" s="3"/>
      <c r="G659" s="3"/>
      <c r="H659" s="3"/>
      <c r="I659" s="3"/>
      <c r="J659" s="3"/>
    </row>
    <row r="660" spans="1:10" x14ac:dyDescent="0.3">
      <c r="A660" s="3"/>
      <c r="B660" s="24"/>
      <c r="C660" s="3"/>
      <c r="D660" s="3"/>
      <c r="E660" s="3"/>
      <c r="F660" s="3"/>
      <c r="G660" s="3"/>
      <c r="H660" s="3"/>
      <c r="I660" s="3"/>
      <c r="J660" s="3"/>
    </row>
    <row r="661" spans="1:10" x14ac:dyDescent="0.3">
      <c r="A661" s="3"/>
      <c r="B661" s="24"/>
      <c r="C661" s="3"/>
      <c r="D661" s="3"/>
      <c r="E661" s="3"/>
      <c r="F661" s="3"/>
      <c r="G661" s="3"/>
      <c r="H661" s="3"/>
      <c r="I661" s="3"/>
      <c r="J661" s="3"/>
    </row>
    <row r="662" spans="1:10" x14ac:dyDescent="0.3">
      <c r="A662" s="3"/>
      <c r="B662" s="24"/>
      <c r="C662" s="3"/>
      <c r="D662" s="3"/>
      <c r="E662" s="3"/>
      <c r="F662" s="3"/>
      <c r="G662" s="3"/>
      <c r="H662" s="3"/>
      <c r="I662" s="3"/>
      <c r="J662" s="3"/>
    </row>
    <row r="663" spans="1:10" x14ac:dyDescent="0.3">
      <c r="A663" s="3"/>
      <c r="B663" s="24"/>
      <c r="C663" s="3"/>
      <c r="D663" s="3"/>
      <c r="E663" s="3"/>
      <c r="F663" s="3"/>
      <c r="G663" s="3"/>
      <c r="H663" s="3"/>
      <c r="I663" s="3"/>
      <c r="J663" s="3"/>
    </row>
    <row r="664" spans="1:10" x14ac:dyDescent="0.3">
      <c r="A664" s="3"/>
      <c r="B664" s="24"/>
      <c r="C664" s="3"/>
      <c r="D664" s="3"/>
      <c r="E664" s="3"/>
      <c r="F664" s="3"/>
      <c r="G664" s="3"/>
      <c r="H664" s="3"/>
      <c r="I664" s="3"/>
      <c r="J664" s="3"/>
    </row>
    <row r="665" spans="1:10" x14ac:dyDescent="0.3">
      <c r="A665" s="3"/>
      <c r="B665" s="24"/>
      <c r="C665" s="3"/>
      <c r="D665" s="3"/>
      <c r="E665" s="3"/>
      <c r="F665" s="3"/>
      <c r="G665" s="3"/>
      <c r="H665" s="3"/>
      <c r="I665" s="3"/>
      <c r="J665" s="3"/>
    </row>
    <row r="666" spans="1:10" x14ac:dyDescent="0.3">
      <c r="A666" s="3"/>
      <c r="B666" s="24"/>
      <c r="C666" s="3"/>
      <c r="D666" s="3"/>
      <c r="E666" s="3"/>
      <c r="F666" s="3"/>
      <c r="G666" s="3"/>
      <c r="H666" s="3"/>
      <c r="I666" s="3"/>
      <c r="J666" s="3"/>
    </row>
    <row r="667" spans="1:10" x14ac:dyDescent="0.3">
      <c r="A667" s="3"/>
      <c r="B667" s="24"/>
      <c r="C667" s="3"/>
      <c r="D667" s="3"/>
      <c r="E667" s="3"/>
      <c r="F667" s="3"/>
      <c r="G667" s="3"/>
      <c r="H667" s="3"/>
      <c r="I667" s="3"/>
      <c r="J667" s="3"/>
    </row>
    <row r="668" spans="1:10" x14ac:dyDescent="0.3">
      <c r="A668" s="3"/>
      <c r="B668" s="24"/>
      <c r="C668" s="3"/>
      <c r="D668" s="3"/>
      <c r="E668" s="3"/>
      <c r="F668" s="3"/>
      <c r="G668" s="3"/>
      <c r="H668" s="3"/>
      <c r="I668" s="3"/>
      <c r="J668" s="3"/>
    </row>
    <row r="669" spans="1:10" x14ac:dyDescent="0.3">
      <c r="A669" s="3"/>
      <c r="B669" s="24"/>
      <c r="C669" s="3"/>
      <c r="D669" s="3"/>
      <c r="E669" s="3"/>
      <c r="F669" s="3"/>
      <c r="G669" s="3"/>
      <c r="H669" s="3"/>
      <c r="I669" s="3"/>
      <c r="J669" s="3"/>
    </row>
    <row r="670" spans="1:10" x14ac:dyDescent="0.3">
      <c r="A670" s="3"/>
      <c r="B670" s="24"/>
      <c r="C670" s="3"/>
      <c r="D670" s="3"/>
      <c r="E670" s="3"/>
      <c r="F670" s="3"/>
      <c r="G670" s="3"/>
      <c r="H670" s="3"/>
      <c r="I670" s="3"/>
      <c r="J670" s="3"/>
    </row>
    <row r="671" spans="1:10" x14ac:dyDescent="0.3">
      <c r="A671" s="3"/>
      <c r="B671" s="24"/>
      <c r="C671" s="3"/>
      <c r="D671" s="3"/>
      <c r="E671" s="3"/>
      <c r="F671" s="3"/>
      <c r="G671" s="3"/>
      <c r="H671" s="3"/>
      <c r="I671" s="3"/>
      <c r="J671" s="3"/>
    </row>
    <row r="672" spans="1:10" x14ac:dyDescent="0.3">
      <c r="A672" s="3"/>
      <c r="B672" s="24"/>
      <c r="C672" s="3"/>
      <c r="D672" s="3"/>
      <c r="E672" s="3"/>
      <c r="F672" s="3"/>
      <c r="G672" s="3"/>
      <c r="H672" s="3"/>
      <c r="I672" s="3"/>
      <c r="J672" s="3"/>
    </row>
    <row r="673" spans="1:10" x14ac:dyDescent="0.3">
      <c r="A673" s="3"/>
      <c r="B673" s="24"/>
      <c r="C673" s="3"/>
      <c r="D673" s="3"/>
      <c r="E673" s="3"/>
      <c r="F673" s="3"/>
      <c r="G673" s="3"/>
      <c r="H673" s="3"/>
      <c r="I673" s="3"/>
      <c r="J673" s="3"/>
    </row>
    <row r="674" spans="1:10" x14ac:dyDescent="0.3">
      <c r="A674" s="3"/>
      <c r="B674" s="24"/>
      <c r="C674" s="3"/>
      <c r="D674" s="3"/>
      <c r="E674" s="3"/>
      <c r="F674" s="3"/>
      <c r="G674" s="3"/>
      <c r="H674" s="3"/>
      <c r="I674" s="3"/>
      <c r="J674" s="3"/>
    </row>
    <row r="675" spans="1:10" x14ac:dyDescent="0.3">
      <c r="A675" s="3"/>
      <c r="B675" s="24"/>
      <c r="C675" s="3"/>
      <c r="D675" s="3"/>
      <c r="E675" s="3"/>
      <c r="F675" s="3"/>
      <c r="G675" s="3"/>
      <c r="H675" s="3"/>
      <c r="I675" s="3"/>
      <c r="J675" s="3"/>
    </row>
    <row r="676" spans="1:10" x14ac:dyDescent="0.3">
      <c r="A676" s="3"/>
      <c r="B676" s="24"/>
      <c r="C676" s="3"/>
      <c r="D676" s="3"/>
      <c r="E676" s="3"/>
      <c r="F676" s="3"/>
      <c r="G676" s="3"/>
      <c r="H676" s="3"/>
      <c r="I676" s="3"/>
      <c r="J676" s="3"/>
    </row>
    <row r="677" spans="1:10" x14ac:dyDescent="0.3">
      <c r="A677" s="3"/>
      <c r="B677" s="24"/>
      <c r="C677" s="3"/>
      <c r="D677" s="3"/>
      <c r="E677" s="3"/>
      <c r="F677" s="3"/>
      <c r="G677" s="3"/>
      <c r="H677" s="3"/>
      <c r="I677" s="3"/>
      <c r="J677" s="3"/>
    </row>
    <row r="678" spans="1:10" x14ac:dyDescent="0.3">
      <c r="A678" s="3"/>
      <c r="B678" s="24"/>
      <c r="C678" s="3"/>
      <c r="D678" s="3"/>
      <c r="E678" s="3"/>
      <c r="F678" s="3"/>
      <c r="G678" s="3"/>
      <c r="H678" s="3"/>
      <c r="I678" s="3"/>
      <c r="J678" s="3"/>
    </row>
    <row r="679" spans="1:10" x14ac:dyDescent="0.3">
      <c r="A679" s="3"/>
      <c r="B679" s="24"/>
      <c r="C679" s="3"/>
      <c r="D679" s="3"/>
      <c r="E679" s="3"/>
      <c r="F679" s="3"/>
      <c r="G679" s="3"/>
      <c r="H679" s="3"/>
      <c r="I679" s="3"/>
      <c r="J679" s="3"/>
    </row>
    <row r="680" spans="1:10" x14ac:dyDescent="0.3">
      <c r="A680" s="3"/>
      <c r="B680" s="24"/>
      <c r="C680" s="3"/>
      <c r="D680" s="3"/>
      <c r="E680" s="3"/>
      <c r="F680" s="3"/>
      <c r="G680" s="3"/>
      <c r="H680" s="3"/>
      <c r="I680" s="3"/>
      <c r="J680" s="3"/>
    </row>
    <row r="681" spans="1:10" x14ac:dyDescent="0.3">
      <c r="A681" s="3"/>
      <c r="B681" s="24"/>
      <c r="C681" s="3"/>
      <c r="D681" s="3"/>
      <c r="E681" s="3"/>
      <c r="F681" s="3"/>
      <c r="G681" s="3"/>
      <c r="H681" s="3"/>
      <c r="I681" s="3"/>
      <c r="J681" s="3"/>
    </row>
    <row r="682" spans="1:10" x14ac:dyDescent="0.3">
      <c r="A682" s="3"/>
      <c r="B682" s="24"/>
      <c r="C682" s="3"/>
      <c r="D682" s="3"/>
      <c r="E682" s="3"/>
      <c r="F682" s="3"/>
      <c r="G682" s="3"/>
      <c r="H682" s="3"/>
      <c r="I682" s="3"/>
      <c r="J682" s="3"/>
    </row>
    <row r="683" spans="1:10" x14ac:dyDescent="0.3">
      <c r="A683" s="3"/>
      <c r="B683" s="24"/>
      <c r="C683" s="3"/>
      <c r="D683" s="3"/>
      <c r="E683" s="3"/>
      <c r="F683" s="3"/>
      <c r="G683" s="3"/>
      <c r="H683" s="3"/>
      <c r="I683" s="3"/>
      <c r="J683" s="3"/>
    </row>
    <row r="684" spans="1:10" x14ac:dyDescent="0.3">
      <c r="A684" s="3"/>
      <c r="B684" s="24"/>
      <c r="C684" s="3"/>
      <c r="D684" s="3"/>
      <c r="E684" s="3"/>
      <c r="F684" s="3"/>
      <c r="G684" s="3"/>
      <c r="H684" s="3"/>
      <c r="I684" s="3"/>
      <c r="J684" s="3"/>
    </row>
    <row r="685" spans="1:10" x14ac:dyDescent="0.3">
      <c r="A685" s="3"/>
      <c r="B685" s="24"/>
      <c r="C685" s="3"/>
      <c r="D685" s="3"/>
      <c r="E685" s="3"/>
      <c r="F685" s="3"/>
      <c r="G685" s="3"/>
      <c r="H685" s="3"/>
      <c r="I685" s="3"/>
      <c r="J685" s="3"/>
    </row>
    <row r="686" spans="1:10" x14ac:dyDescent="0.3">
      <c r="A686" s="3"/>
      <c r="B686" s="24"/>
      <c r="C686" s="3"/>
      <c r="D686" s="3"/>
      <c r="E686" s="3"/>
      <c r="F686" s="3"/>
      <c r="G686" s="3"/>
      <c r="H686" s="3"/>
      <c r="I686" s="3"/>
      <c r="J686" s="3"/>
    </row>
    <row r="687" spans="1:10" x14ac:dyDescent="0.3">
      <c r="A687" s="3"/>
      <c r="B687" s="24"/>
      <c r="C687" s="3"/>
      <c r="D687" s="3"/>
      <c r="E687" s="3"/>
      <c r="F687" s="3"/>
      <c r="G687" s="3"/>
      <c r="H687" s="3"/>
      <c r="I687" s="3"/>
      <c r="J687" s="3"/>
    </row>
    <row r="688" spans="1:10" x14ac:dyDescent="0.3">
      <c r="A688" s="3"/>
      <c r="B688" s="24"/>
      <c r="C688" s="3"/>
      <c r="D688" s="3"/>
      <c r="E688" s="3"/>
      <c r="F688" s="3"/>
      <c r="G688" s="3"/>
      <c r="H688" s="3"/>
      <c r="I688" s="3"/>
      <c r="J688" s="3"/>
    </row>
    <row r="689" spans="1:10" x14ac:dyDescent="0.3">
      <c r="A689" s="3"/>
      <c r="B689" s="24"/>
      <c r="C689" s="3"/>
      <c r="D689" s="3"/>
      <c r="E689" s="3"/>
      <c r="F689" s="3"/>
      <c r="G689" s="3"/>
      <c r="H689" s="3"/>
      <c r="I689" s="3"/>
      <c r="J689" s="3"/>
    </row>
    <row r="690" spans="1:10" x14ac:dyDescent="0.3">
      <c r="A690" s="3"/>
      <c r="B690" s="24"/>
      <c r="C690" s="3"/>
      <c r="D690" s="3"/>
      <c r="E690" s="3"/>
      <c r="F690" s="3"/>
      <c r="G690" s="3"/>
      <c r="H690" s="3"/>
      <c r="I690" s="3"/>
      <c r="J690" s="3"/>
    </row>
    <row r="691" spans="1:10" x14ac:dyDescent="0.3">
      <c r="A691" s="3"/>
      <c r="B691" s="24"/>
      <c r="C691" s="3"/>
      <c r="D691" s="3"/>
      <c r="E691" s="3"/>
      <c r="F691" s="3"/>
      <c r="G691" s="3"/>
      <c r="H691" s="3"/>
      <c r="I691" s="3"/>
      <c r="J691" s="3"/>
    </row>
    <row r="692" spans="1:10" x14ac:dyDescent="0.3">
      <c r="A692" s="3"/>
      <c r="B692" s="24"/>
      <c r="C692" s="3"/>
      <c r="D692" s="3"/>
      <c r="E692" s="3"/>
      <c r="F692" s="3"/>
      <c r="G692" s="3"/>
      <c r="H692" s="3"/>
      <c r="I692" s="3"/>
      <c r="J692" s="3"/>
    </row>
    <row r="693" spans="1:10" x14ac:dyDescent="0.3">
      <c r="A693" s="3"/>
      <c r="B693" s="24"/>
      <c r="C693" s="3"/>
      <c r="D693" s="3"/>
      <c r="E693" s="3"/>
      <c r="F693" s="3"/>
      <c r="G693" s="3"/>
      <c r="H693" s="3"/>
      <c r="I693" s="3"/>
      <c r="J693" s="3"/>
    </row>
    <row r="694" spans="1:10" x14ac:dyDescent="0.3">
      <c r="A694" s="3"/>
      <c r="B694" s="24"/>
      <c r="C694" s="3"/>
      <c r="D694" s="3"/>
      <c r="E694" s="3"/>
      <c r="F694" s="3"/>
      <c r="G694" s="3"/>
      <c r="H694" s="3"/>
      <c r="I694" s="3"/>
      <c r="J694" s="3"/>
    </row>
    <row r="695" spans="1:10" x14ac:dyDescent="0.3">
      <c r="A695" s="3"/>
      <c r="B695" s="24"/>
      <c r="C695" s="3"/>
      <c r="D695" s="3"/>
      <c r="E695" s="3"/>
      <c r="F695" s="3"/>
      <c r="G695" s="3"/>
      <c r="H695" s="3"/>
      <c r="I695" s="3"/>
      <c r="J695" s="3"/>
    </row>
    <row r="696" spans="1:10" x14ac:dyDescent="0.3">
      <c r="A696" s="3"/>
      <c r="B696" s="24"/>
      <c r="C696" s="3"/>
      <c r="D696" s="3"/>
      <c r="E696" s="3"/>
      <c r="F696" s="3"/>
      <c r="G696" s="3"/>
      <c r="H696" s="3"/>
      <c r="I696" s="3"/>
      <c r="J696" s="3"/>
    </row>
    <row r="697" spans="1:10" x14ac:dyDescent="0.3">
      <c r="A697" s="3"/>
      <c r="B697" s="24"/>
      <c r="C697" s="3"/>
      <c r="D697" s="3"/>
      <c r="E697" s="3"/>
      <c r="F697" s="3"/>
      <c r="G697" s="3"/>
      <c r="H697" s="3"/>
      <c r="I697" s="3"/>
      <c r="J697" s="3"/>
    </row>
    <row r="698" spans="1:10" x14ac:dyDescent="0.3">
      <c r="A698" s="3"/>
      <c r="B698" s="24"/>
      <c r="C698" s="3"/>
      <c r="D698" s="3"/>
      <c r="E698" s="3"/>
      <c r="F698" s="3"/>
      <c r="G698" s="3"/>
      <c r="H698" s="3"/>
      <c r="I698" s="3"/>
      <c r="J698" s="3"/>
    </row>
    <row r="699" spans="1:10" x14ac:dyDescent="0.3">
      <c r="A699" s="3"/>
      <c r="B699" s="24"/>
      <c r="C699" s="3"/>
      <c r="D699" s="3"/>
      <c r="E699" s="3"/>
      <c r="F699" s="3"/>
      <c r="G699" s="3"/>
      <c r="H699" s="3"/>
      <c r="I699" s="3"/>
      <c r="J699" s="3"/>
    </row>
    <row r="700" spans="1:10" x14ac:dyDescent="0.3">
      <c r="A700" s="3"/>
      <c r="B700" s="24"/>
      <c r="C700" s="3"/>
      <c r="D700" s="3"/>
      <c r="E700" s="3"/>
      <c r="F700" s="3"/>
      <c r="G700" s="3"/>
      <c r="H700" s="3"/>
      <c r="I700" s="3"/>
      <c r="J700" s="3"/>
    </row>
    <row r="701" spans="1:10" x14ac:dyDescent="0.3">
      <c r="A701" s="3"/>
      <c r="B701" s="24"/>
      <c r="C701" s="3"/>
      <c r="D701" s="3"/>
      <c r="E701" s="3"/>
      <c r="F701" s="3"/>
      <c r="G701" s="3"/>
      <c r="H701" s="3"/>
      <c r="I701" s="3"/>
      <c r="J701" s="3"/>
    </row>
    <row r="702" spans="1:10" x14ac:dyDescent="0.3">
      <c r="A702" s="3"/>
      <c r="B702" s="24"/>
      <c r="C702" s="3"/>
      <c r="D702" s="3"/>
      <c r="E702" s="3"/>
      <c r="F702" s="3"/>
      <c r="G702" s="3"/>
      <c r="H702" s="3"/>
      <c r="I702" s="3"/>
      <c r="J702" s="3"/>
    </row>
    <row r="703" spans="1:10" x14ac:dyDescent="0.3">
      <c r="A703" s="3"/>
      <c r="B703" s="24"/>
      <c r="C703" s="3"/>
      <c r="D703" s="3"/>
      <c r="E703" s="3"/>
      <c r="F703" s="3"/>
      <c r="G703" s="3"/>
      <c r="H703" s="3"/>
      <c r="I703" s="3"/>
      <c r="J703" s="3"/>
    </row>
    <row r="704" spans="1:10" x14ac:dyDescent="0.3">
      <c r="A704" s="3"/>
      <c r="B704" s="24"/>
      <c r="C704" s="3"/>
      <c r="D704" s="3"/>
      <c r="E704" s="3"/>
      <c r="F704" s="3"/>
      <c r="G704" s="3"/>
      <c r="H704" s="3"/>
      <c r="I704" s="3"/>
      <c r="J704" s="3"/>
    </row>
    <row r="705" spans="1:10" x14ac:dyDescent="0.3">
      <c r="A705" s="3"/>
      <c r="B705" s="24"/>
      <c r="C705" s="3"/>
      <c r="D705" s="3"/>
      <c r="E705" s="3"/>
      <c r="F705" s="3"/>
      <c r="G705" s="3"/>
      <c r="H705" s="3"/>
      <c r="I705" s="3"/>
      <c r="J705" s="3"/>
    </row>
    <row r="706" spans="1:10" x14ac:dyDescent="0.3">
      <c r="A706" s="3"/>
      <c r="B706" s="24"/>
      <c r="C706" s="3"/>
      <c r="D706" s="3"/>
      <c r="E706" s="3"/>
      <c r="F706" s="3"/>
      <c r="G706" s="3"/>
      <c r="H706" s="3"/>
      <c r="I706" s="3"/>
      <c r="J706" s="3"/>
    </row>
    <row r="707" spans="1:10" x14ac:dyDescent="0.3">
      <c r="A707" s="3"/>
      <c r="B707" s="24"/>
      <c r="C707" s="3"/>
      <c r="D707" s="3"/>
      <c r="E707" s="3"/>
      <c r="F707" s="3"/>
      <c r="G707" s="3"/>
      <c r="H707" s="3"/>
      <c r="I707" s="3"/>
      <c r="J707" s="3"/>
    </row>
    <row r="708" spans="1:10" x14ac:dyDescent="0.3">
      <c r="A708" s="3"/>
      <c r="B708" s="24"/>
      <c r="C708" s="3"/>
      <c r="D708" s="3"/>
      <c r="E708" s="3"/>
      <c r="F708" s="3"/>
      <c r="G708" s="3"/>
      <c r="H708" s="3"/>
      <c r="I708" s="3"/>
      <c r="J708" s="3"/>
    </row>
    <row r="709" spans="1:10" x14ac:dyDescent="0.3">
      <c r="A709" s="3"/>
      <c r="B709" s="24"/>
      <c r="C709" s="3"/>
      <c r="D709" s="3"/>
      <c r="E709" s="3"/>
      <c r="F709" s="3"/>
      <c r="G709" s="3"/>
      <c r="H709" s="3"/>
      <c r="I709" s="3"/>
      <c r="J709" s="3"/>
    </row>
    <row r="710" spans="1:10" x14ac:dyDescent="0.3">
      <c r="A710" s="3"/>
      <c r="B710" s="24"/>
      <c r="C710" s="3"/>
      <c r="D710" s="3"/>
      <c r="E710" s="3"/>
      <c r="F710" s="3"/>
      <c r="G710" s="3"/>
      <c r="H710" s="3"/>
      <c r="I710" s="3"/>
      <c r="J710" s="3"/>
    </row>
    <row r="711" spans="1:10" x14ac:dyDescent="0.3">
      <c r="A711" s="3"/>
      <c r="B711" s="24"/>
      <c r="C711" s="3"/>
      <c r="D711" s="3"/>
      <c r="E711" s="3"/>
      <c r="F711" s="3"/>
      <c r="G711" s="3"/>
      <c r="H711" s="3"/>
      <c r="I711" s="3"/>
      <c r="J711" s="3"/>
    </row>
    <row r="712" spans="1:10" x14ac:dyDescent="0.3">
      <c r="A712" s="3"/>
      <c r="B712" s="24"/>
      <c r="C712" s="3"/>
      <c r="D712" s="3"/>
      <c r="E712" s="3"/>
      <c r="F712" s="3"/>
      <c r="G712" s="3"/>
      <c r="H712" s="3"/>
      <c r="I712" s="3"/>
      <c r="J712" s="3"/>
    </row>
    <row r="713" spans="1:10" x14ac:dyDescent="0.3">
      <c r="A713" s="3"/>
      <c r="B713" s="24"/>
      <c r="C713" s="3"/>
      <c r="D713" s="3"/>
      <c r="E713" s="3"/>
      <c r="F713" s="3"/>
      <c r="G713" s="3"/>
      <c r="H713" s="3"/>
      <c r="I713" s="3"/>
      <c r="J713" s="3"/>
    </row>
    <row r="714" spans="1:10" x14ac:dyDescent="0.3">
      <c r="A714" s="3"/>
      <c r="B714" s="24"/>
      <c r="C714" s="3"/>
      <c r="D714" s="3"/>
      <c r="E714" s="3"/>
      <c r="F714" s="3"/>
      <c r="G714" s="3"/>
      <c r="H714" s="3"/>
      <c r="I714" s="3"/>
      <c r="J714" s="3"/>
    </row>
    <row r="715" spans="1:10" x14ac:dyDescent="0.3">
      <c r="A715" s="3"/>
      <c r="B715" s="24"/>
      <c r="C715" s="3"/>
      <c r="D715" s="3"/>
      <c r="E715" s="3"/>
      <c r="F715" s="3"/>
      <c r="G715" s="3"/>
      <c r="H715" s="3"/>
      <c r="I715" s="3"/>
      <c r="J715" s="3"/>
    </row>
    <row r="716" spans="1:10" x14ac:dyDescent="0.3">
      <c r="A716" s="3"/>
      <c r="B716" s="24"/>
      <c r="C716" s="3"/>
      <c r="D716" s="3"/>
      <c r="E716" s="3"/>
      <c r="F716" s="3"/>
      <c r="G716" s="3"/>
      <c r="H716" s="3"/>
      <c r="I716" s="3"/>
      <c r="J716" s="3"/>
    </row>
    <row r="717" spans="1:10" x14ac:dyDescent="0.3">
      <c r="A717" s="3"/>
      <c r="B717" s="24"/>
      <c r="C717" s="3"/>
      <c r="D717" s="3"/>
      <c r="E717" s="3"/>
      <c r="F717" s="3"/>
      <c r="G717" s="3"/>
      <c r="H717" s="3"/>
      <c r="I717" s="3"/>
      <c r="J717" s="3"/>
    </row>
    <row r="718" spans="1:10" x14ac:dyDescent="0.3">
      <c r="A718" s="3"/>
      <c r="B718" s="24"/>
      <c r="C718" s="3"/>
      <c r="D718" s="3"/>
      <c r="E718" s="3"/>
      <c r="F718" s="3"/>
      <c r="G718" s="3"/>
      <c r="H718" s="3"/>
      <c r="I718" s="3"/>
      <c r="J718" s="3"/>
    </row>
    <row r="719" spans="1:10" x14ac:dyDescent="0.3">
      <c r="A719" s="3"/>
      <c r="B719" s="24"/>
      <c r="C719" s="3"/>
      <c r="D719" s="3"/>
      <c r="E719" s="3"/>
      <c r="F719" s="3"/>
      <c r="G719" s="3"/>
      <c r="H719" s="3"/>
      <c r="I719" s="3"/>
      <c r="J719" s="3"/>
    </row>
    <row r="720" spans="1:10" x14ac:dyDescent="0.3">
      <c r="A720" s="3"/>
      <c r="B720" s="24"/>
      <c r="C720" s="3"/>
      <c r="D720" s="3"/>
      <c r="E720" s="3"/>
      <c r="F720" s="3"/>
      <c r="G720" s="3"/>
      <c r="H720" s="3"/>
      <c r="I720" s="3"/>
      <c r="J720" s="3"/>
    </row>
    <row r="721" spans="1:10" x14ac:dyDescent="0.3">
      <c r="A721" s="3"/>
      <c r="B721" s="24"/>
      <c r="C721" s="3"/>
      <c r="D721" s="3"/>
      <c r="E721" s="3"/>
      <c r="F721" s="3"/>
      <c r="G721" s="3"/>
      <c r="H721" s="3"/>
      <c r="I721" s="3"/>
      <c r="J721" s="3"/>
    </row>
    <row r="722" spans="1:10" x14ac:dyDescent="0.3">
      <c r="A722" s="3"/>
      <c r="B722" s="24"/>
      <c r="C722" s="3"/>
      <c r="D722" s="3"/>
      <c r="E722" s="3"/>
      <c r="F722" s="3"/>
      <c r="G722" s="3"/>
      <c r="H722" s="3"/>
      <c r="I722" s="3"/>
      <c r="J722" s="3"/>
    </row>
    <row r="723" spans="1:10" x14ac:dyDescent="0.3">
      <c r="A723" s="3"/>
      <c r="B723" s="24"/>
      <c r="C723" s="3"/>
      <c r="D723" s="3"/>
      <c r="E723" s="3"/>
      <c r="F723" s="3"/>
      <c r="G723" s="3"/>
      <c r="H723" s="3"/>
      <c r="I723" s="3"/>
      <c r="J723" s="3"/>
    </row>
    <row r="724" spans="1:10" x14ac:dyDescent="0.3">
      <c r="A724" s="3"/>
      <c r="B724" s="24"/>
      <c r="C724" s="3"/>
      <c r="D724" s="3"/>
      <c r="E724" s="3"/>
      <c r="F724" s="3"/>
      <c r="G724" s="3"/>
      <c r="H724" s="3"/>
      <c r="I724" s="3"/>
      <c r="J724" s="3"/>
    </row>
    <row r="725" spans="1:10" x14ac:dyDescent="0.3">
      <c r="A725" s="3"/>
      <c r="B725" s="24"/>
      <c r="C725" s="3"/>
      <c r="D725" s="3"/>
      <c r="E725" s="3"/>
      <c r="F725" s="3"/>
      <c r="G725" s="3"/>
      <c r="H725" s="3"/>
      <c r="I725" s="3"/>
      <c r="J725" s="3"/>
    </row>
    <row r="726" spans="1:10" x14ac:dyDescent="0.3">
      <c r="A726" s="3"/>
      <c r="B726" s="24"/>
      <c r="C726" s="3"/>
      <c r="D726" s="3"/>
      <c r="E726" s="3"/>
      <c r="F726" s="3"/>
      <c r="G726" s="3"/>
      <c r="H726" s="3"/>
      <c r="I726" s="3"/>
      <c r="J726" s="3"/>
    </row>
    <row r="727" spans="1:10" x14ac:dyDescent="0.3">
      <c r="A727" s="3"/>
      <c r="B727" s="24"/>
      <c r="C727" s="3"/>
      <c r="D727" s="3"/>
      <c r="E727" s="3"/>
      <c r="F727" s="3"/>
      <c r="G727" s="3"/>
      <c r="H727" s="3"/>
      <c r="I727" s="3"/>
      <c r="J727" s="3"/>
    </row>
    <row r="728" spans="1:10" x14ac:dyDescent="0.3">
      <c r="A728" s="3"/>
      <c r="B728" s="24"/>
      <c r="C728" s="3"/>
      <c r="D728" s="3"/>
      <c r="E728" s="3"/>
      <c r="F728" s="3"/>
      <c r="G728" s="3"/>
      <c r="H728" s="3"/>
      <c r="I728" s="3"/>
      <c r="J728" s="3"/>
    </row>
    <row r="729" spans="1:10" x14ac:dyDescent="0.3">
      <c r="A729" s="3"/>
      <c r="B729" s="24"/>
      <c r="C729" s="3"/>
      <c r="D729" s="3"/>
      <c r="E729" s="3"/>
      <c r="F729" s="3"/>
      <c r="G729" s="3"/>
      <c r="H729" s="3"/>
      <c r="I729" s="3"/>
      <c r="J729" s="3"/>
    </row>
    <row r="730" spans="1:10" x14ac:dyDescent="0.3">
      <c r="A730" s="3"/>
      <c r="B730" s="24"/>
      <c r="C730" s="3"/>
      <c r="D730" s="3"/>
      <c r="E730" s="3"/>
      <c r="F730" s="3"/>
      <c r="G730" s="3"/>
      <c r="H730" s="3"/>
      <c r="I730" s="3"/>
      <c r="J730" s="3"/>
    </row>
    <row r="731" spans="1:10" x14ac:dyDescent="0.3">
      <c r="A731" s="3"/>
      <c r="B731" s="24"/>
      <c r="C731" s="3"/>
      <c r="D731" s="3"/>
      <c r="E731" s="3"/>
      <c r="F731" s="3"/>
      <c r="G731" s="3"/>
      <c r="H731" s="3"/>
      <c r="I731" s="3"/>
      <c r="J731" s="3"/>
    </row>
    <row r="732" spans="1:10" x14ac:dyDescent="0.3">
      <c r="A732" s="3"/>
      <c r="B732" s="24"/>
      <c r="C732" s="3"/>
      <c r="D732" s="3"/>
      <c r="E732" s="3"/>
      <c r="F732" s="3"/>
      <c r="G732" s="3"/>
      <c r="H732" s="3"/>
      <c r="I732" s="3"/>
      <c r="J732" s="3"/>
    </row>
    <row r="733" spans="1:10" x14ac:dyDescent="0.3">
      <c r="A733" s="3"/>
      <c r="B733" s="24"/>
      <c r="C733" s="3"/>
      <c r="D733" s="3"/>
      <c r="E733" s="3"/>
      <c r="F733" s="3"/>
      <c r="G733" s="3"/>
      <c r="H733" s="3"/>
      <c r="I733" s="3"/>
      <c r="J733" s="3"/>
    </row>
    <row r="734" spans="1:10" x14ac:dyDescent="0.3">
      <c r="A734" s="3"/>
      <c r="B734" s="24"/>
      <c r="C734" s="3"/>
      <c r="D734" s="3"/>
      <c r="E734" s="3"/>
      <c r="F734" s="3"/>
      <c r="G734" s="3"/>
      <c r="H734" s="3"/>
      <c r="I734" s="3"/>
      <c r="J734" s="3"/>
    </row>
    <row r="735" spans="1:10" x14ac:dyDescent="0.3">
      <c r="A735" s="3"/>
      <c r="B735" s="24"/>
      <c r="C735" s="3"/>
      <c r="D735" s="3"/>
      <c r="E735" s="3"/>
      <c r="F735" s="3"/>
      <c r="G735" s="3"/>
      <c r="H735" s="3"/>
      <c r="I735" s="3"/>
      <c r="J735" s="3"/>
    </row>
    <row r="736" spans="1:10" x14ac:dyDescent="0.3">
      <c r="A736" s="3"/>
      <c r="B736" s="24"/>
      <c r="C736" s="3"/>
      <c r="D736" s="3"/>
      <c r="E736" s="3"/>
      <c r="F736" s="3"/>
      <c r="G736" s="3"/>
      <c r="H736" s="3"/>
      <c r="I736" s="3"/>
      <c r="J736" s="3"/>
    </row>
    <row r="737" spans="1:10" x14ac:dyDescent="0.3">
      <c r="A737" s="3"/>
      <c r="B737" s="24"/>
      <c r="C737" s="3"/>
      <c r="D737" s="3"/>
      <c r="E737" s="3"/>
      <c r="F737" s="3"/>
      <c r="G737" s="3"/>
      <c r="H737" s="3"/>
      <c r="I737" s="3"/>
      <c r="J737" s="3"/>
    </row>
    <row r="738" spans="1:10" x14ac:dyDescent="0.3">
      <c r="A738" s="3"/>
      <c r="B738" s="24"/>
      <c r="C738" s="3"/>
      <c r="D738" s="3"/>
      <c r="E738" s="3"/>
      <c r="F738" s="3"/>
      <c r="G738" s="3"/>
      <c r="H738" s="3"/>
      <c r="I738" s="3"/>
      <c r="J738" s="3"/>
    </row>
    <row r="739" spans="1:10" x14ac:dyDescent="0.3">
      <c r="A739" s="3"/>
      <c r="B739" s="24"/>
      <c r="C739" s="3"/>
      <c r="D739" s="3"/>
      <c r="E739" s="3"/>
      <c r="F739" s="3"/>
      <c r="G739" s="3"/>
      <c r="H739" s="3"/>
      <c r="I739" s="3"/>
      <c r="J739" s="3"/>
    </row>
    <row r="740" spans="1:10" x14ac:dyDescent="0.3">
      <c r="A740" s="3"/>
      <c r="B740" s="24"/>
      <c r="C740" s="3"/>
      <c r="D740" s="3"/>
      <c r="E740" s="3"/>
      <c r="F740" s="3"/>
      <c r="G740" s="3"/>
      <c r="H740" s="3"/>
      <c r="I740" s="3"/>
      <c r="J740" s="3"/>
    </row>
    <row r="741" spans="1:10" x14ac:dyDescent="0.3">
      <c r="A741" s="3"/>
      <c r="B741" s="24"/>
      <c r="C741" s="3"/>
      <c r="D741" s="3"/>
      <c r="E741" s="3"/>
      <c r="F741" s="3"/>
      <c r="G741" s="3"/>
      <c r="H741" s="3"/>
      <c r="I741" s="3"/>
      <c r="J741" s="3"/>
    </row>
    <row r="742" spans="1:10" x14ac:dyDescent="0.3">
      <c r="A742" s="3"/>
      <c r="B742" s="24"/>
      <c r="C742" s="3"/>
      <c r="D742" s="3"/>
      <c r="E742" s="3"/>
      <c r="F742" s="3"/>
      <c r="G742" s="3"/>
      <c r="H742" s="3"/>
      <c r="I742" s="3"/>
      <c r="J742" s="3"/>
    </row>
    <row r="743" spans="1:10" x14ac:dyDescent="0.3">
      <c r="A743" s="3"/>
      <c r="B743" s="24"/>
      <c r="C743" s="3"/>
      <c r="D743" s="3"/>
      <c r="E743" s="3"/>
      <c r="F743" s="3"/>
      <c r="G743" s="3"/>
      <c r="H743" s="3"/>
      <c r="I743" s="3"/>
      <c r="J743" s="3"/>
    </row>
    <row r="744" spans="1:10" x14ac:dyDescent="0.3">
      <c r="A744" s="3"/>
      <c r="B744" s="24"/>
      <c r="C744" s="3"/>
      <c r="D744" s="3"/>
      <c r="E744" s="3"/>
      <c r="F744" s="3"/>
      <c r="G744" s="3"/>
      <c r="H744" s="3"/>
      <c r="I744" s="3"/>
      <c r="J744" s="3"/>
    </row>
    <row r="745" spans="1:10" x14ac:dyDescent="0.3">
      <c r="A745" s="3"/>
      <c r="B745" s="24"/>
      <c r="C745" s="3"/>
      <c r="D745" s="3"/>
      <c r="E745" s="3"/>
      <c r="F745" s="3"/>
      <c r="G745" s="3"/>
      <c r="H745" s="3"/>
      <c r="I745" s="3"/>
      <c r="J745" s="3"/>
    </row>
    <row r="746" spans="1:10" x14ac:dyDescent="0.3">
      <c r="A746" s="3"/>
      <c r="B746" s="24"/>
      <c r="C746" s="3"/>
      <c r="D746" s="3"/>
      <c r="E746" s="3"/>
      <c r="F746" s="3"/>
      <c r="G746" s="3"/>
      <c r="H746" s="3"/>
      <c r="I746" s="3"/>
      <c r="J746" s="3"/>
    </row>
    <row r="747" spans="1:10" x14ac:dyDescent="0.3">
      <c r="A747" s="3"/>
      <c r="B747" s="24"/>
      <c r="C747" s="3"/>
      <c r="D747" s="3"/>
      <c r="E747" s="3"/>
      <c r="F747" s="3"/>
      <c r="G747" s="3"/>
      <c r="H747" s="3"/>
      <c r="I747" s="3"/>
      <c r="J747" s="3"/>
    </row>
    <row r="748" spans="1:10" x14ac:dyDescent="0.3">
      <c r="A748" s="3"/>
      <c r="B748" s="24"/>
      <c r="C748" s="3"/>
      <c r="D748" s="3"/>
      <c r="E748" s="3"/>
      <c r="F748" s="3"/>
      <c r="G748" s="3"/>
      <c r="H748" s="3"/>
      <c r="I748" s="3"/>
      <c r="J748" s="3"/>
    </row>
    <row r="749" spans="1:10" x14ac:dyDescent="0.3">
      <c r="A749" s="3"/>
      <c r="B749" s="24"/>
      <c r="C749" s="3"/>
      <c r="D749" s="3"/>
      <c r="E749" s="3"/>
      <c r="F749" s="3"/>
      <c r="G749" s="3"/>
      <c r="H749" s="3"/>
      <c r="I749" s="3"/>
      <c r="J749" s="3"/>
    </row>
    <row r="750" spans="1:10" x14ac:dyDescent="0.3">
      <c r="A750" s="3"/>
      <c r="B750" s="24"/>
      <c r="C750" s="3"/>
      <c r="D750" s="3"/>
      <c r="E750" s="3"/>
      <c r="F750" s="3"/>
      <c r="G750" s="3"/>
      <c r="H750" s="3"/>
      <c r="I750" s="3"/>
      <c r="J750" s="3"/>
    </row>
    <row r="751" spans="1:10" x14ac:dyDescent="0.3">
      <c r="A751" s="3"/>
      <c r="B751" s="24"/>
      <c r="C751" s="3"/>
      <c r="D751" s="3"/>
      <c r="E751" s="3"/>
      <c r="F751" s="3"/>
      <c r="G751" s="3"/>
      <c r="H751" s="3"/>
      <c r="I751" s="3"/>
      <c r="J751" s="3"/>
    </row>
    <row r="752" spans="1:10" x14ac:dyDescent="0.3">
      <c r="A752" s="3"/>
      <c r="B752" s="24"/>
      <c r="C752" s="3"/>
      <c r="D752" s="3"/>
      <c r="E752" s="3"/>
      <c r="F752" s="3"/>
      <c r="G752" s="3"/>
      <c r="H752" s="3"/>
      <c r="I752" s="3"/>
      <c r="J752" s="3"/>
    </row>
    <row r="753" spans="1:10" x14ac:dyDescent="0.3">
      <c r="A753" s="3"/>
      <c r="B753" s="24"/>
      <c r="C753" s="3"/>
      <c r="D753" s="3"/>
      <c r="E753" s="3"/>
      <c r="F753" s="3"/>
      <c r="G753" s="3"/>
      <c r="H753" s="3"/>
      <c r="I753" s="3"/>
      <c r="J753" s="3"/>
    </row>
    <row r="754" spans="1:10" x14ac:dyDescent="0.3">
      <c r="A754" s="3"/>
      <c r="B754" s="24"/>
      <c r="C754" s="3"/>
      <c r="D754" s="3"/>
      <c r="E754" s="3"/>
      <c r="F754" s="3"/>
      <c r="G754" s="3"/>
      <c r="H754" s="3"/>
      <c r="I754" s="3"/>
      <c r="J754" s="3"/>
    </row>
    <row r="755" spans="1:10" x14ac:dyDescent="0.3">
      <c r="A755" s="3"/>
      <c r="B755" s="24"/>
      <c r="C755" s="3"/>
      <c r="D755" s="3"/>
      <c r="E755" s="3"/>
      <c r="F755" s="3"/>
      <c r="G755" s="3"/>
      <c r="H755" s="3"/>
      <c r="I755" s="3"/>
      <c r="J755" s="3"/>
    </row>
    <row r="756" spans="1:10" x14ac:dyDescent="0.3">
      <c r="A756" s="3"/>
      <c r="B756" s="24"/>
      <c r="C756" s="3"/>
      <c r="D756" s="3"/>
      <c r="E756" s="3"/>
      <c r="F756" s="3"/>
      <c r="G756" s="3"/>
      <c r="H756" s="3"/>
      <c r="I756" s="3"/>
      <c r="J756" s="3"/>
    </row>
    <row r="757" spans="1:10" x14ac:dyDescent="0.3">
      <c r="A757" s="3"/>
      <c r="B757" s="24"/>
      <c r="C757" s="3"/>
      <c r="D757" s="3"/>
      <c r="E757" s="3"/>
      <c r="F757" s="3"/>
      <c r="G757" s="3"/>
      <c r="H757" s="3"/>
      <c r="I757" s="3"/>
      <c r="J757" s="3"/>
    </row>
    <row r="758" spans="1:10" x14ac:dyDescent="0.3">
      <c r="A758" s="3"/>
      <c r="B758" s="24"/>
      <c r="C758" s="3"/>
      <c r="D758" s="3"/>
      <c r="E758" s="3"/>
      <c r="F758" s="3"/>
      <c r="G758" s="3"/>
      <c r="H758" s="3"/>
      <c r="I758" s="3"/>
      <c r="J758" s="3"/>
    </row>
    <row r="759" spans="1:10" x14ac:dyDescent="0.3">
      <c r="A759" s="3"/>
      <c r="B759" s="24"/>
      <c r="C759" s="3"/>
      <c r="D759" s="3"/>
      <c r="E759" s="3"/>
      <c r="F759" s="3"/>
      <c r="G759" s="3"/>
      <c r="H759" s="3"/>
      <c r="I759" s="3"/>
      <c r="J759" s="3"/>
    </row>
    <row r="760" spans="1:10" x14ac:dyDescent="0.3">
      <c r="A760" s="3"/>
      <c r="B760" s="24"/>
      <c r="C760" s="3"/>
      <c r="D760" s="3"/>
      <c r="E760" s="3"/>
      <c r="F760" s="3"/>
      <c r="G760" s="3"/>
      <c r="H760" s="3"/>
      <c r="I760" s="3"/>
      <c r="J760" s="3"/>
    </row>
    <row r="761" spans="1:10" x14ac:dyDescent="0.3">
      <c r="A761" s="3"/>
      <c r="B761" s="24"/>
      <c r="C761" s="3"/>
      <c r="D761" s="3"/>
      <c r="E761" s="3"/>
      <c r="F761" s="3"/>
      <c r="G761" s="3"/>
      <c r="H761" s="3"/>
      <c r="I761" s="3"/>
      <c r="J761" s="3"/>
    </row>
    <row r="762" spans="1:10" x14ac:dyDescent="0.3">
      <c r="A762" s="3"/>
      <c r="B762" s="24"/>
      <c r="C762" s="3"/>
      <c r="D762" s="3"/>
      <c r="E762" s="3"/>
      <c r="F762" s="3"/>
      <c r="G762" s="3"/>
      <c r="H762" s="3"/>
      <c r="I762" s="3"/>
      <c r="J762" s="3"/>
    </row>
    <row r="763" spans="1:10" x14ac:dyDescent="0.3">
      <c r="A763" s="3"/>
      <c r="B763" s="24"/>
      <c r="C763" s="3"/>
      <c r="D763" s="3"/>
      <c r="E763" s="3"/>
      <c r="F763" s="3"/>
      <c r="G763" s="3"/>
      <c r="H763" s="3"/>
      <c r="I763" s="3"/>
      <c r="J763" s="3"/>
    </row>
    <row r="764" spans="1:10" x14ac:dyDescent="0.3">
      <c r="A764" s="3"/>
      <c r="B764" s="24"/>
      <c r="C764" s="3"/>
      <c r="D764" s="3"/>
      <c r="E764" s="3"/>
      <c r="F764" s="3"/>
      <c r="G764" s="3"/>
      <c r="H764" s="3"/>
      <c r="I764" s="3"/>
      <c r="J764" s="3"/>
    </row>
    <row r="765" spans="1:10" x14ac:dyDescent="0.3">
      <c r="A765" s="3"/>
      <c r="B765" s="24"/>
      <c r="C765" s="3"/>
      <c r="D765" s="3"/>
      <c r="E765" s="3"/>
      <c r="F765" s="3"/>
      <c r="G765" s="3"/>
      <c r="H765" s="3"/>
      <c r="I765" s="3"/>
      <c r="J765" s="3"/>
    </row>
    <row r="766" spans="1:10" x14ac:dyDescent="0.3">
      <c r="A766" s="3"/>
      <c r="B766" s="24"/>
      <c r="C766" s="3"/>
      <c r="D766" s="3"/>
      <c r="E766" s="3"/>
      <c r="F766" s="3"/>
      <c r="G766" s="3"/>
      <c r="H766" s="3"/>
      <c r="I766" s="3"/>
      <c r="J766" s="3"/>
    </row>
    <row r="767" spans="1:10" x14ac:dyDescent="0.3">
      <c r="A767" s="3"/>
      <c r="B767" s="24"/>
      <c r="C767" s="3"/>
      <c r="D767" s="3"/>
      <c r="E767" s="3"/>
      <c r="F767" s="3"/>
      <c r="G767" s="3"/>
      <c r="H767" s="3"/>
      <c r="I767" s="3"/>
      <c r="J767" s="3"/>
    </row>
    <row r="768" spans="1:10" x14ac:dyDescent="0.3">
      <c r="A768" s="3"/>
      <c r="B768" s="24"/>
      <c r="C768" s="3"/>
      <c r="D768" s="3"/>
      <c r="E768" s="3"/>
      <c r="F768" s="3"/>
      <c r="G768" s="3"/>
      <c r="H768" s="3"/>
      <c r="I768" s="3"/>
      <c r="J768" s="3"/>
    </row>
    <row r="769" spans="1:10" x14ac:dyDescent="0.3">
      <c r="A769" s="3"/>
      <c r="B769" s="24"/>
      <c r="C769" s="3"/>
      <c r="D769" s="3"/>
      <c r="E769" s="3"/>
      <c r="F769" s="3"/>
      <c r="G769" s="3"/>
      <c r="H769" s="3"/>
      <c r="I769" s="3"/>
      <c r="J769" s="3"/>
    </row>
    <row r="770" spans="1:10" x14ac:dyDescent="0.3">
      <c r="A770" s="3"/>
      <c r="B770" s="24"/>
      <c r="C770" s="3"/>
      <c r="D770" s="3"/>
      <c r="E770" s="3"/>
      <c r="F770" s="3"/>
      <c r="G770" s="3"/>
      <c r="H770" s="3"/>
      <c r="I770" s="3"/>
      <c r="J770" s="3"/>
    </row>
    <row r="771" spans="1:10" x14ac:dyDescent="0.3">
      <c r="A771" s="3"/>
      <c r="B771" s="24"/>
      <c r="C771" s="3"/>
      <c r="D771" s="3"/>
      <c r="E771" s="3"/>
      <c r="F771" s="3"/>
      <c r="G771" s="3"/>
      <c r="H771" s="3"/>
      <c r="I771" s="3"/>
      <c r="J771" s="3"/>
    </row>
    <row r="772" spans="1:10" x14ac:dyDescent="0.3">
      <c r="A772" s="3"/>
      <c r="B772" s="24"/>
      <c r="C772" s="3"/>
      <c r="D772" s="3"/>
      <c r="E772" s="3"/>
      <c r="F772" s="3"/>
      <c r="G772" s="3"/>
      <c r="H772" s="3"/>
      <c r="I772" s="3"/>
      <c r="J772" s="3"/>
    </row>
    <row r="773" spans="1:10" x14ac:dyDescent="0.3">
      <c r="A773" s="3"/>
      <c r="B773" s="24"/>
      <c r="C773" s="3"/>
      <c r="D773" s="3"/>
      <c r="E773" s="3"/>
      <c r="F773" s="3"/>
      <c r="G773" s="3"/>
      <c r="H773" s="3"/>
      <c r="I773" s="3"/>
      <c r="J773" s="3"/>
    </row>
    <row r="774" spans="1:10" x14ac:dyDescent="0.3">
      <c r="A774" s="3"/>
      <c r="B774" s="24"/>
      <c r="C774" s="3"/>
      <c r="D774" s="3"/>
      <c r="E774" s="3"/>
      <c r="F774" s="3"/>
      <c r="G774" s="3"/>
      <c r="H774" s="3"/>
      <c r="I774" s="3"/>
      <c r="J774" s="3"/>
    </row>
    <row r="775" spans="1:10" x14ac:dyDescent="0.3">
      <c r="A775" s="3"/>
      <c r="B775" s="24"/>
      <c r="C775" s="3"/>
      <c r="D775" s="3"/>
      <c r="E775" s="3"/>
      <c r="F775" s="3"/>
      <c r="G775" s="3"/>
      <c r="H775" s="3"/>
      <c r="I775" s="3"/>
      <c r="J775" s="3"/>
    </row>
    <row r="776" spans="1:10" x14ac:dyDescent="0.3">
      <c r="A776" s="3"/>
      <c r="B776" s="24"/>
      <c r="C776" s="3"/>
      <c r="D776" s="3"/>
      <c r="E776" s="3"/>
      <c r="F776" s="3"/>
      <c r="G776" s="3"/>
      <c r="H776" s="3"/>
      <c r="I776" s="3"/>
      <c r="J776" s="3"/>
    </row>
    <row r="777" spans="1:10" x14ac:dyDescent="0.3">
      <c r="A777" s="3"/>
      <c r="B777" s="24"/>
      <c r="C777" s="3"/>
      <c r="D777" s="3"/>
      <c r="E777" s="3"/>
      <c r="F777" s="3"/>
      <c r="G777" s="3"/>
      <c r="H777" s="3"/>
      <c r="I777" s="3"/>
      <c r="J777" s="3"/>
    </row>
    <row r="778" spans="1:10" x14ac:dyDescent="0.3">
      <c r="A778" s="3"/>
      <c r="B778" s="24"/>
      <c r="C778" s="3"/>
      <c r="D778" s="3"/>
      <c r="E778" s="3"/>
      <c r="F778" s="3"/>
      <c r="G778" s="3"/>
      <c r="H778" s="3"/>
      <c r="I778" s="3"/>
      <c r="J778" s="3"/>
    </row>
    <row r="779" spans="1:10" x14ac:dyDescent="0.3">
      <c r="A779" s="3"/>
      <c r="B779" s="24"/>
      <c r="C779" s="3"/>
      <c r="D779" s="3"/>
      <c r="E779" s="3"/>
      <c r="F779" s="3"/>
      <c r="G779" s="3"/>
      <c r="H779" s="3"/>
      <c r="I779" s="3"/>
      <c r="J779" s="3"/>
    </row>
    <row r="780" spans="1:10" x14ac:dyDescent="0.3">
      <c r="A780" s="3"/>
      <c r="B780" s="24"/>
      <c r="C780" s="3"/>
      <c r="D780" s="3"/>
      <c r="E780" s="3"/>
      <c r="F780" s="3"/>
      <c r="G780" s="3"/>
      <c r="H780" s="3"/>
      <c r="I780" s="3"/>
      <c r="J780" s="3"/>
    </row>
    <row r="781" spans="1:10" x14ac:dyDescent="0.3">
      <c r="A781" s="3"/>
      <c r="B781" s="24"/>
      <c r="C781" s="3"/>
      <c r="D781" s="3"/>
      <c r="E781" s="3"/>
      <c r="F781" s="3"/>
      <c r="G781" s="3"/>
      <c r="H781" s="3"/>
      <c r="I781" s="3"/>
      <c r="J781" s="3"/>
    </row>
    <row r="782" spans="1:10" x14ac:dyDescent="0.3">
      <c r="A782" s="3"/>
      <c r="B782" s="24"/>
      <c r="C782" s="3"/>
      <c r="D782" s="3"/>
      <c r="E782" s="3"/>
      <c r="F782" s="3"/>
      <c r="G782" s="3"/>
      <c r="H782" s="3"/>
      <c r="I782" s="3"/>
      <c r="J782" s="3"/>
    </row>
    <row r="783" spans="1:10" x14ac:dyDescent="0.3">
      <c r="A783" s="3"/>
      <c r="B783" s="24"/>
      <c r="C783" s="3"/>
      <c r="D783" s="3"/>
      <c r="E783" s="3"/>
      <c r="F783" s="3"/>
      <c r="G783" s="3"/>
      <c r="H783" s="3"/>
      <c r="I783" s="3"/>
      <c r="J783" s="3"/>
    </row>
    <row r="784" spans="1:10" x14ac:dyDescent="0.3">
      <c r="A784" s="3"/>
      <c r="B784" s="24"/>
      <c r="C784" s="3"/>
      <c r="D784" s="3"/>
      <c r="E784" s="3"/>
      <c r="F784" s="3"/>
      <c r="G784" s="3"/>
      <c r="H784" s="3"/>
      <c r="I784" s="3"/>
      <c r="J784" s="3"/>
    </row>
    <row r="785" spans="1:10" x14ac:dyDescent="0.3">
      <c r="A785" s="3"/>
      <c r="B785" s="24"/>
      <c r="C785" s="3"/>
      <c r="D785" s="3"/>
      <c r="E785" s="3"/>
      <c r="F785" s="3"/>
      <c r="G785" s="3"/>
      <c r="H785" s="3"/>
      <c r="I785" s="3"/>
      <c r="J785" s="3"/>
    </row>
    <row r="786" spans="1:10" x14ac:dyDescent="0.3">
      <c r="A786" s="3"/>
      <c r="B786" s="24"/>
      <c r="C786" s="3"/>
      <c r="D786" s="3"/>
      <c r="E786" s="3"/>
      <c r="F786" s="3"/>
      <c r="G786" s="3"/>
      <c r="H786" s="3"/>
      <c r="I786" s="3"/>
      <c r="J786" s="3"/>
    </row>
    <row r="787" spans="1:10" x14ac:dyDescent="0.3">
      <c r="A787" s="3"/>
      <c r="B787" s="24"/>
      <c r="C787" s="3"/>
      <c r="D787" s="3"/>
      <c r="E787" s="3"/>
      <c r="F787" s="3"/>
      <c r="G787" s="3"/>
      <c r="H787" s="3"/>
      <c r="I787" s="3"/>
      <c r="J787" s="3"/>
    </row>
    <row r="788" spans="1:10" x14ac:dyDescent="0.3">
      <c r="A788" s="3"/>
      <c r="B788" s="24"/>
      <c r="C788" s="3"/>
      <c r="D788" s="3"/>
      <c r="E788" s="3"/>
      <c r="F788" s="3"/>
      <c r="G788" s="3"/>
      <c r="H788" s="3"/>
      <c r="I788" s="3"/>
      <c r="J788" s="3"/>
    </row>
    <row r="789" spans="1:10" x14ac:dyDescent="0.3">
      <c r="A789" s="3"/>
      <c r="B789" s="24"/>
      <c r="C789" s="3"/>
      <c r="D789" s="3"/>
      <c r="E789" s="3"/>
      <c r="F789" s="3"/>
      <c r="G789" s="3"/>
      <c r="H789" s="3"/>
      <c r="I789" s="3"/>
      <c r="J789" s="3"/>
    </row>
    <row r="790" spans="1:10" x14ac:dyDescent="0.3">
      <c r="A790" s="3"/>
      <c r="B790" s="24"/>
      <c r="C790" s="3"/>
      <c r="D790" s="3"/>
      <c r="E790" s="3"/>
      <c r="F790" s="3"/>
      <c r="G790" s="3"/>
      <c r="H790" s="3"/>
      <c r="I790" s="3"/>
      <c r="J790" s="3"/>
    </row>
    <row r="791" spans="1:10" x14ac:dyDescent="0.3">
      <c r="A791" s="3"/>
      <c r="B791" s="24"/>
      <c r="C791" s="3"/>
      <c r="D791" s="3"/>
      <c r="E791" s="3"/>
      <c r="F791" s="3"/>
      <c r="G791" s="3"/>
      <c r="H791" s="3"/>
      <c r="I791" s="3"/>
      <c r="J791" s="3"/>
    </row>
    <row r="792" spans="1:10" x14ac:dyDescent="0.3">
      <c r="A792" s="3"/>
      <c r="B792" s="24"/>
      <c r="C792" s="3"/>
      <c r="D792" s="3"/>
      <c r="E792" s="3"/>
      <c r="F792" s="3"/>
      <c r="G792" s="3"/>
      <c r="H792" s="3"/>
      <c r="I792" s="3"/>
      <c r="J792" s="3"/>
    </row>
    <row r="793" spans="1:10" x14ac:dyDescent="0.3">
      <c r="A793" s="3"/>
      <c r="B793" s="24"/>
      <c r="C793" s="3"/>
      <c r="D793" s="3"/>
      <c r="E793" s="3"/>
      <c r="F793" s="3"/>
      <c r="G793" s="3"/>
      <c r="H793" s="3"/>
      <c r="I793" s="3"/>
      <c r="J793" s="3"/>
    </row>
    <row r="794" spans="1:10" x14ac:dyDescent="0.3">
      <c r="A794" s="3"/>
      <c r="B794" s="24"/>
      <c r="C794" s="3"/>
      <c r="D794" s="3"/>
      <c r="E794" s="3"/>
      <c r="F794" s="3"/>
      <c r="G794" s="3"/>
      <c r="H794" s="3"/>
      <c r="I794" s="3"/>
      <c r="J794" s="3"/>
    </row>
    <row r="795" spans="1:10" x14ac:dyDescent="0.3">
      <c r="A795" s="3"/>
      <c r="B795" s="24"/>
      <c r="C795" s="3"/>
      <c r="D795" s="3"/>
      <c r="E795" s="3"/>
      <c r="F795" s="3"/>
      <c r="G795" s="3"/>
      <c r="H795" s="3"/>
      <c r="I795" s="3"/>
      <c r="J795" s="3"/>
    </row>
    <row r="796" spans="1:10" x14ac:dyDescent="0.3">
      <c r="A796" s="3"/>
      <c r="B796" s="24"/>
      <c r="C796" s="3"/>
      <c r="D796" s="3"/>
      <c r="E796" s="3"/>
      <c r="F796" s="3"/>
      <c r="G796" s="3"/>
      <c r="H796" s="3"/>
      <c r="I796" s="3"/>
      <c r="J796" s="3"/>
    </row>
    <row r="797" spans="1:10" x14ac:dyDescent="0.3">
      <c r="A797" s="3"/>
      <c r="B797" s="24"/>
      <c r="C797" s="3"/>
      <c r="D797" s="3"/>
      <c r="E797" s="3"/>
      <c r="F797" s="3"/>
      <c r="G797" s="3"/>
      <c r="H797" s="3"/>
      <c r="I797" s="3"/>
      <c r="J797" s="3"/>
    </row>
    <row r="798" spans="1:10" x14ac:dyDescent="0.3">
      <c r="A798" s="3"/>
      <c r="B798" s="24"/>
      <c r="C798" s="3"/>
      <c r="D798" s="3"/>
      <c r="E798" s="3"/>
      <c r="F798" s="3"/>
      <c r="G798" s="3"/>
      <c r="H798" s="3"/>
      <c r="I798" s="3"/>
      <c r="J798" s="3"/>
    </row>
    <row r="799" spans="1:10" x14ac:dyDescent="0.3">
      <c r="A799" s="3"/>
      <c r="B799" s="24"/>
      <c r="C799" s="3"/>
      <c r="D799" s="3"/>
      <c r="E799" s="3"/>
      <c r="F799" s="3"/>
      <c r="G799" s="3"/>
      <c r="H799" s="3"/>
      <c r="I799" s="3"/>
      <c r="J799" s="3"/>
    </row>
    <row r="800" spans="1:10" x14ac:dyDescent="0.3">
      <c r="A800" s="3"/>
      <c r="B800" s="24"/>
      <c r="C800" s="3"/>
      <c r="D800" s="3"/>
      <c r="E800" s="3"/>
      <c r="F800" s="3"/>
      <c r="G800" s="3"/>
      <c r="H800" s="3"/>
      <c r="I800" s="3"/>
      <c r="J800" s="3"/>
    </row>
    <row r="801" spans="1:10" x14ac:dyDescent="0.3">
      <c r="A801" s="3"/>
      <c r="B801" s="24"/>
      <c r="C801" s="3"/>
      <c r="D801" s="3"/>
      <c r="E801" s="3"/>
      <c r="F801" s="3"/>
      <c r="G801" s="3"/>
      <c r="H801" s="3"/>
      <c r="I801" s="3"/>
      <c r="J801" s="3"/>
    </row>
    <row r="802" spans="1:10" x14ac:dyDescent="0.3">
      <c r="A802" s="3"/>
      <c r="B802" s="24"/>
      <c r="C802" s="3"/>
      <c r="D802" s="3"/>
      <c r="E802" s="3"/>
      <c r="F802" s="3"/>
      <c r="G802" s="3"/>
      <c r="H802" s="3"/>
      <c r="I802" s="3"/>
      <c r="J802" s="3"/>
    </row>
    <row r="803" spans="1:10" x14ac:dyDescent="0.3">
      <c r="A803" s="3"/>
      <c r="B803" s="24"/>
      <c r="C803" s="3"/>
      <c r="D803" s="3"/>
      <c r="E803" s="3"/>
      <c r="F803" s="3"/>
      <c r="G803" s="3"/>
      <c r="H803" s="3"/>
      <c r="I803" s="3"/>
      <c r="J803" s="3"/>
    </row>
    <row r="804" spans="1:10" x14ac:dyDescent="0.3">
      <c r="A804" s="3"/>
      <c r="B804" s="24"/>
      <c r="C804" s="3"/>
      <c r="D804" s="3"/>
      <c r="E804" s="3"/>
      <c r="F804" s="3"/>
      <c r="G804" s="3"/>
      <c r="H804" s="3"/>
      <c r="I804" s="3"/>
      <c r="J804" s="3"/>
    </row>
    <row r="805" spans="1:10" x14ac:dyDescent="0.3">
      <c r="A805" s="3"/>
      <c r="B805" s="24"/>
      <c r="C805" s="3"/>
      <c r="D805" s="3"/>
      <c r="E805" s="3"/>
      <c r="F805" s="3"/>
      <c r="G805" s="3"/>
      <c r="H805" s="3"/>
      <c r="I805" s="3"/>
      <c r="J805" s="3"/>
    </row>
    <row r="806" spans="1:10" x14ac:dyDescent="0.3">
      <c r="A806" s="3"/>
      <c r="B806" s="24"/>
      <c r="C806" s="3"/>
      <c r="D806" s="3"/>
      <c r="E806" s="3"/>
      <c r="F806" s="3"/>
      <c r="G806" s="3"/>
      <c r="H806" s="3"/>
      <c r="I806" s="3"/>
      <c r="J806" s="3"/>
    </row>
    <row r="807" spans="1:10" x14ac:dyDescent="0.3">
      <c r="A807" s="3"/>
      <c r="B807" s="24"/>
      <c r="C807" s="3"/>
      <c r="D807" s="3"/>
      <c r="E807" s="3"/>
      <c r="F807" s="3"/>
      <c r="G807" s="3"/>
      <c r="H807" s="3"/>
      <c r="I807" s="3"/>
      <c r="J807" s="3"/>
    </row>
    <row r="808" spans="1:10" x14ac:dyDescent="0.3">
      <c r="A808" s="3"/>
      <c r="B808" s="24"/>
      <c r="C808" s="3"/>
      <c r="D808" s="3"/>
      <c r="E808" s="3"/>
      <c r="F808" s="3"/>
      <c r="G808" s="3"/>
      <c r="H808" s="3"/>
      <c r="I808" s="3"/>
      <c r="J808" s="3"/>
    </row>
    <row r="809" spans="1:10" x14ac:dyDescent="0.3">
      <c r="A809" s="3"/>
      <c r="B809" s="24"/>
      <c r="C809" s="3"/>
      <c r="D809" s="3"/>
      <c r="E809" s="3"/>
      <c r="F809" s="3"/>
      <c r="G809" s="3"/>
      <c r="H809" s="3"/>
      <c r="I809" s="3"/>
      <c r="J809" s="3"/>
    </row>
    <row r="810" spans="1:10" x14ac:dyDescent="0.3">
      <c r="A810" s="3"/>
      <c r="B810" s="24"/>
      <c r="C810" s="3"/>
      <c r="D810" s="3"/>
      <c r="E810" s="3"/>
      <c r="F810" s="3"/>
      <c r="G810" s="3"/>
      <c r="H810" s="3"/>
      <c r="I810" s="3"/>
      <c r="J810" s="3"/>
    </row>
    <row r="811" spans="1:10" x14ac:dyDescent="0.3">
      <c r="A811" s="3"/>
      <c r="B811" s="24"/>
      <c r="C811" s="3"/>
      <c r="D811" s="3"/>
      <c r="E811" s="3"/>
      <c r="F811" s="3"/>
      <c r="G811" s="3"/>
      <c r="H811" s="3"/>
      <c r="I811" s="3"/>
      <c r="J811" s="3"/>
    </row>
    <row r="812" spans="1:10" x14ac:dyDescent="0.3">
      <c r="A812" s="3"/>
      <c r="B812" s="24"/>
      <c r="C812" s="3"/>
      <c r="D812" s="3"/>
      <c r="E812" s="3"/>
      <c r="F812" s="3"/>
      <c r="G812" s="3"/>
      <c r="H812" s="3"/>
      <c r="I812" s="3"/>
      <c r="J812" s="3"/>
    </row>
    <row r="813" spans="1:10" x14ac:dyDescent="0.3">
      <c r="A813" s="3"/>
      <c r="B813" s="24"/>
      <c r="C813" s="3"/>
      <c r="D813" s="3"/>
      <c r="E813" s="3"/>
      <c r="F813" s="3"/>
      <c r="G813" s="3"/>
      <c r="H813" s="3"/>
      <c r="I813" s="3"/>
      <c r="J813" s="3"/>
    </row>
    <row r="814" spans="1:10" x14ac:dyDescent="0.3">
      <c r="A814" s="3"/>
      <c r="B814" s="24"/>
      <c r="C814" s="3"/>
      <c r="D814" s="3"/>
      <c r="E814" s="3"/>
      <c r="F814" s="3"/>
      <c r="G814" s="3"/>
      <c r="H814" s="3"/>
      <c r="I814" s="3"/>
      <c r="J814" s="3"/>
    </row>
    <row r="815" spans="1:10" x14ac:dyDescent="0.3">
      <c r="A815" s="3"/>
      <c r="B815" s="24"/>
      <c r="C815" s="3"/>
      <c r="D815" s="3"/>
      <c r="E815" s="3"/>
      <c r="F815" s="3"/>
      <c r="G815" s="3"/>
      <c r="H815" s="3"/>
      <c r="I815" s="3"/>
      <c r="J815" s="3"/>
    </row>
    <row r="816" spans="1:10" x14ac:dyDescent="0.3">
      <c r="A816" s="3"/>
      <c r="B816" s="24"/>
      <c r="C816" s="3"/>
      <c r="D816" s="3"/>
      <c r="E816" s="3"/>
      <c r="F816" s="3"/>
      <c r="G816" s="3"/>
      <c r="H816" s="3"/>
      <c r="I816" s="3"/>
      <c r="J8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E72-6FFD-4ED3-B326-E900EE397E1B}">
  <sheetPr codeName="Sheet6">
    <tabColor theme="5" tint="0.79998168889431442"/>
  </sheetPr>
  <dimension ref="A1:B19"/>
  <sheetViews>
    <sheetView workbookViewId="0">
      <selection activeCell="D17" sqref="D17"/>
    </sheetView>
  </sheetViews>
  <sheetFormatPr defaultRowHeight="14.4" x14ac:dyDescent="0.3"/>
  <cols>
    <col min="1" max="1" width="27.77734375" bestFit="1" customWidth="1"/>
    <col min="2" max="2" width="30.77734375" customWidth="1"/>
    <col min="3" max="3" width="18.109375" bestFit="1" customWidth="1"/>
  </cols>
  <sheetData>
    <row r="1" spans="1:2" ht="21" x14ac:dyDescent="0.4">
      <c r="A1" s="40" t="s">
        <v>89</v>
      </c>
      <c r="B1" s="40"/>
    </row>
    <row r="2" spans="1:2" x14ac:dyDescent="0.3">
      <c r="A2" s="5" t="s">
        <v>33</v>
      </c>
      <c r="B2" s="6" t="s">
        <v>34</v>
      </c>
    </row>
    <row r="3" spans="1:2" x14ac:dyDescent="0.3">
      <c r="A3" s="7" t="s">
        <v>35</v>
      </c>
      <c r="B3" s="34" t="str" cm="1">
        <f t="array" ref="B3">_xll.TickerStream("BTCUSDT", "E")</f>
        <v>2025-12-19 09:06:06</v>
      </c>
    </row>
    <row r="4" spans="1:2" x14ac:dyDescent="0.3">
      <c r="A4" s="7" t="s">
        <v>36</v>
      </c>
      <c r="B4" s="34" t="str" cm="1">
        <f t="array" ref="B4">_xll.TickerStream("BTCUSDT", "s")</f>
        <v>BTCUSDT</v>
      </c>
    </row>
    <row r="5" spans="1:2" x14ac:dyDescent="0.3">
      <c r="A5" s="7" t="s">
        <v>37</v>
      </c>
      <c r="B5" s="34" cm="1">
        <f t="array" ref="B5">_xll.TickerStream("BTCUSDT", "p")</f>
        <v>1083.46</v>
      </c>
    </row>
    <row r="6" spans="1:2" x14ac:dyDescent="0.3">
      <c r="A6" s="7" t="s">
        <v>38</v>
      </c>
      <c r="B6" s="35" cm="1">
        <f t="array" ref="B6">_xll.TickerStream("BTCUSDT", "P")/100</f>
        <v>1.2460000000000001E-2</v>
      </c>
    </row>
    <row r="7" spans="1:2" x14ac:dyDescent="0.3">
      <c r="A7" s="7" t="s">
        <v>39</v>
      </c>
      <c r="B7" s="34" cm="1">
        <f t="array" ref="B7">_xll.TickerStream("BTCUSDT", "w")</f>
        <v>86851.599921879999</v>
      </c>
    </row>
    <row r="8" spans="1:2" x14ac:dyDescent="0.3">
      <c r="A8" s="7" t="s">
        <v>40</v>
      </c>
      <c r="B8" s="34" cm="1">
        <f t="array" ref="B8">_xll.TickerStream("BTCUSDT", "c")</f>
        <v>88006.33</v>
      </c>
    </row>
    <row r="9" spans="1:2" x14ac:dyDescent="0.3">
      <c r="A9" s="7" t="s">
        <v>41</v>
      </c>
      <c r="B9" s="34" cm="1">
        <f t="array" ref="B9">_xll.TickerStream("BTCUSDT", "Q")</f>
        <v>8.1999999999999998E-4</v>
      </c>
    </row>
    <row r="10" spans="1:2" x14ac:dyDescent="0.3">
      <c r="A10" s="7" t="s">
        <v>42</v>
      </c>
      <c r="B10" s="34" cm="1">
        <f t="array" ref="B10">_xll.TickerStream("BTCUSDT", "o")</f>
        <v>86922.87</v>
      </c>
    </row>
    <row r="11" spans="1:2" x14ac:dyDescent="0.3">
      <c r="A11" s="7" t="s">
        <v>43</v>
      </c>
      <c r="B11" s="34" cm="1">
        <f t="array" ref="B11">_xll.TickerStream("BTCUSDT","h")</f>
        <v>89477.61</v>
      </c>
    </row>
    <row r="12" spans="1:2" x14ac:dyDescent="0.3">
      <c r="A12" s="7" t="s">
        <v>44</v>
      </c>
      <c r="B12" s="34" cm="1">
        <f t="array" ref="B12">_xll.TickerStream("BTCUSDT", "l")</f>
        <v>84450.01</v>
      </c>
    </row>
    <row r="13" spans="1:2" x14ac:dyDescent="0.3">
      <c r="A13" s="7" t="s">
        <v>45</v>
      </c>
      <c r="B13" s="34" cm="1">
        <f t="array" ref="B13">_xll.TickerStream("BTCUSDT", "v")</f>
        <v>29072.270280000001</v>
      </c>
    </row>
    <row r="14" spans="1:2" x14ac:dyDescent="0.3">
      <c r="A14" s="7" t="s">
        <v>46</v>
      </c>
      <c r="B14" s="34" cm="1">
        <f t="array" ref="B14">_xll.TickerStream("BTCUSDT", "q")</f>
        <v>2524973187.1793995</v>
      </c>
    </row>
    <row r="15" spans="1:2" x14ac:dyDescent="0.3">
      <c r="A15" s="7" t="s">
        <v>47</v>
      </c>
      <c r="B15" s="34" t="str" cm="1">
        <f t="array" ref="B15">_xll.TickerStream("BTCUSDT", "O")</f>
        <v>2025-12-18 09:06:06</v>
      </c>
    </row>
    <row r="16" spans="1:2" x14ac:dyDescent="0.3">
      <c r="A16" s="7" t="s">
        <v>48</v>
      </c>
      <c r="B16" s="34" t="str" cm="1">
        <f t="array" ref="B16">_xll.TickerStream("BTCUSDT", "C")</f>
        <v>2025-12-19 09:06:06</v>
      </c>
    </row>
    <row r="17" spans="1:2" x14ac:dyDescent="0.3">
      <c r="A17" s="7" t="s">
        <v>49</v>
      </c>
      <c r="B17" s="34" cm="1">
        <f t="array" ref="B17">_xll.TickerStream("BTCUSDT", "F")</f>
        <v>5676151014</v>
      </c>
    </row>
    <row r="18" spans="1:2" x14ac:dyDescent="0.3">
      <c r="A18" s="7" t="s">
        <v>50</v>
      </c>
      <c r="B18" s="34" cm="1">
        <f t="array" ref="B18">_xll.TickerStream("BTCUSDT", "L")</f>
        <v>5684288414</v>
      </c>
    </row>
    <row r="19" spans="1:2" x14ac:dyDescent="0.3">
      <c r="A19" s="8" t="s">
        <v>51</v>
      </c>
      <c r="B19" s="36" cm="1">
        <f t="array" ref="B19">_xll.TickerStream("BTCUSDT", "n")</f>
        <v>8137401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D3CDB5-B80E-4950-9E39-A9E2AEF13FDC}">
          <x14:formula1>
            <xm:f>'All Coins '!$A$2:$A$1048576</xm:f>
          </x14:formula1>
          <xm:sqref>A1:B1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BBC6-BC9D-460C-8571-632D905274C8}">
  <sheetPr codeName="Sheet7">
    <tabColor rgb="FFC00000"/>
  </sheetPr>
  <dimension ref="A1:K732"/>
  <sheetViews>
    <sheetView showGridLines="0" zoomScale="101" workbookViewId="0">
      <selection activeCell="A2" sqref="A2"/>
    </sheetView>
  </sheetViews>
  <sheetFormatPr defaultRowHeight="14.4" x14ac:dyDescent="0.3"/>
  <cols>
    <col min="1" max="1" width="16.77734375" style="47" bestFit="1" customWidth="1"/>
    <col min="2" max="5" width="13.88671875" style="48" bestFit="1" customWidth="1"/>
    <col min="6" max="6" width="13.109375" bestFit="1" customWidth="1"/>
    <col min="7" max="7" width="16.77734375" style="47" bestFit="1" customWidth="1"/>
    <col min="8" max="8" width="18.21875" bestFit="1" customWidth="1"/>
    <col min="9" max="9" width="16.21875" bestFit="1" customWidth="1"/>
    <col min="10" max="10" width="16.33203125" bestFit="1" customWidth="1"/>
    <col min="11" max="11" width="17.5546875" bestFit="1" customWidth="1"/>
  </cols>
  <sheetData>
    <row r="1" spans="1:11" x14ac:dyDescent="0.3">
      <c r="A1" s="1" t="str" cm="1">
        <f t="array" aca="1" ref="A1:K732" ca="1">_xll.KlineStream("BTCUSDT","1d",'Performance Report'!C13)</f>
        <v>OpenDateTimeIST</v>
      </c>
      <c r="B1" s="1" t="str">
        <f ca="1"/>
        <v>Open</v>
      </c>
      <c r="C1" s="1" t="str">
        <f ca="1"/>
        <v>High</v>
      </c>
      <c r="D1" s="1" t="str">
        <f ca="1"/>
        <v>Low</v>
      </c>
      <c r="E1" s="1" t="str">
        <f ca="1"/>
        <v>Close</v>
      </c>
      <c r="F1" s="1" t="str">
        <f ca="1"/>
        <v>Volume</v>
      </c>
      <c r="G1" s="1" t="str">
        <f ca="1"/>
        <v>CloseDateTimeIST</v>
      </c>
      <c r="H1" s="1" t="str">
        <f ca="1"/>
        <v>QuoteAssetVolume</v>
      </c>
      <c r="I1" s="1" t="str">
        <f ca="1"/>
        <v>NumberOfTrades</v>
      </c>
      <c r="J1" s="1" t="str">
        <f ca="1"/>
        <v>TakerBuyBaseVol</v>
      </c>
      <c r="K1" s="1" t="str">
        <f ca="1"/>
        <v>TakerBuyQuoteVol</v>
      </c>
    </row>
    <row r="2" spans="1:11" x14ac:dyDescent="0.3">
      <c r="A2" s="14">
        <f ca="1"/>
        <v>46010.229166666664</v>
      </c>
      <c r="B2" s="19">
        <f ca="1"/>
        <v>85516.41</v>
      </c>
      <c r="C2" s="19">
        <f ca="1"/>
        <v>88449.06</v>
      </c>
      <c r="D2" s="19">
        <f ca="1"/>
        <v>85110.24</v>
      </c>
      <c r="E2" s="19">
        <f ca="1"/>
        <v>88000.14</v>
      </c>
      <c r="F2" s="16">
        <f ca="1"/>
        <v>7667.7862999999998</v>
      </c>
      <c r="G2" s="14">
        <f ca="1"/>
        <v>46011.229166655095</v>
      </c>
      <c r="H2" s="16">
        <f ca="1"/>
        <v>667268930.72105825</v>
      </c>
      <c r="I2" s="16">
        <f ca="1"/>
        <v>2395988</v>
      </c>
      <c r="J2" s="16">
        <f ca="1"/>
        <v>4115.6098700000002</v>
      </c>
      <c r="K2" s="16">
        <f ca="1"/>
        <v>358326591.35273957</v>
      </c>
    </row>
    <row r="3" spans="1:11" x14ac:dyDescent="0.3">
      <c r="A3" s="10">
        <f ca="1"/>
        <v>46009.229166666664</v>
      </c>
      <c r="B3" s="20">
        <f ca="1"/>
        <v>86243.23</v>
      </c>
      <c r="C3" s="20">
        <f ca="1"/>
        <v>89477.61</v>
      </c>
      <c r="D3" s="20">
        <f ca="1"/>
        <v>84450.01</v>
      </c>
      <c r="E3" s="20">
        <f ca="1"/>
        <v>85516.41</v>
      </c>
      <c r="F3" s="3">
        <f ca="1"/>
        <v>25405.41763</v>
      </c>
      <c r="G3" s="10">
        <f ca="1"/>
        <v>46010.229166655095</v>
      </c>
      <c r="H3" s="3">
        <f ca="1"/>
        <v>2204223872.6696463</v>
      </c>
      <c r="I3" s="3">
        <f ca="1"/>
        <v>6946947</v>
      </c>
      <c r="J3" s="3">
        <f ca="1"/>
        <v>12668.53838</v>
      </c>
      <c r="K3" s="3">
        <f ca="1"/>
        <v>1098646854.9700365</v>
      </c>
    </row>
    <row r="4" spans="1:11" x14ac:dyDescent="0.3">
      <c r="A4" s="10">
        <f ca="1"/>
        <v>46008.229166666664</v>
      </c>
      <c r="B4" s="20">
        <f ca="1"/>
        <v>87863.43</v>
      </c>
      <c r="C4" s="20">
        <f ca="1"/>
        <v>90365.85</v>
      </c>
      <c r="D4" s="20">
        <f ca="1"/>
        <v>85314</v>
      </c>
      <c r="E4" s="20">
        <f ca="1"/>
        <v>86243.22</v>
      </c>
      <c r="F4" s="3">
        <f ca="1"/>
        <v>19834.117289999998</v>
      </c>
      <c r="G4" s="10">
        <f ca="1"/>
        <v>46009.229166655095</v>
      </c>
      <c r="H4" s="3">
        <f ca="1"/>
        <v>1733348496.6703594</v>
      </c>
      <c r="I4" s="3">
        <f ca="1"/>
        <v>6058638</v>
      </c>
      <c r="J4" s="3">
        <f ca="1"/>
        <v>9277.2783799999997</v>
      </c>
      <c r="K4" s="3">
        <f ca="1"/>
        <v>810618013.25664377</v>
      </c>
    </row>
    <row r="5" spans="1:11" x14ac:dyDescent="0.3">
      <c r="A5" s="10">
        <f ca="1"/>
        <v>46007.229166666664</v>
      </c>
      <c r="B5" s="20">
        <f ca="1"/>
        <v>86432.08</v>
      </c>
      <c r="C5" s="20">
        <f ca="1"/>
        <v>88175.98</v>
      </c>
      <c r="D5" s="20">
        <f ca="1"/>
        <v>85266</v>
      </c>
      <c r="E5" s="20">
        <f ca="1"/>
        <v>87863.42</v>
      </c>
      <c r="F5" s="3">
        <f ca="1"/>
        <v>18456.050169999999</v>
      </c>
      <c r="G5" s="10">
        <f ca="1"/>
        <v>46008.229166655095</v>
      </c>
      <c r="H5" s="3">
        <f ca="1"/>
        <v>1604673428.6527836</v>
      </c>
      <c r="I5" s="3">
        <f ca="1"/>
        <v>6099692</v>
      </c>
      <c r="J5" s="3">
        <f ca="1"/>
        <v>9065.9774600000001</v>
      </c>
      <c r="K5" s="3">
        <f ca="1"/>
        <v>788731082.46645999</v>
      </c>
    </row>
    <row r="6" spans="1:11" x14ac:dyDescent="0.3">
      <c r="A6" s="10">
        <f ca="1"/>
        <v>46006.229166666664</v>
      </c>
      <c r="B6" s="20">
        <f ca="1"/>
        <v>88172.160000000003</v>
      </c>
      <c r="C6" s="20">
        <f ca="1"/>
        <v>90052.64</v>
      </c>
      <c r="D6" s="20">
        <f ca="1"/>
        <v>85146.64</v>
      </c>
      <c r="E6" s="20">
        <f ca="1"/>
        <v>86432.08</v>
      </c>
      <c r="F6" s="3">
        <f ca="1"/>
        <v>19778.691900000002</v>
      </c>
      <c r="G6" s="10">
        <f ca="1"/>
        <v>46007.229166655095</v>
      </c>
      <c r="H6" s="3">
        <f ca="1"/>
        <v>1732823429.5017288</v>
      </c>
      <c r="I6" s="3">
        <f ca="1"/>
        <v>6747167</v>
      </c>
      <c r="J6" s="3">
        <f ca="1"/>
        <v>9592.4107600000007</v>
      </c>
      <c r="K6" s="3">
        <f ca="1"/>
        <v>840349649.32506227</v>
      </c>
    </row>
    <row r="7" spans="1:11" x14ac:dyDescent="0.3">
      <c r="A7" s="10">
        <f ca="1"/>
        <v>46005.229166666664</v>
      </c>
      <c r="B7" s="20">
        <f ca="1"/>
        <v>90240</v>
      </c>
      <c r="C7" s="20">
        <f ca="1"/>
        <v>90472.4</v>
      </c>
      <c r="D7" s="20">
        <f ca="1"/>
        <v>87577.36</v>
      </c>
      <c r="E7" s="20">
        <f ca="1"/>
        <v>88172.17</v>
      </c>
      <c r="F7" s="3">
        <f ca="1"/>
        <v>9416.9400399999995</v>
      </c>
      <c r="G7" s="10">
        <f ca="1"/>
        <v>46006.229166655095</v>
      </c>
      <c r="H7" s="3">
        <f ca="1"/>
        <v>839079130.83786511</v>
      </c>
      <c r="I7" s="3">
        <f ca="1"/>
        <v>3115749</v>
      </c>
      <c r="J7" s="3">
        <f ca="1"/>
        <v>4005.7083499999999</v>
      </c>
      <c r="K7" s="3">
        <f ca="1"/>
        <v>356905157.32666928</v>
      </c>
    </row>
    <row r="8" spans="1:11" x14ac:dyDescent="0.3">
      <c r="A8" s="10">
        <f ca="1"/>
        <v>46004.229166666664</v>
      </c>
      <c r="B8" s="20">
        <f ca="1"/>
        <v>90268.43</v>
      </c>
      <c r="C8" s="20">
        <f ca="1"/>
        <v>90634.55</v>
      </c>
      <c r="D8" s="20">
        <f ca="1"/>
        <v>89766.39</v>
      </c>
      <c r="E8" s="20">
        <f ca="1"/>
        <v>90240.01</v>
      </c>
      <c r="F8" s="3">
        <f ca="1"/>
        <v>5895.7078799999999</v>
      </c>
      <c r="G8" s="10">
        <f ca="1"/>
        <v>46005.229166655095</v>
      </c>
      <c r="H8" s="3">
        <f ca="1"/>
        <v>532250544.59040147</v>
      </c>
      <c r="I8" s="3">
        <f ca="1"/>
        <v>1363754</v>
      </c>
      <c r="J8" s="3">
        <f ca="1"/>
        <v>2237.9847</v>
      </c>
      <c r="K8" s="3">
        <f ca="1"/>
        <v>202065519.4961406</v>
      </c>
    </row>
    <row r="9" spans="1:11" x14ac:dyDescent="0.3">
      <c r="A9" s="10">
        <f ca="1"/>
        <v>46003.229166666664</v>
      </c>
      <c r="B9" s="20">
        <f ca="1"/>
        <v>92513.38</v>
      </c>
      <c r="C9" s="20">
        <f ca="1"/>
        <v>92754</v>
      </c>
      <c r="D9" s="20">
        <f ca="1"/>
        <v>89480</v>
      </c>
      <c r="E9" s="20">
        <f ca="1"/>
        <v>90268.42</v>
      </c>
      <c r="F9" s="3">
        <f ca="1"/>
        <v>16679.19169</v>
      </c>
      <c r="G9" s="10">
        <f ca="1"/>
        <v>46004.229166655095</v>
      </c>
      <c r="H9" s="3">
        <f ca="1"/>
        <v>1521683425.5648005</v>
      </c>
      <c r="I9" s="3">
        <f ca="1"/>
        <v>4956719</v>
      </c>
      <c r="J9" s="3">
        <f ca="1"/>
        <v>7986.6827300000004</v>
      </c>
      <c r="K9" s="3">
        <f ca="1"/>
        <v>728724357.38865626</v>
      </c>
    </row>
    <row r="10" spans="1:11" x14ac:dyDescent="0.3">
      <c r="A10" s="10">
        <f ca="1"/>
        <v>46002.229166666664</v>
      </c>
      <c r="B10" s="20">
        <f ca="1"/>
        <v>92015.38</v>
      </c>
      <c r="C10" s="20">
        <f ca="1"/>
        <v>93555</v>
      </c>
      <c r="D10" s="20">
        <f ca="1"/>
        <v>89260.63</v>
      </c>
      <c r="E10" s="20">
        <f ca="1"/>
        <v>92513.38</v>
      </c>
      <c r="F10" s="3">
        <f ca="1"/>
        <v>19972.587579999999</v>
      </c>
      <c r="G10" s="10">
        <f ca="1"/>
        <v>46003.229166655095</v>
      </c>
      <c r="H10" s="3">
        <f ca="1"/>
        <v>1814322119.0658488</v>
      </c>
      <c r="I10" s="3">
        <f ca="1"/>
        <v>6250438</v>
      </c>
      <c r="J10" s="3">
        <f ca="1"/>
        <v>9150.89797</v>
      </c>
      <c r="K10" s="3">
        <f ca="1"/>
        <v>831529923.80888188</v>
      </c>
    </row>
    <row r="11" spans="1:11" x14ac:dyDescent="0.3">
      <c r="A11" s="10">
        <f ca="1"/>
        <v>46001.229166666664</v>
      </c>
      <c r="B11" s="20">
        <f ca="1"/>
        <v>92678.81</v>
      </c>
      <c r="C11" s="20">
        <f ca="1"/>
        <v>94476</v>
      </c>
      <c r="D11" s="20">
        <f ca="1"/>
        <v>91563.15</v>
      </c>
      <c r="E11" s="20">
        <f ca="1"/>
        <v>92015.37</v>
      </c>
      <c r="F11" s="3">
        <f ca="1"/>
        <v>18998.680830000001</v>
      </c>
      <c r="G11" s="10">
        <f ca="1"/>
        <v>46002.229166655095</v>
      </c>
      <c r="H11" s="3">
        <f ca="1"/>
        <v>1758773276.2478049</v>
      </c>
      <c r="I11" s="3">
        <f ca="1"/>
        <v>6025707</v>
      </c>
      <c r="J11" s="3">
        <f ca="1"/>
        <v>9197.3311599999997</v>
      </c>
      <c r="K11" s="3">
        <f ca="1"/>
        <v>852012295.39671147</v>
      </c>
    </row>
    <row r="12" spans="1:11" x14ac:dyDescent="0.3">
      <c r="A12" s="10">
        <f ca="1"/>
        <v>46000.229166666664</v>
      </c>
      <c r="B12" s="20">
        <f ca="1"/>
        <v>90634.35</v>
      </c>
      <c r="C12" s="20">
        <f ca="1"/>
        <v>94588.99</v>
      </c>
      <c r="D12" s="20">
        <f ca="1"/>
        <v>89500</v>
      </c>
      <c r="E12" s="20">
        <f ca="1"/>
        <v>92678.8</v>
      </c>
      <c r="F12" s="3">
        <f ca="1"/>
        <v>21240.43014</v>
      </c>
      <c r="G12" s="10">
        <f ca="1"/>
        <v>46001.229166655095</v>
      </c>
      <c r="H12" s="3">
        <f ca="1"/>
        <v>1956261065.6071732</v>
      </c>
      <c r="I12" s="3">
        <f ca="1"/>
        <v>5940223</v>
      </c>
      <c r="J12" s="3">
        <f ca="1"/>
        <v>10517.75959</v>
      </c>
      <c r="K12" s="3">
        <f ca="1"/>
        <v>969426006.12226284</v>
      </c>
    </row>
    <row r="13" spans="1:11" x14ac:dyDescent="0.3">
      <c r="A13" s="10">
        <f ca="1"/>
        <v>45999.229166666664</v>
      </c>
      <c r="B13" s="20">
        <f ca="1"/>
        <v>90395.32</v>
      </c>
      <c r="C13" s="20">
        <f ca="1"/>
        <v>92287.15</v>
      </c>
      <c r="D13" s="20">
        <f ca="1"/>
        <v>89612</v>
      </c>
      <c r="E13" s="20">
        <f ca="1"/>
        <v>90634.34</v>
      </c>
      <c r="F13" s="3">
        <f ca="1"/>
        <v>15793.638870000001</v>
      </c>
      <c r="G13" s="10">
        <f ca="1"/>
        <v>46000.229166655095</v>
      </c>
      <c r="H13" s="3">
        <f ca="1"/>
        <v>1436920018.8936133</v>
      </c>
      <c r="I13" s="3">
        <f ca="1"/>
        <v>5458731</v>
      </c>
      <c r="J13" s="3">
        <f ca="1"/>
        <v>7296.7432799999997</v>
      </c>
      <c r="K13" s="3">
        <f ca="1"/>
        <v>663654575.45218349</v>
      </c>
    </row>
    <row r="14" spans="1:11" x14ac:dyDescent="0.3">
      <c r="A14" s="10">
        <f ca="1"/>
        <v>45998.229166666664</v>
      </c>
      <c r="B14" s="20">
        <f ca="1"/>
        <v>89236.800000000003</v>
      </c>
      <c r="C14" s="20">
        <f ca="1"/>
        <v>91760</v>
      </c>
      <c r="D14" s="20">
        <f ca="1"/>
        <v>87719.28</v>
      </c>
      <c r="E14" s="20">
        <f ca="1"/>
        <v>90395.31</v>
      </c>
      <c r="F14" s="3">
        <f ca="1"/>
        <v>13021.111849999999</v>
      </c>
      <c r="G14" s="10">
        <f ca="1"/>
        <v>45999.229166655095</v>
      </c>
      <c r="H14" s="3">
        <f ca="1"/>
        <v>1167866486.8455212</v>
      </c>
      <c r="I14" s="3">
        <f ca="1"/>
        <v>3953071</v>
      </c>
      <c r="J14" s="3">
        <f ca="1"/>
        <v>6370.5668299999998</v>
      </c>
      <c r="K14" s="3">
        <f ca="1"/>
        <v>571547237.85676706</v>
      </c>
    </row>
    <row r="15" spans="1:11" x14ac:dyDescent="0.3">
      <c r="A15" s="10">
        <f ca="1"/>
        <v>45997.229166666664</v>
      </c>
      <c r="B15" s="20">
        <f ca="1"/>
        <v>89330.04</v>
      </c>
      <c r="C15" s="20">
        <f ca="1"/>
        <v>90289.97</v>
      </c>
      <c r="D15" s="20">
        <f ca="1"/>
        <v>88908.01</v>
      </c>
      <c r="E15" s="20">
        <f ca="1"/>
        <v>89236.79</v>
      </c>
      <c r="F15" s="3">
        <f ca="1"/>
        <v>8409.5001599999996</v>
      </c>
      <c r="G15" s="10">
        <f ca="1"/>
        <v>45998.229166655095</v>
      </c>
      <c r="H15" s="3">
        <f ca="1"/>
        <v>753420679.80632591</v>
      </c>
      <c r="I15" s="3">
        <f ca="1"/>
        <v>2482221</v>
      </c>
      <c r="J15" s="3">
        <f ca="1"/>
        <v>4041.7283400000001</v>
      </c>
      <c r="K15" s="3">
        <f ca="1"/>
        <v>362232786.26957142</v>
      </c>
    </row>
    <row r="16" spans="1:11" x14ac:dyDescent="0.3">
      <c r="A16" s="10">
        <f ca="1"/>
        <v>45996.229166666664</v>
      </c>
      <c r="B16" s="20">
        <f ca="1"/>
        <v>92078.06</v>
      </c>
      <c r="C16" s="20">
        <f ca="1"/>
        <v>92692.36</v>
      </c>
      <c r="D16" s="20">
        <f ca="1"/>
        <v>88056</v>
      </c>
      <c r="E16" s="20">
        <f ca="1"/>
        <v>89330.04</v>
      </c>
      <c r="F16" s="3">
        <f ca="1"/>
        <v>19792.972180000001</v>
      </c>
      <c r="G16" s="10">
        <f ca="1"/>
        <v>45997.229166655095</v>
      </c>
      <c r="H16" s="3">
        <f ca="1"/>
        <v>1788436983.8106546</v>
      </c>
      <c r="I16" s="3">
        <f ca="1"/>
        <v>5520352</v>
      </c>
      <c r="J16" s="3">
        <f ca="1"/>
        <v>8722.1399500000007</v>
      </c>
      <c r="K16" s="3">
        <f ca="1"/>
        <v>787809723.72132385</v>
      </c>
    </row>
    <row r="17" spans="1:11" x14ac:dyDescent="0.3">
      <c r="A17" s="10">
        <f ca="1"/>
        <v>45995.229166666664</v>
      </c>
      <c r="B17" s="20">
        <f ca="1"/>
        <v>93429.95</v>
      </c>
      <c r="C17" s="20">
        <f ca="1"/>
        <v>94080</v>
      </c>
      <c r="D17" s="20">
        <f ca="1"/>
        <v>90889</v>
      </c>
      <c r="E17" s="20">
        <f ca="1"/>
        <v>92078.06</v>
      </c>
      <c r="F17" s="3">
        <f ca="1"/>
        <v>19803.940589999998</v>
      </c>
      <c r="G17" s="10">
        <f ca="1"/>
        <v>45996.229166655095</v>
      </c>
      <c r="H17" s="3">
        <f ca="1"/>
        <v>1836645629.33462</v>
      </c>
      <c r="I17" s="3">
        <f ca="1"/>
        <v>5856049</v>
      </c>
      <c r="J17" s="3">
        <f ca="1"/>
        <v>8312.6953900000008</v>
      </c>
      <c r="K17" s="3">
        <f ca="1"/>
        <v>770992235.20799196</v>
      </c>
    </row>
    <row r="18" spans="1:11" x14ac:dyDescent="0.3">
      <c r="A18" s="10">
        <f ca="1"/>
        <v>45994.229166666664</v>
      </c>
      <c r="B18" s="20">
        <f ca="1"/>
        <v>91277.88</v>
      </c>
      <c r="C18" s="20">
        <f ca="1"/>
        <v>94150</v>
      </c>
      <c r="D18" s="20">
        <f ca="1"/>
        <v>90990.23</v>
      </c>
      <c r="E18" s="20">
        <f ca="1"/>
        <v>93429.95</v>
      </c>
      <c r="F18" s="3">
        <f ca="1"/>
        <v>25712.525850000002</v>
      </c>
      <c r="G18" s="10">
        <f ca="1"/>
        <v>45995.229166655095</v>
      </c>
      <c r="H18" s="3">
        <f ca="1"/>
        <v>2386223626.8613901</v>
      </c>
      <c r="I18" s="3">
        <f ca="1"/>
        <v>6733182</v>
      </c>
      <c r="J18" s="3">
        <f ca="1"/>
        <v>12993.19312</v>
      </c>
      <c r="K18" s="3">
        <f ca="1"/>
        <v>1206219500.4577343</v>
      </c>
    </row>
    <row r="19" spans="1:11" x14ac:dyDescent="0.3">
      <c r="A19" s="10">
        <f ca="1"/>
        <v>45993.229166666664</v>
      </c>
      <c r="B19" s="20">
        <f ca="1"/>
        <v>86286.01</v>
      </c>
      <c r="C19" s="20">
        <f ca="1"/>
        <v>92307.65</v>
      </c>
      <c r="D19" s="20">
        <f ca="1"/>
        <v>86184.39</v>
      </c>
      <c r="E19" s="20">
        <f ca="1"/>
        <v>91277.88</v>
      </c>
      <c r="F19" s="3">
        <f ca="1"/>
        <v>28210.227320000002</v>
      </c>
      <c r="G19" s="10">
        <f ca="1"/>
        <v>45994.229166655095</v>
      </c>
      <c r="H19" s="3">
        <f ca="1"/>
        <v>2519515177.662365</v>
      </c>
      <c r="I19" s="3">
        <f ca="1"/>
        <v>6397299</v>
      </c>
      <c r="J19" s="3">
        <f ca="1"/>
        <v>13512.33949</v>
      </c>
      <c r="K19" s="3">
        <f ca="1"/>
        <v>1206199898.2941511</v>
      </c>
    </row>
    <row r="20" spans="1:11" x14ac:dyDescent="0.3">
      <c r="A20" s="10">
        <f ca="1"/>
        <v>45992.229166666664</v>
      </c>
      <c r="B20" s="20">
        <f ca="1"/>
        <v>90360.01</v>
      </c>
      <c r="C20" s="20">
        <f ca="1"/>
        <v>90417</v>
      </c>
      <c r="D20" s="20">
        <f ca="1"/>
        <v>83822.759999999995</v>
      </c>
      <c r="E20" s="20">
        <f ca="1"/>
        <v>86286.01</v>
      </c>
      <c r="F20" s="3">
        <f ca="1"/>
        <v>34509.012269999999</v>
      </c>
      <c r="G20" s="10">
        <f ca="1"/>
        <v>45993.229166655095</v>
      </c>
      <c r="H20" s="3">
        <f ca="1"/>
        <v>2977024047.2231607</v>
      </c>
      <c r="I20" s="3">
        <f ca="1"/>
        <v>7709685</v>
      </c>
      <c r="J20" s="3">
        <f ca="1"/>
        <v>15524.33346</v>
      </c>
      <c r="K20" s="3">
        <f ca="1"/>
        <v>1338718794.0013123</v>
      </c>
    </row>
    <row r="21" spans="1:11" x14ac:dyDescent="0.3">
      <c r="A21" s="10">
        <f ca="1"/>
        <v>45991.229166666664</v>
      </c>
      <c r="B21" s="20">
        <f ca="1"/>
        <v>90802.44</v>
      </c>
      <c r="C21" s="20">
        <f ca="1"/>
        <v>92000.01</v>
      </c>
      <c r="D21" s="20">
        <f ca="1"/>
        <v>90336.9</v>
      </c>
      <c r="E21" s="20">
        <f ca="1"/>
        <v>90360</v>
      </c>
      <c r="F21" s="3">
        <f ca="1"/>
        <v>9687.7417499999992</v>
      </c>
      <c r="G21" s="10">
        <f ca="1"/>
        <v>45992.229166655095</v>
      </c>
      <c r="H21" s="3">
        <f ca="1"/>
        <v>884051773.16553378</v>
      </c>
      <c r="I21" s="3">
        <f ca="1"/>
        <v>2154030</v>
      </c>
      <c r="J21" s="3">
        <f ca="1"/>
        <v>5002.9669800000001</v>
      </c>
      <c r="K21" s="3">
        <f ca="1"/>
        <v>456606490.12032461</v>
      </c>
    </row>
    <row r="22" spans="1:11" x14ac:dyDescent="0.3">
      <c r="A22" s="10">
        <f ca="1"/>
        <v>45990.229166666664</v>
      </c>
      <c r="B22" s="20">
        <f ca="1"/>
        <v>90890.71</v>
      </c>
      <c r="C22" s="20">
        <f ca="1"/>
        <v>91165.65</v>
      </c>
      <c r="D22" s="20">
        <f ca="1"/>
        <v>90155.47</v>
      </c>
      <c r="E22" s="20">
        <f ca="1"/>
        <v>90802.44</v>
      </c>
      <c r="F22" s="3">
        <f ca="1"/>
        <v>7429.8829100000003</v>
      </c>
      <c r="G22" s="10">
        <f ca="1"/>
        <v>45991.229166655095</v>
      </c>
      <c r="H22" s="3">
        <f ca="1"/>
        <v>673725652.97876549</v>
      </c>
      <c r="I22" s="3">
        <f ca="1"/>
        <v>1677860</v>
      </c>
      <c r="J22" s="3">
        <f ca="1"/>
        <v>3359.0493200000001</v>
      </c>
      <c r="K22" s="3">
        <f ca="1"/>
        <v>304614219.14525831</v>
      </c>
    </row>
    <row r="23" spans="1:11" x14ac:dyDescent="0.3">
      <c r="A23" s="10">
        <f ca="1"/>
        <v>45989.229166666664</v>
      </c>
      <c r="B23" s="20">
        <f ca="1"/>
        <v>91333.94</v>
      </c>
      <c r="C23" s="20">
        <f ca="1"/>
        <v>93092</v>
      </c>
      <c r="D23" s="20">
        <f ca="1"/>
        <v>90180.63</v>
      </c>
      <c r="E23" s="20">
        <f ca="1"/>
        <v>90890.7</v>
      </c>
      <c r="F23" s="3">
        <f ca="1"/>
        <v>18830.860120000001</v>
      </c>
      <c r="G23" s="10">
        <f ca="1"/>
        <v>45990.229166655095</v>
      </c>
      <c r="H23" s="3">
        <f ca="1"/>
        <v>1721418035.0795596</v>
      </c>
      <c r="I23" s="3">
        <f ca="1"/>
        <v>4229754</v>
      </c>
      <c r="J23" s="3">
        <f ca="1"/>
        <v>8961.6471199999996</v>
      </c>
      <c r="K23" s="3">
        <f ca="1"/>
        <v>820315728.91869104</v>
      </c>
    </row>
    <row r="24" spans="1:11" x14ac:dyDescent="0.3">
      <c r="A24" s="10">
        <f ca="1"/>
        <v>45988.229166666664</v>
      </c>
      <c r="B24" s="20">
        <f ca="1"/>
        <v>90484.01</v>
      </c>
      <c r="C24" s="20">
        <f ca="1"/>
        <v>91950</v>
      </c>
      <c r="D24" s="20">
        <f ca="1"/>
        <v>90089.91</v>
      </c>
      <c r="E24" s="20">
        <f ca="1"/>
        <v>91333.95</v>
      </c>
      <c r="F24" s="3">
        <f ca="1"/>
        <v>16833.509320000001</v>
      </c>
      <c r="G24" s="10">
        <f ca="1"/>
        <v>45989.229166655095</v>
      </c>
      <c r="H24" s="3">
        <f ca="1"/>
        <v>1535778106.5787077</v>
      </c>
      <c r="I24" s="3">
        <f ca="1"/>
        <v>3920172</v>
      </c>
      <c r="J24" s="3">
        <f ca="1"/>
        <v>8898.3583500000004</v>
      </c>
      <c r="K24" s="3">
        <f ca="1"/>
        <v>812005498.75948751</v>
      </c>
    </row>
    <row r="25" spans="1:11" x14ac:dyDescent="0.3">
      <c r="A25" s="10">
        <f ca="1"/>
        <v>45987.229166666664</v>
      </c>
      <c r="B25" s="20">
        <f ca="1"/>
        <v>87369.97</v>
      </c>
      <c r="C25" s="20">
        <f ca="1"/>
        <v>90656.08</v>
      </c>
      <c r="D25" s="20">
        <f ca="1"/>
        <v>86306.77</v>
      </c>
      <c r="E25" s="20">
        <f ca="1"/>
        <v>90484.02</v>
      </c>
      <c r="F25" s="3">
        <f ca="1"/>
        <v>21675.822390000001</v>
      </c>
      <c r="G25" s="10">
        <f ca="1"/>
        <v>45988.229166655095</v>
      </c>
      <c r="H25" s="3">
        <f ca="1"/>
        <v>1916851896.6699688</v>
      </c>
      <c r="I25" s="3">
        <f ca="1"/>
        <v>4668280</v>
      </c>
      <c r="J25" s="3">
        <f ca="1"/>
        <v>10883.610629999999</v>
      </c>
      <c r="K25" s="3">
        <f ca="1"/>
        <v>962765375.81638324</v>
      </c>
    </row>
    <row r="26" spans="1:11" x14ac:dyDescent="0.3">
      <c r="A26" s="10">
        <f ca="1"/>
        <v>45986.229166666664</v>
      </c>
      <c r="B26" s="20">
        <f ca="1"/>
        <v>88300.01</v>
      </c>
      <c r="C26" s="20">
        <f ca="1"/>
        <v>88519.99</v>
      </c>
      <c r="D26" s="20">
        <f ca="1"/>
        <v>86116</v>
      </c>
      <c r="E26" s="20">
        <f ca="1"/>
        <v>87369.96</v>
      </c>
      <c r="F26" s="3">
        <f ca="1"/>
        <v>19567.041099999999</v>
      </c>
      <c r="G26" s="10">
        <f ca="1"/>
        <v>45987.229166655095</v>
      </c>
      <c r="H26" s="3">
        <f ca="1"/>
        <v>1708989000.0389371</v>
      </c>
      <c r="I26" s="3">
        <f ca="1"/>
        <v>4838747</v>
      </c>
      <c r="J26" s="3">
        <f ca="1"/>
        <v>9423.1798500000004</v>
      </c>
      <c r="K26" s="3">
        <f ca="1"/>
        <v>823123525.14025593</v>
      </c>
    </row>
    <row r="27" spans="1:11" x14ac:dyDescent="0.3">
      <c r="A27" s="10">
        <f ca="1"/>
        <v>45985.229166666664</v>
      </c>
      <c r="B27" s="20">
        <f ca="1"/>
        <v>86830</v>
      </c>
      <c r="C27" s="20">
        <f ca="1"/>
        <v>89228</v>
      </c>
      <c r="D27" s="20">
        <f ca="1"/>
        <v>85272</v>
      </c>
      <c r="E27" s="20">
        <f ca="1"/>
        <v>88300.01</v>
      </c>
      <c r="F27" s="3">
        <f ca="1"/>
        <v>24663.127949999998</v>
      </c>
      <c r="G27" s="10">
        <f ca="1"/>
        <v>45986.229166655095</v>
      </c>
      <c r="H27" s="3">
        <f ca="1"/>
        <v>2150393686.9203181</v>
      </c>
      <c r="I27" s="3">
        <f ca="1"/>
        <v>6189156</v>
      </c>
      <c r="J27" s="3">
        <f ca="1"/>
        <v>12438.875179999999</v>
      </c>
      <c r="K27" s="3">
        <f ca="1"/>
        <v>1085485389.0234168</v>
      </c>
    </row>
    <row r="28" spans="1:11" x14ac:dyDescent="0.3">
      <c r="A28" s="10">
        <f ca="1"/>
        <v>45984.229166666664</v>
      </c>
      <c r="B28" s="20">
        <f ca="1"/>
        <v>84739.75</v>
      </c>
      <c r="C28" s="20">
        <f ca="1"/>
        <v>88127.64</v>
      </c>
      <c r="D28" s="20">
        <f ca="1"/>
        <v>84667.57</v>
      </c>
      <c r="E28" s="20">
        <f ca="1"/>
        <v>86830</v>
      </c>
      <c r="F28" s="3">
        <f ca="1"/>
        <v>19734.464179999999</v>
      </c>
      <c r="G28" s="10">
        <f ca="1"/>
        <v>45985.229166655095</v>
      </c>
      <c r="H28" s="3">
        <f ca="1"/>
        <v>1708685030.2798696</v>
      </c>
      <c r="I28" s="3">
        <f ca="1"/>
        <v>5063493</v>
      </c>
      <c r="J28" s="3">
        <f ca="1"/>
        <v>10406.517030000001</v>
      </c>
      <c r="K28" s="3">
        <f ca="1"/>
        <v>901210513.52044725</v>
      </c>
    </row>
    <row r="29" spans="1:11" x14ac:dyDescent="0.3">
      <c r="A29" s="10">
        <f ca="1"/>
        <v>45983.229166666664</v>
      </c>
      <c r="B29" s="20">
        <f ca="1"/>
        <v>85129.42</v>
      </c>
      <c r="C29" s="20">
        <f ca="1"/>
        <v>85620</v>
      </c>
      <c r="D29" s="20">
        <f ca="1"/>
        <v>83500</v>
      </c>
      <c r="E29" s="20">
        <f ca="1"/>
        <v>84739.74</v>
      </c>
      <c r="F29" s="3">
        <f ca="1"/>
        <v>14193.932629999999</v>
      </c>
      <c r="G29" s="10">
        <f ca="1"/>
        <v>45984.229166655095</v>
      </c>
      <c r="H29" s="3">
        <f ca="1"/>
        <v>1197657354.9690385</v>
      </c>
      <c r="I29" s="3">
        <f ca="1"/>
        <v>4697593</v>
      </c>
      <c r="J29" s="3">
        <f ca="1"/>
        <v>6688.7942800000001</v>
      </c>
      <c r="K29" s="3">
        <f ca="1"/>
        <v>564562148.93739319</v>
      </c>
    </row>
    <row r="30" spans="1:11" x14ac:dyDescent="0.3">
      <c r="A30" s="10">
        <f ca="1"/>
        <v>45982.229166666664</v>
      </c>
      <c r="B30" s="20">
        <f ca="1"/>
        <v>86637.22</v>
      </c>
      <c r="C30" s="20">
        <f ca="1"/>
        <v>87498.94</v>
      </c>
      <c r="D30" s="20">
        <f ca="1"/>
        <v>80600</v>
      </c>
      <c r="E30" s="20">
        <f ca="1"/>
        <v>85129.43</v>
      </c>
      <c r="F30" s="3">
        <f ca="1"/>
        <v>72256.126789999995</v>
      </c>
      <c r="G30" s="10">
        <f ca="1"/>
        <v>45983.229166655095</v>
      </c>
      <c r="H30" s="3">
        <f ca="1"/>
        <v>6061348756.3415642</v>
      </c>
      <c r="I30" s="3">
        <f ca="1"/>
        <v>11826480</v>
      </c>
      <c r="J30" s="3">
        <f ca="1"/>
        <v>34071.85828</v>
      </c>
      <c r="K30" s="3">
        <f ca="1"/>
        <v>2859133223.2240524</v>
      </c>
    </row>
    <row r="31" spans="1:11" x14ac:dyDescent="0.3">
      <c r="A31" s="10">
        <f ca="1"/>
        <v>45981.229166666664</v>
      </c>
      <c r="B31" s="20">
        <f ca="1"/>
        <v>91554.96</v>
      </c>
      <c r="C31" s="20">
        <f ca="1"/>
        <v>93160</v>
      </c>
      <c r="D31" s="20">
        <f ca="1"/>
        <v>86100</v>
      </c>
      <c r="E31" s="20">
        <f ca="1"/>
        <v>86637.23</v>
      </c>
      <c r="F31" s="3">
        <f ca="1"/>
        <v>39733.190730000002</v>
      </c>
      <c r="G31" s="10">
        <f ca="1"/>
        <v>45982.229166655095</v>
      </c>
      <c r="H31" s="3">
        <f ca="1"/>
        <v>3548950335.0984216</v>
      </c>
      <c r="I31" s="3">
        <f ca="1"/>
        <v>7841395</v>
      </c>
      <c r="J31" s="3">
        <f ca="1"/>
        <v>18283.840469999999</v>
      </c>
      <c r="K31" s="3">
        <f ca="1"/>
        <v>1634256490.957432</v>
      </c>
    </row>
    <row r="32" spans="1:11" x14ac:dyDescent="0.3">
      <c r="A32" s="10">
        <f ca="1"/>
        <v>45980.229166666664</v>
      </c>
      <c r="B32" s="20">
        <f ca="1"/>
        <v>92960.83</v>
      </c>
      <c r="C32" s="20">
        <f ca="1"/>
        <v>92980.22</v>
      </c>
      <c r="D32" s="20">
        <f ca="1"/>
        <v>88608</v>
      </c>
      <c r="E32" s="20">
        <f ca="1"/>
        <v>91554.96</v>
      </c>
      <c r="F32" s="3">
        <f ca="1"/>
        <v>32286.637599999998</v>
      </c>
      <c r="G32" s="10">
        <f ca="1"/>
        <v>45981.229166655095</v>
      </c>
      <c r="H32" s="3">
        <f ca="1"/>
        <v>2925773651.2559581</v>
      </c>
      <c r="I32" s="3">
        <f ca="1"/>
        <v>6822174</v>
      </c>
      <c r="J32" s="3">
        <f ca="1"/>
        <v>15060.084510000001</v>
      </c>
      <c r="K32" s="3">
        <f ca="1"/>
        <v>1365200809.1745572</v>
      </c>
    </row>
    <row r="33" spans="1:11" x14ac:dyDescent="0.3">
      <c r="A33" s="10">
        <f ca="1"/>
        <v>45979.229166666664</v>
      </c>
      <c r="B33" s="20">
        <f ca="1"/>
        <v>92215.14</v>
      </c>
      <c r="C33" s="20">
        <f ca="1"/>
        <v>93836.01</v>
      </c>
      <c r="D33" s="20">
        <f ca="1"/>
        <v>89253.78</v>
      </c>
      <c r="E33" s="20">
        <f ca="1"/>
        <v>92960.83</v>
      </c>
      <c r="F33" s="3">
        <f ca="1"/>
        <v>39835.147689999998</v>
      </c>
      <c r="G33" s="10">
        <f ca="1"/>
        <v>45980.229166655095</v>
      </c>
      <c r="H33" s="3">
        <f ca="1"/>
        <v>3641033186.3004584</v>
      </c>
      <c r="I33" s="3">
        <f ca="1"/>
        <v>8786593</v>
      </c>
      <c r="J33" s="3">
        <f ca="1"/>
        <v>20130.959569999999</v>
      </c>
      <c r="K33" s="3">
        <f ca="1"/>
        <v>1841176605.1418235</v>
      </c>
    </row>
    <row r="34" spans="1:11" x14ac:dyDescent="0.3">
      <c r="A34" s="10">
        <f ca="1"/>
        <v>45978.229166666664</v>
      </c>
      <c r="B34" s="20">
        <f ca="1"/>
        <v>94261.45</v>
      </c>
      <c r="C34" s="20">
        <f ca="1"/>
        <v>96043</v>
      </c>
      <c r="D34" s="20">
        <f ca="1"/>
        <v>91220</v>
      </c>
      <c r="E34" s="20">
        <f ca="1"/>
        <v>92215.14</v>
      </c>
      <c r="F34" s="3">
        <f ca="1"/>
        <v>39218.598059999997</v>
      </c>
      <c r="G34" s="10">
        <f ca="1"/>
        <v>45979.229166655095</v>
      </c>
      <c r="H34" s="3">
        <f ca="1"/>
        <v>3674562070.238606</v>
      </c>
      <c r="I34" s="3">
        <f ca="1"/>
        <v>8134322</v>
      </c>
      <c r="J34" s="3">
        <f ca="1"/>
        <v>18690.192449999999</v>
      </c>
      <c r="K34" s="3">
        <f ca="1"/>
        <v>1750979467.7862606</v>
      </c>
    </row>
    <row r="35" spans="1:11" x14ac:dyDescent="0.3">
      <c r="A35" s="10">
        <f ca="1"/>
        <v>45977.229166666664</v>
      </c>
      <c r="B35" s="20">
        <f ca="1"/>
        <v>95596.23</v>
      </c>
      <c r="C35" s="20">
        <f ca="1"/>
        <v>96635.11</v>
      </c>
      <c r="D35" s="20">
        <f ca="1"/>
        <v>93005.55</v>
      </c>
      <c r="E35" s="20">
        <f ca="1"/>
        <v>94261.440000000002</v>
      </c>
      <c r="F35" s="3">
        <f ca="1"/>
        <v>23889.4051</v>
      </c>
      <c r="G35" s="10">
        <f ca="1"/>
        <v>45978.229166655095</v>
      </c>
      <c r="H35" s="3">
        <f ca="1"/>
        <v>2261295524.8173394</v>
      </c>
      <c r="I35" s="3">
        <f ca="1"/>
        <v>5141394</v>
      </c>
      <c r="J35" s="3">
        <f ca="1"/>
        <v>10828.62752</v>
      </c>
      <c r="K35" s="3">
        <f ca="1"/>
        <v>1025540141.3111866</v>
      </c>
    </row>
    <row r="36" spans="1:11" x14ac:dyDescent="0.3">
      <c r="A36" s="10">
        <f ca="1"/>
        <v>45976.229166666664</v>
      </c>
      <c r="B36" s="20">
        <f ca="1"/>
        <v>94594</v>
      </c>
      <c r="C36" s="20">
        <f ca="1"/>
        <v>96846.68</v>
      </c>
      <c r="D36" s="20">
        <f ca="1"/>
        <v>94558.49</v>
      </c>
      <c r="E36" s="20">
        <f ca="1"/>
        <v>95596.24</v>
      </c>
      <c r="F36" s="3">
        <f ca="1"/>
        <v>15110.893910000001</v>
      </c>
      <c r="G36" s="10">
        <f ca="1"/>
        <v>45977.229166655095</v>
      </c>
      <c r="H36" s="3">
        <f ca="1"/>
        <v>1449074019.0674856</v>
      </c>
      <c r="I36" s="3">
        <f ca="1"/>
        <v>4263558</v>
      </c>
      <c r="J36" s="3">
        <f ca="1"/>
        <v>7115.7819799999997</v>
      </c>
      <c r="K36" s="3">
        <f ca="1"/>
        <v>682358960.75404215</v>
      </c>
    </row>
    <row r="37" spans="1:11" x14ac:dyDescent="0.3">
      <c r="A37" s="10">
        <f ca="1"/>
        <v>45975.229166666664</v>
      </c>
      <c r="B37" s="20">
        <f ca="1"/>
        <v>99692.03</v>
      </c>
      <c r="C37" s="20">
        <f ca="1"/>
        <v>99866.02</v>
      </c>
      <c r="D37" s="20">
        <f ca="1"/>
        <v>94012.45</v>
      </c>
      <c r="E37" s="20">
        <f ca="1"/>
        <v>94594</v>
      </c>
      <c r="F37" s="3">
        <f ca="1"/>
        <v>47288.144809999998</v>
      </c>
      <c r="G37" s="10">
        <f ca="1"/>
        <v>45976.229166655095</v>
      </c>
      <c r="H37" s="3">
        <f ca="1"/>
        <v>4566085156.7472067</v>
      </c>
      <c r="I37" s="3">
        <f ca="1"/>
        <v>9551025</v>
      </c>
      <c r="J37" s="3">
        <f ca="1"/>
        <v>21184.91518</v>
      </c>
      <c r="K37" s="3">
        <f ca="1"/>
        <v>2045542286.8634834</v>
      </c>
    </row>
    <row r="38" spans="1:11" x14ac:dyDescent="0.3">
      <c r="A38" s="10">
        <f ca="1"/>
        <v>45974.229166666664</v>
      </c>
      <c r="B38" s="20">
        <f ca="1"/>
        <v>101654.37</v>
      </c>
      <c r="C38" s="20">
        <f ca="1"/>
        <v>104085.01</v>
      </c>
      <c r="D38" s="20">
        <f ca="1"/>
        <v>98000.4</v>
      </c>
      <c r="E38" s="20">
        <f ca="1"/>
        <v>99692.02</v>
      </c>
      <c r="F38" s="3">
        <f ca="1"/>
        <v>36198.507709999998</v>
      </c>
      <c r="G38" s="10">
        <f ca="1"/>
        <v>45975.229166655095</v>
      </c>
      <c r="H38" s="3">
        <f ca="1"/>
        <v>3654698026.5403805</v>
      </c>
      <c r="I38" s="3">
        <f ca="1"/>
        <v>8125404</v>
      </c>
      <c r="J38" s="3">
        <f ca="1"/>
        <v>17250.224259999999</v>
      </c>
      <c r="K38" s="3">
        <f ca="1"/>
        <v>1742449117.5763607</v>
      </c>
    </row>
    <row r="39" spans="1:11" x14ac:dyDescent="0.3">
      <c r="A39" s="10">
        <f ca="1"/>
        <v>45973.229166666664</v>
      </c>
      <c r="B39" s="20">
        <f ca="1"/>
        <v>103059</v>
      </c>
      <c r="C39" s="20">
        <f ca="1"/>
        <v>105333.33</v>
      </c>
      <c r="D39" s="20">
        <f ca="1"/>
        <v>100813.59</v>
      </c>
      <c r="E39" s="20">
        <f ca="1"/>
        <v>101654.37</v>
      </c>
      <c r="F39" s="3">
        <f ca="1"/>
        <v>20457.639060000001</v>
      </c>
      <c r="G39" s="10">
        <f ca="1"/>
        <v>45974.229166655095</v>
      </c>
      <c r="H39" s="3">
        <f ca="1"/>
        <v>2108514405.2608771</v>
      </c>
      <c r="I39" s="3">
        <f ca="1"/>
        <v>5314132</v>
      </c>
      <c r="J39" s="3">
        <f ca="1"/>
        <v>10155.720950000001</v>
      </c>
      <c r="K39" s="3">
        <f ca="1"/>
        <v>1047214063.1382869</v>
      </c>
    </row>
    <row r="40" spans="1:11" x14ac:dyDescent="0.3">
      <c r="A40" s="10">
        <f ca="1"/>
        <v>45972.229166666664</v>
      </c>
      <c r="B40" s="20">
        <f ca="1"/>
        <v>106011.13</v>
      </c>
      <c r="C40" s="20">
        <f ca="1"/>
        <v>107500</v>
      </c>
      <c r="D40" s="20">
        <f ca="1"/>
        <v>102476.09</v>
      </c>
      <c r="E40" s="20">
        <f ca="1"/>
        <v>103058.99</v>
      </c>
      <c r="F40" s="3">
        <f ca="1"/>
        <v>24196.507180000001</v>
      </c>
      <c r="G40" s="10">
        <f ca="1"/>
        <v>45973.229166655095</v>
      </c>
      <c r="H40" s="3">
        <f ca="1"/>
        <v>2532279071.0069213</v>
      </c>
      <c r="I40" s="3">
        <f ca="1"/>
        <v>5532149</v>
      </c>
      <c r="J40" s="3">
        <f ca="1"/>
        <v>10717.033949999999</v>
      </c>
      <c r="K40" s="3">
        <f ca="1"/>
        <v>1121890584.1997764</v>
      </c>
    </row>
    <row r="41" spans="1:11" x14ac:dyDescent="0.3">
      <c r="A41" s="10">
        <f ca="1"/>
        <v>45971.229166666664</v>
      </c>
      <c r="B41" s="20">
        <f ca="1"/>
        <v>104722.95</v>
      </c>
      <c r="C41" s="20">
        <f ca="1"/>
        <v>106670.11</v>
      </c>
      <c r="D41" s="20">
        <f ca="1"/>
        <v>104265.02</v>
      </c>
      <c r="E41" s="20">
        <f ca="1"/>
        <v>106011.13</v>
      </c>
      <c r="F41" s="3">
        <f ca="1"/>
        <v>22682.256730000001</v>
      </c>
      <c r="G41" s="10">
        <f ca="1"/>
        <v>45972.229166655095</v>
      </c>
      <c r="H41" s="3">
        <f ca="1"/>
        <v>2400141664.3893418</v>
      </c>
      <c r="I41" s="3">
        <f ca="1"/>
        <v>4710957</v>
      </c>
      <c r="J41" s="3">
        <f ca="1"/>
        <v>11595.819439999999</v>
      </c>
      <c r="K41" s="3">
        <f ca="1"/>
        <v>1226965888.7467699</v>
      </c>
    </row>
    <row r="42" spans="1:11" x14ac:dyDescent="0.3">
      <c r="A42" s="10">
        <f ca="1"/>
        <v>45970.229166666664</v>
      </c>
      <c r="B42" s="20">
        <f ca="1"/>
        <v>102312.95</v>
      </c>
      <c r="C42" s="20">
        <f ca="1"/>
        <v>105495.62</v>
      </c>
      <c r="D42" s="20">
        <f ca="1"/>
        <v>101400</v>
      </c>
      <c r="E42" s="20">
        <f ca="1"/>
        <v>104722.96</v>
      </c>
      <c r="F42" s="3">
        <f ca="1"/>
        <v>16338.970960000001</v>
      </c>
      <c r="G42" s="10">
        <f ca="1"/>
        <v>45971.229166655095</v>
      </c>
      <c r="H42" s="3">
        <f ca="1"/>
        <v>1687020822.3668208</v>
      </c>
      <c r="I42" s="3">
        <f ca="1"/>
        <v>3404204</v>
      </c>
      <c r="J42" s="3">
        <f ca="1"/>
        <v>8224.9493899999998</v>
      </c>
      <c r="K42" s="3">
        <f ca="1"/>
        <v>849620657.08690965</v>
      </c>
    </row>
    <row r="43" spans="1:11" x14ac:dyDescent="0.3">
      <c r="A43" s="10">
        <f ca="1"/>
        <v>45969.229166666664</v>
      </c>
      <c r="B43" s="20">
        <f ca="1"/>
        <v>103339.09</v>
      </c>
      <c r="C43" s="20">
        <f ca="1"/>
        <v>103406.22</v>
      </c>
      <c r="D43" s="20">
        <f ca="1"/>
        <v>101454</v>
      </c>
      <c r="E43" s="20">
        <f ca="1"/>
        <v>102312.94</v>
      </c>
      <c r="F43" s="3">
        <f ca="1"/>
        <v>12390.779850000001</v>
      </c>
      <c r="G43" s="10">
        <f ca="1"/>
        <v>45970.229166655095</v>
      </c>
      <c r="H43" s="3">
        <f ca="1"/>
        <v>1267165565.3752701</v>
      </c>
      <c r="I43" s="3">
        <f ca="1"/>
        <v>2743819</v>
      </c>
      <c r="J43" s="3">
        <f ca="1"/>
        <v>5862.6597700000002</v>
      </c>
      <c r="K43" s="3">
        <f ca="1"/>
        <v>599611355.36714673</v>
      </c>
    </row>
    <row r="44" spans="1:11" x14ac:dyDescent="0.3">
      <c r="A44" s="10">
        <f ca="1"/>
        <v>45968.229166666664</v>
      </c>
      <c r="B44" s="20">
        <f ca="1"/>
        <v>101346.04</v>
      </c>
      <c r="C44" s="20">
        <f ca="1"/>
        <v>104096.36</v>
      </c>
      <c r="D44" s="20">
        <f ca="1"/>
        <v>99260.86</v>
      </c>
      <c r="E44" s="20">
        <f ca="1"/>
        <v>103339.08</v>
      </c>
      <c r="F44" s="3">
        <f ca="1"/>
        <v>32059.509419999998</v>
      </c>
      <c r="G44" s="10">
        <f ca="1"/>
        <v>45969.229166655095</v>
      </c>
      <c r="H44" s="3">
        <f ca="1"/>
        <v>3251112979.3058839</v>
      </c>
      <c r="I44" s="3">
        <f ca="1"/>
        <v>6335759</v>
      </c>
      <c r="J44" s="3">
        <f ca="1"/>
        <v>16056.80582</v>
      </c>
      <c r="K44" s="3">
        <f ca="1"/>
        <v>1629564159.11658</v>
      </c>
    </row>
    <row r="45" spans="1:11" x14ac:dyDescent="0.3">
      <c r="A45" s="10">
        <f ca="1"/>
        <v>45967.229166666664</v>
      </c>
      <c r="B45" s="20">
        <f ca="1"/>
        <v>103885.16</v>
      </c>
      <c r="C45" s="20">
        <f ca="1"/>
        <v>104200</v>
      </c>
      <c r="D45" s="20">
        <f ca="1"/>
        <v>100300.95</v>
      </c>
      <c r="E45" s="20">
        <f ca="1"/>
        <v>101346.04</v>
      </c>
      <c r="F45" s="3">
        <f ca="1"/>
        <v>25814.62139</v>
      </c>
      <c r="G45" s="10">
        <f ca="1"/>
        <v>45968.229166655095</v>
      </c>
      <c r="H45" s="3">
        <f ca="1"/>
        <v>2641767846.3058271</v>
      </c>
      <c r="I45" s="3">
        <f ca="1"/>
        <v>5755001</v>
      </c>
      <c r="J45" s="3">
        <f ca="1"/>
        <v>11972.54796</v>
      </c>
      <c r="K45" s="3">
        <f ca="1"/>
        <v>1225474173.0204284</v>
      </c>
    </row>
    <row r="46" spans="1:11" x14ac:dyDescent="0.3">
      <c r="A46" s="10">
        <f ca="1"/>
        <v>45966.229166666664</v>
      </c>
      <c r="B46" s="20">
        <f ca="1"/>
        <v>101497.23</v>
      </c>
      <c r="C46" s="20">
        <f ca="1"/>
        <v>104534.74</v>
      </c>
      <c r="D46" s="20">
        <f ca="1"/>
        <v>98966.8</v>
      </c>
      <c r="E46" s="20">
        <f ca="1"/>
        <v>103885.16</v>
      </c>
      <c r="F46" s="3">
        <f ca="1"/>
        <v>33778.775710000002</v>
      </c>
      <c r="G46" s="10">
        <f ca="1"/>
        <v>45967.229166655095</v>
      </c>
      <c r="H46" s="3">
        <f ca="1"/>
        <v>3454273922.7003851</v>
      </c>
      <c r="I46" s="3">
        <f ca="1"/>
        <v>6500368</v>
      </c>
      <c r="J46" s="3">
        <f ca="1"/>
        <v>18126.848279999998</v>
      </c>
      <c r="K46" s="3">
        <f ca="1"/>
        <v>1854232277.0330112</v>
      </c>
    </row>
    <row r="47" spans="1:11" x14ac:dyDescent="0.3">
      <c r="A47" s="10">
        <f ca="1"/>
        <v>45965.229166666664</v>
      </c>
      <c r="B47" s="20">
        <f ca="1"/>
        <v>106583.05</v>
      </c>
      <c r="C47" s="20">
        <f ca="1"/>
        <v>107299</v>
      </c>
      <c r="D47" s="20">
        <f ca="1"/>
        <v>98944.36</v>
      </c>
      <c r="E47" s="20">
        <f ca="1"/>
        <v>101497.22</v>
      </c>
      <c r="F47" s="3">
        <f ca="1"/>
        <v>50534.873760000002</v>
      </c>
      <c r="G47" s="10">
        <f ca="1"/>
        <v>45966.229166655095</v>
      </c>
      <c r="H47" s="3">
        <f ca="1"/>
        <v>5197697635.2124128</v>
      </c>
      <c r="I47" s="3">
        <f ca="1"/>
        <v>9099609</v>
      </c>
      <c r="J47" s="3">
        <f ca="1"/>
        <v>23388.990330000001</v>
      </c>
      <c r="K47" s="3">
        <f ca="1"/>
        <v>2406186713.1705298</v>
      </c>
    </row>
    <row r="48" spans="1:11" x14ac:dyDescent="0.3">
      <c r="A48" s="10">
        <f ca="1"/>
        <v>45964.229166666664</v>
      </c>
      <c r="B48" s="20">
        <f ca="1"/>
        <v>110540.69</v>
      </c>
      <c r="C48" s="20">
        <f ca="1"/>
        <v>110750</v>
      </c>
      <c r="D48" s="20">
        <f ca="1"/>
        <v>105306.56</v>
      </c>
      <c r="E48" s="20">
        <f ca="1"/>
        <v>106583.03999999999</v>
      </c>
      <c r="F48" s="3">
        <f ca="1"/>
        <v>28681.18779</v>
      </c>
      <c r="G48" s="10">
        <f ca="1"/>
        <v>45965.229166655095</v>
      </c>
      <c r="H48" s="3">
        <f ca="1"/>
        <v>3076006652.0015674</v>
      </c>
      <c r="I48" s="3">
        <f ca="1"/>
        <v>7074546</v>
      </c>
      <c r="J48" s="3">
        <f ca="1"/>
        <v>12847.08574</v>
      </c>
      <c r="K48" s="3">
        <f ca="1"/>
        <v>1377869106.6681776</v>
      </c>
    </row>
    <row r="49" spans="1:11" x14ac:dyDescent="0.3">
      <c r="A49" s="10">
        <f ca="1"/>
        <v>45963.229166666664</v>
      </c>
      <c r="B49" s="20">
        <f ca="1"/>
        <v>110098.1</v>
      </c>
      <c r="C49" s="20">
        <f ca="1"/>
        <v>111250.01</v>
      </c>
      <c r="D49" s="20">
        <f ca="1"/>
        <v>109471.34</v>
      </c>
      <c r="E49" s="20">
        <f ca="1"/>
        <v>110540.68</v>
      </c>
      <c r="F49" s="3">
        <f ca="1"/>
        <v>12107.00087</v>
      </c>
      <c r="G49" s="10">
        <f ca="1"/>
        <v>45964.229166655095</v>
      </c>
      <c r="H49" s="3">
        <f ca="1"/>
        <v>1336870531.1415012</v>
      </c>
      <c r="I49" s="3">
        <f ca="1"/>
        <v>2652188</v>
      </c>
      <c r="J49" s="3">
        <f ca="1"/>
        <v>5921.8645299999998</v>
      </c>
      <c r="K49" s="3">
        <f ca="1"/>
        <v>654016950.2549777</v>
      </c>
    </row>
    <row r="50" spans="1:11" x14ac:dyDescent="0.3">
      <c r="A50" s="10">
        <f ca="1"/>
        <v>45962.229166666664</v>
      </c>
      <c r="B50" s="20">
        <f ca="1"/>
        <v>109608.01</v>
      </c>
      <c r="C50" s="20">
        <f ca="1"/>
        <v>110564.49</v>
      </c>
      <c r="D50" s="20">
        <f ca="1"/>
        <v>109394.81</v>
      </c>
      <c r="E50" s="20">
        <f ca="1"/>
        <v>110098.1</v>
      </c>
      <c r="F50" s="3">
        <f ca="1"/>
        <v>7378.5043100000003</v>
      </c>
      <c r="G50" s="10">
        <f ca="1"/>
        <v>45963.229166655095</v>
      </c>
      <c r="H50" s="3">
        <f ca="1"/>
        <v>812389216.43467975</v>
      </c>
      <c r="I50" s="3">
        <f ca="1"/>
        <v>1994214</v>
      </c>
      <c r="J50" s="3">
        <f ca="1"/>
        <v>3406.6840099999999</v>
      </c>
      <c r="K50" s="3">
        <f ca="1"/>
        <v>375126956.08097219</v>
      </c>
    </row>
    <row r="51" spans="1:11" x14ac:dyDescent="0.3">
      <c r="A51" s="10">
        <f ca="1"/>
        <v>45961.229166666664</v>
      </c>
      <c r="B51" s="20">
        <f ca="1"/>
        <v>108322.87</v>
      </c>
      <c r="C51" s="20">
        <f ca="1"/>
        <v>111190</v>
      </c>
      <c r="D51" s="20">
        <f ca="1"/>
        <v>108275.28</v>
      </c>
      <c r="E51" s="20">
        <f ca="1"/>
        <v>109608.01</v>
      </c>
      <c r="F51" s="3">
        <f ca="1"/>
        <v>21518.204389999999</v>
      </c>
      <c r="G51" s="10">
        <f ca="1"/>
        <v>45962.229166655095</v>
      </c>
      <c r="H51" s="3">
        <f ca="1"/>
        <v>2361590437.9414105</v>
      </c>
      <c r="I51" s="3">
        <f ca="1"/>
        <v>5256872</v>
      </c>
      <c r="J51" s="3">
        <f ca="1"/>
        <v>10798.53938</v>
      </c>
      <c r="K51" s="3">
        <f ca="1"/>
        <v>1185034290.9237797</v>
      </c>
    </row>
    <row r="52" spans="1:11" x14ac:dyDescent="0.3">
      <c r="A52" s="10">
        <f ca="1"/>
        <v>45960.229166666664</v>
      </c>
      <c r="B52" s="20">
        <f ca="1"/>
        <v>110021.3</v>
      </c>
      <c r="C52" s="20">
        <f ca="1"/>
        <v>111592</v>
      </c>
      <c r="D52" s="20">
        <f ca="1"/>
        <v>106304.34</v>
      </c>
      <c r="E52" s="20">
        <f ca="1"/>
        <v>108322.88</v>
      </c>
      <c r="F52" s="3">
        <f ca="1"/>
        <v>25988.828379999999</v>
      </c>
      <c r="G52" s="10">
        <f ca="1"/>
        <v>45961.229166655095</v>
      </c>
      <c r="H52" s="3">
        <f ca="1"/>
        <v>2827221287.4227977</v>
      </c>
      <c r="I52" s="3">
        <f ca="1"/>
        <v>6373451</v>
      </c>
      <c r="J52" s="3">
        <f ca="1"/>
        <v>12551.131439999999</v>
      </c>
      <c r="K52" s="3">
        <f ca="1"/>
        <v>1365671836.7455924</v>
      </c>
    </row>
    <row r="53" spans="1:11" x14ac:dyDescent="0.3">
      <c r="A53" s="10">
        <f ca="1"/>
        <v>45959.229166666664</v>
      </c>
      <c r="B53" s="20">
        <f ca="1"/>
        <v>112898.44</v>
      </c>
      <c r="C53" s="20">
        <f ca="1"/>
        <v>113643.73</v>
      </c>
      <c r="D53" s="20">
        <f ca="1"/>
        <v>109200</v>
      </c>
      <c r="E53" s="20">
        <f ca="1"/>
        <v>110021.29</v>
      </c>
      <c r="F53" s="3">
        <f ca="1"/>
        <v>21079.713759999999</v>
      </c>
      <c r="G53" s="10">
        <f ca="1"/>
        <v>45960.229166655095</v>
      </c>
      <c r="H53" s="3">
        <f ca="1"/>
        <v>2356715986.5335455</v>
      </c>
      <c r="I53" s="3">
        <f ca="1"/>
        <v>4481480</v>
      </c>
      <c r="J53" s="3">
        <f ca="1"/>
        <v>10407.072330000001</v>
      </c>
      <c r="K53" s="3">
        <f ca="1"/>
        <v>1163985607.3569086</v>
      </c>
    </row>
    <row r="54" spans="1:11" x14ac:dyDescent="0.3">
      <c r="A54" s="10">
        <f ca="1"/>
        <v>45958.229166666664</v>
      </c>
      <c r="B54" s="20">
        <f ca="1"/>
        <v>114107.65</v>
      </c>
      <c r="C54" s="20">
        <f ca="1"/>
        <v>116086</v>
      </c>
      <c r="D54" s="20">
        <f ca="1"/>
        <v>112211</v>
      </c>
      <c r="E54" s="20">
        <f ca="1"/>
        <v>112898.45</v>
      </c>
      <c r="F54" s="3">
        <f ca="1"/>
        <v>15523.422570000001</v>
      </c>
      <c r="G54" s="10">
        <f ca="1"/>
        <v>45959.229166655095</v>
      </c>
      <c r="H54" s="3">
        <f ca="1"/>
        <v>1772753529.8642743</v>
      </c>
      <c r="I54" s="3">
        <f ca="1"/>
        <v>3829845</v>
      </c>
      <c r="J54" s="3">
        <f ca="1"/>
        <v>7765.31574</v>
      </c>
      <c r="K54" s="3">
        <f ca="1"/>
        <v>887031686.01637244</v>
      </c>
    </row>
    <row r="55" spans="1:11" x14ac:dyDescent="0.3">
      <c r="A55" s="10">
        <f ca="1"/>
        <v>45957.229166666664</v>
      </c>
      <c r="B55" s="20">
        <f ca="1"/>
        <v>114559.41</v>
      </c>
      <c r="C55" s="20">
        <f ca="1"/>
        <v>116400</v>
      </c>
      <c r="D55" s="20">
        <f ca="1"/>
        <v>113830.01</v>
      </c>
      <c r="E55" s="20">
        <f ca="1"/>
        <v>114107.65</v>
      </c>
      <c r="F55" s="3">
        <f ca="1"/>
        <v>21450.232410000001</v>
      </c>
      <c r="G55" s="10">
        <f ca="1"/>
        <v>45958.229166655095</v>
      </c>
      <c r="H55" s="3">
        <f ca="1"/>
        <v>2470872744.5489683</v>
      </c>
      <c r="I55" s="3">
        <f ca="1"/>
        <v>3660488</v>
      </c>
      <c r="J55" s="3">
        <f ca="1"/>
        <v>10969.70182</v>
      </c>
      <c r="K55" s="3">
        <f ca="1"/>
        <v>1263753536.9973898</v>
      </c>
    </row>
    <row r="56" spans="1:11" x14ac:dyDescent="0.3">
      <c r="A56" s="10">
        <f ca="1"/>
        <v>45956.229166666664</v>
      </c>
      <c r="B56" s="20">
        <f ca="1"/>
        <v>111646.27</v>
      </c>
      <c r="C56" s="20">
        <f ca="1"/>
        <v>115466.8</v>
      </c>
      <c r="D56" s="20">
        <f ca="1"/>
        <v>111260.45</v>
      </c>
      <c r="E56" s="20">
        <f ca="1"/>
        <v>114559.4</v>
      </c>
      <c r="F56" s="3">
        <f ca="1"/>
        <v>13454.477370000001</v>
      </c>
      <c r="G56" s="10">
        <f ca="1"/>
        <v>45957.229166655095</v>
      </c>
      <c r="H56" s="3">
        <f ca="1"/>
        <v>1525108635.8748291</v>
      </c>
      <c r="I56" s="3">
        <f ca="1"/>
        <v>2463951</v>
      </c>
      <c r="J56" s="3">
        <f ca="1"/>
        <v>6982.1815399999996</v>
      </c>
      <c r="K56" s="3">
        <f ca="1"/>
        <v>791462349.35160565</v>
      </c>
    </row>
    <row r="57" spans="1:11" x14ac:dyDescent="0.3">
      <c r="A57" s="10">
        <f ca="1"/>
        <v>45955.229166666664</v>
      </c>
      <c r="B57" s="20">
        <f ca="1"/>
        <v>111004.9</v>
      </c>
      <c r="C57" s="20">
        <f ca="1"/>
        <v>111943.19</v>
      </c>
      <c r="D57" s="20">
        <f ca="1"/>
        <v>110672.86</v>
      </c>
      <c r="E57" s="20">
        <f ca="1"/>
        <v>111646.27</v>
      </c>
      <c r="F57" s="3">
        <f ca="1"/>
        <v>6407.9686400000001</v>
      </c>
      <c r="G57" s="10">
        <f ca="1"/>
        <v>45956.229166655095</v>
      </c>
      <c r="H57" s="3">
        <f ca="1"/>
        <v>714201332.97512245</v>
      </c>
      <c r="I57" s="3">
        <f ca="1"/>
        <v>1238199</v>
      </c>
      <c r="J57" s="3">
        <f ca="1"/>
        <v>3087.0866000000001</v>
      </c>
      <c r="K57" s="3">
        <f ca="1"/>
        <v>344113931.79994518</v>
      </c>
    </row>
    <row r="58" spans="1:11" x14ac:dyDescent="0.3">
      <c r="A58" s="10">
        <f ca="1"/>
        <v>45954.229166666664</v>
      </c>
      <c r="B58" s="20">
        <f ca="1"/>
        <v>110078.19</v>
      </c>
      <c r="C58" s="20">
        <f ca="1"/>
        <v>112104.98</v>
      </c>
      <c r="D58" s="20">
        <f ca="1"/>
        <v>109700.01</v>
      </c>
      <c r="E58" s="20">
        <f ca="1"/>
        <v>111004.89</v>
      </c>
      <c r="F58" s="3">
        <f ca="1"/>
        <v>15005.16913</v>
      </c>
      <c r="G58" s="10">
        <f ca="1"/>
        <v>45955.229166655095</v>
      </c>
      <c r="H58" s="3">
        <f ca="1"/>
        <v>1662806764.9533324</v>
      </c>
      <c r="I58" s="3">
        <f ca="1"/>
        <v>3241022</v>
      </c>
      <c r="J58" s="3">
        <f ca="1"/>
        <v>7511.2434000000003</v>
      </c>
      <c r="K58" s="3">
        <f ca="1"/>
        <v>832390454.80762255</v>
      </c>
    </row>
    <row r="59" spans="1:11" x14ac:dyDescent="0.3">
      <c r="A59" s="10">
        <f ca="1"/>
        <v>45953.229166666664</v>
      </c>
      <c r="B59" s="20">
        <f ca="1"/>
        <v>107567.45</v>
      </c>
      <c r="C59" s="20">
        <f ca="1"/>
        <v>111293.61</v>
      </c>
      <c r="D59" s="20">
        <f ca="1"/>
        <v>107500</v>
      </c>
      <c r="E59" s="20">
        <f ca="1"/>
        <v>110078.18</v>
      </c>
      <c r="F59" s="3">
        <f ca="1"/>
        <v>17573.092939999999</v>
      </c>
      <c r="G59" s="10">
        <f ca="1"/>
        <v>45954.229166655095</v>
      </c>
      <c r="H59" s="3">
        <f ca="1"/>
        <v>1924582289.4113939</v>
      </c>
      <c r="I59" s="3">
        <f ca="1"/>
        <v>3721614</v>
      </c>
      <c r="J59" s="3">
        <f ca="1"/>
        <v>8575.3371599999991</v>
      </c>
      <c r="K59" s="3">
        <f ca="1"/>
        <v>938905317.70341074</v>
      </c>
    </row>
    <row r="60" spans="1:11" x14ac:dyDescent="0.3">
      <c r="A60" s="10">
        <f ca="1"/>
        <v>45952.229166666664</v>
      </c>
      <c r="B60" s="20">
        <f ca="1"/>
        <v>108297.66</v>
      </c>
      <c r="C60" s="20">
        <f ca="1"/>
        <v>109163.88</v>
      </c>
      <c r="D60" s="20">
        <f ca="1"/>
        <v>106666.69</v>
      </c>
      <c r="E60" s="20">
        <f ca="1"/>
        <v>107567.44</v>
      </c>
      <c r="F60" s="3">
        <f ca="1"/>
        <v>28610.784510000001</v>
      </c>
      <c r="G60" s="10">
        <f ca="1"/>
        <v>45953.229166655095</v>
      </c>
      <c r="H60" s="3">
        <f ca="1"/>
        <v>3090291706.4439816</v>
      </c>
      <c r="I60" s="3">
        <f ca="1"/>
        <v>5547903</v>
      </c>
      <c r="J60" s="3">
        <f ca="1"/>
        <v>13766.588610000001</v>
      </c>
      <c r="K60" s="3">
        <f ca="1"/>
        <v>1487179903.5999787</v>
      </c>
    </row>
    <row r="61" spans="1:11" x14ac:dyDescent="0.3">
      <c r="A61" s="10">
        <f ca="1"/>
        <v>45951.229166666664</v>
      </c>
      <c r="B61" s="20">
        <f ca="1"/>
        <v>110532.09</v>
      </c>
      <c r="C61" s="20">
        <f ca="1"/>
        <v>114000</v>
      </c>
      <c r="D61" s="20">
        <f ca="1"/>
        <v>107473.72</v>
      </c>
      <c r="E61" s="20">
        <f ca="1"/>
        <v>108297.67</v>
      </c>
      <c r="F61" s="3">
        <f ca="1"/>
        <v>37228.016589999999</v>
      </c>
      <c r="G61" s="10">
        <f ca="1"/>
        <v>45952.229166655095</v>
      </c>
      <c r="H61" s="3">
        <f ca="1"/>
        <v>4114477849.932054</v>
      </c>
      <c r="I61" s="3">
        <f ca="1"/>
        <v>6004063</v>
      </c>
      <c r="J61" s="3">
        <f ca="1"/>
        <v>17034.071550000001</v>
      </c>
      <c r="K61" s="3">
        <f ca="1"/>
        <v>1881327751.3346128</v>
      </c>
    </row>
    <row r="62" spans="1:11" x14ac:dyDescent="0.3">
      <c r="A62" s="10">
        <f ca="1"/>
        <v>45950.229166666664</v>
      </c>
      <c r="B62" s="20">
        <f ca="1"/>
        <v>108642.77</v>
      </c>
      <c r="C62" s="20">
        <f ca="1"/>
        <v>111705.56</v>
      </c>
      <c r="D62" s="20">
        <f ca="1"/>
        <v>107402.52</v>
      </c>
      <c r="E62" s="20">
        <f ca="1"/>
        <v>110532.09</v>
      </c>
      <c r="F62" s="3">
        <f ca="1"/>
        <v>19193.441599999998</v>
      </c>
      <c r="G62" s="10">
        <f ca="1"/>
        <v>45951.229166655095</v>
      </c>
      <c r="H62" s="3">
        <f ca="1"/>
        <v>2119912185.5934682</v>
      </c>
      <c r="I62" s="3">
        <f ca="1"/>
        <v>4283542</v>
      </c>
      <c r="J62" s="3">
        <f ca="1"/>
        <v>9280.5007499999992</v>
      </c>
      <c r="K62" s="3">
        <f ca="1"/>
        <v>1024925788.7216991</v>
      </c>
    </row>
    <row r="63" spans="1:11" x14ac:dyDescent="0.3">
      <c r="A63" s="10">
        <f ca="1"/>
        <v>45949.229166666664</v>
      </c>
      <c r="B63" s="20">
        <f ca="1"/>
        <v>107185</v>
      </c>
      <c r="C63" s="20">
        <f ca="1"/>
        <v>109450.07</v>
      </c>
      <c r="D63" s="20">
        <f ca="1"/>
        <v>106103.36</v>
      </c>
      <c r="E63" s="20">
        <f ca="1"/>
        <v>108642.78</v>
      </c>
      <c r="F63" s="3">
        <f ca="1"/>
        <v>15480.66423</v>
      </c>
      <c r="G63" s="10">
        <f ca="1"/>
        <v>45950.229166655095</v>
      </c>
      <c r="H63" s="3">
        <f ca="1"/>
        <v>1670074079.5802343</v>
      </c>
      <c r="I63" s="3">
        <f ca="1"/>
        <v>3205640</v>
      </c>
      <c r="J63" s="3">
        <f ca="1"/>
        <v>7100.3101299999998</v>
      </c>
      <c r="K63" s="3">
        <f ca="1"/>
        <v>766423535.81773782</v>
      </c>
    </row>
    <row r="64" spans="1:11" x14ac:dyDescent="0.3">
      <c r="A64" s="10">
        <f ca="1"/>
        <v>45948.229166666664</v>
      </c>
      <c r="B64" s="20">
        <f ca="1"/>
        <v>106431.67999999999</v>
      </c>
      <c r="C64" s="20">
        <f ca="1"/>
        <v>107499</v>
      </c>
      <c r="D64" s="20">
        <f ca="1"/>
        <v>106322.2</v>
      </c>
      <c r="E64" s="20">
        <f ca="1"/>
        <v>107185.01</v>
      </c>
      <c r="F64" s="3">
        <f ca="1"/>
        <v>11123.18766</v>
      </c>
      <c r="G64" s="10">
        <f ca="1"/>
        <v>45949.229166655095</v>
      </c>
      <c r="H64" s="3">
        <f ca="1"/>
        <v>1189002999.1431129</v>
      </c>
      <c r="I64" s="3">
        <f ca="1"/>
        <v>2105450</v>
      </c>
      <c r="J64" s="3">
        <f ca="1"/>
        <v>4845.8564100000003</v>
      </c>
      <c r="K64" s="3">
        <f ca="1"/>
        <v>518065716.6618129</v>
      </c>
    </row>
    <row r="65" spans="1:11" x14ac:dyDescent="0.3">
      <c r="A65" s="10">
        <f ca="1"/>
        <v>45947.229166666664</v>
      </c>
      <c r="B65" s="20">
        <f ca="1"/>
        <v>108194.27</v>
      </c>
      <c r="C65" s="20">
        <f ca="1"/>
        <v>109240</v>
      </c>
      <c r="D65" s="20">
        <f ca="1"/>
        <v>103528.23</v>
      </c>
      <c r="E65" s="20">
        <f ca="1"/>
        <v>106431.67999999999</v>
      </c>
      <c r="F65" s="3">
        <f ca="1"/>
        <v>37920.668380000003</v>
      </c>
      <c r="G65" s="10">
        <f ca="1"/>
        <v>45948.229166655095</v>
      </c>
      <c r="H65" s="3">
        <f ca="1"/>
        <v>4022645635.2212019</v>
      </c>
      <c r="I65" s="3">
        <f ca="1"/>
        <v>7570685</v>
      </c>
      <c r="J65" s="3">
        <f ca="1"/>
        <v>17996.999459999999</v>
      </c>
      <c r="K65" s="3">
        <f ca="1"/>
        <v>1909654487.4562209</v>
      </c>
    </row>
    <row r="66" spans="1:11" x14ac:dyDescent="0.3">
      <c r="A66" s="10">
        <f ca="1"/>
        <v>45946.229166666664</v>
      </c>
      <c r="B66" s="20">
        <f ca="1"/>
        <v>110763.28</v>
      </c>
      <c r="C66" s="20">
        <f ca="1"/>
        <v>111982.45</v>
      </c>
      <c r="D66" s="20">
        <f ca="1"/>
        <v>107427</v>
      </c>
      <c r="E66" s="20">
        <f ca="1"/>
        <v>108194.28</v>
      </c>
      <c r="F66" s="3">
        <f ca="1"/>
        <v>29857.17252</v>
      </c>
      <c r="G66" s="10">
        <f ca="1"/>
        <v>45947.229166655095</v>
      </c>
      <c r="H66" s="3">
        <f ca="1"/>
        <v>3277596494.7619195</v>
      </c>
      <c r="I66" s="3">
        <f ca="1"/>
        <v>6127094</v>
      </c>
      <c r="J66" s="3">
        <f ca="1"/>
        <v>13126.95119</v>
      </c>
      <c r="K66" s="3">
        <f ca="1"/>
        <v>1441416875.1263771</v>
      </c>
    </row>
    <row r="67" spans="1:11" x14ac:dyDescent="0.3">
      <c r="A67" s="10">
        <f ca="1"/>
        <v>45945.229166666664</v>
      </c>
      <c r="B67" s="20">
        <f ca="1"/>
        <v>113028.13</v>
      </c>
      <c r="C67" s="20">
        <f ca="1"/>
        <v>113612.35</v>
      </c>
      <c r="D67" s="20">
        <f ca="1"/>
        <v>110164</v>
      </c>
      <c r="E67" s="20">
        <f ca="1"/>
        <v>110763.28</v>
      </c>
      <c r="F67" s="3">
        <f ca="1"/>
        <v>22986.488109999998</v>
      </c>
      <c r="G67" s="10">
        <f ca="1"/>
        <v>45946.229166655095</v>
      </c>
      <c r="H67" s="3">
        <f ca="1"/>
        <v>2569639641.3527684</v>
      </c>
      <c r="I67" s="3">
        <f ca="1"/>
        <v>5243141</v>
      </c>
      <c r="J67" s="3">
        <f ca="1"/>
        <v>10499.318310000001</v>
      </c>
      <c r="K67" s="3">
        <f ca="1"/>
        <v>1173678794.920774</v>
      </c>
    </row>
    <row r="68" spans="1:11" x14ac:dyDescent="0.3">
      <c r="A68" s="10">
        <f ca="1"/>
        <v>45944.229166666664</v>
      </c>
      <c r="B68" s="20">
        <f ca="1"/>
        <v>115166</v>
      </c>
      <c r="C68" s="20">
        <f ca="1"/>
        <v>115409.96</v>
      </c>
      <c r="D68" s="20">
        <f ca="1"/>
        <v>109866</v>
      </c>
      <c r="E68" s="20">
        <f ca="1"/>
        <v>113028.14</v>
      </c>
      <c r="F68" s="3">
        <f ca="1"/>
        <v>31870.329740000001</v>
      </c>
      <c r="G68" s="10">
        <f ca="1"/>
        <v>45945.229166655095</v>
      </c>
      <c r="H68" s="3">
        <f ca="1"/>
        <v>3578140778.8084989</v>
      </c>
      <c r="I68" s="3">
        <f ca="1"/>
        <v>7425642</v>
      </c>
      <c r="J68" s="3">
        <f ca="1"/>
        <v>14944.19197</v>
      </c>
      <c r="K68" s="3">
        <f ca="1"/>
        <v>1677011392.6343808</v>
      </c>
    </row>
    <row r="69" spans="1:11" x14ac:dyDescent="0.3">
      <c r="A69" s="10">
        <f ca="1"/>
        <v>45943.229166666664</v>
      </c>
      <c r="B69" s="20">
        <f ca="1"/>
        <v>114958.81</v>
      </c>
      <c r="C69" s="20">
        <f ca="1"/>
        <v>115963.81</v>
      </c>
      <c r="D69" s="20">
        <f ca="1"/>
        <v>113616.5</v>
      </c>
      <c r="E69" s="20">
        <f ca="1"/>
        <v>115166</v>
      </c>
      <c r="F69" s="3">
        <f ca="1"/>
        <v>22557.240330000001</v>
      </c>
      <c r="G69" s="10">
        <f ca="1"/>
        <v>45944.229166655095</v>
      </c>
      <c r="H69" s="3">
        <f ca="1"/>
        <v>2591831660.9857492</v>
      </c>
      <c r="I69" s="3">
        <f ca="1"/>
        <v>5739352</v>
      </c>
      <c r="J69" s="3">
        <f ca="1"/>
        <v>10710.89723</v>
      </c>
      <c r="K69" s="3">
        <f ca="1"/>
        <v>1230950583.8424666</v>
      </c>
    </row>
    <row r="70" spans="1:11" x14ac:dyDescent="0.3">
      <c r="A70" s="10">
        <f ca="1"/>
        <v>45942.229166666664</v>
      </c>
      <c r="B70" s="20">
        <f ca="1"/>
        <v>110644.4</v>
      </c>
      <c r="C70" s="20">
        <f ca="1"/>
        <v>115770</v>
      </c>
      <c r="D70" s="20">
        <f ca="1"/>
        <v>109565.06</v>
      </c>
      <c r="E70" s="20">
        <f ca="1"/>
        <v>114958.8</v>
      </c>
      <c r="F70" s="3">
        <f ca="1"/>
        <v>32255.30272</v>
      </c>
      <c r="G70" s="10">
        <f ca="1"/>
        <v>45943.229166655095</v>
      </c>
      <c r="H70" s="3">
        <f ca="1"/>
        <v>3638546528.7401557</v>
      </c>
      <c r="I70" s="3">
        <f ca="1"/>
        <v>6048575</v>
      </c>
      <c r="J70" s="3">
        <f ca="1"/>
        <v>16915.445329999999</v>
      </c>
      <c r="K70" s="3">
        <f ca="1"/>
        <v>1907676479.1772509</v>
      </c>
    </row>
    <row r="71" spans="1:11" x14ac:dyDescent="0.3">
      <c r="A71" s="10">
        <f ca="1"/>
        <v>45941.229166666664</v>
      </c>
      <c r="B71" s="20">
        <f ca="1"/>
        <v>112774.49</v>
      </c>
      <c r="C71" s="20">
        <f ca="1"/>
        <v>113322.39</v>
      </c>
      <c r="D71" s="20">
        <f ca="1"/>
        <v>109561.59</v>
      </c>
      <c r="E71" s="20">
        <f ca="1"/>
        <v>110644.4</v>
      </c>
      <c r="F71" s="3">
        <f ca="1"/>
        <v>35448.516519999997</v>
      </c>
      <c r="G71" s="10">
        <f ca="1"/>
        <v>45942.229166655095</v>
      </c>
      <c r="H71" s="3">
        <f ca="1"/>
        <v>3961069473.2311363</v>
      </c>
      <c r="I71" s="3">
        <f ca="1"/>
        <v>6661929</v>
      </c>
      <c r="J71" s="3">
        <f ca="1"/>
        <v>15375.94796</v>
      </c>
      <c r="K71" s="3">
        <f ca="1"/>
        <v>1718429599.5669522</v>
      </c>
    </row>
    <row r="72" spans="1:11" x14ac:dyDescent="0.3">
      <c r="A72" s="10">
        <f ca="1"/>
        <v>45940.229166666664</v>
      </c>
      <c r="B72" s="20">
        <f ca="1"/>
        <v>121662.41</v>
      </c>
      <c r="C72" s="20">
        <f ca="1"/>
        <v>122550</v>
      </c>
      <c r="D72" s="20">
        <f ca="1"/>
        <v>102000</v>
      </c>
      <c r="E72" s="20">
        <f ca="1"/>
        <v>112774.5</v>
      </c>
      <c r="F72" s="3">
        <f ca="1"/>
        <v>64171.939270000003</v>
      </c>
      <c r="G72" s="10">
        <f ca="1"/>
        <v>45941.229166655095</v>
      </c>
      <c r="H72" s="3">
        <f ca="1"/>
        <v>7349750905.0411577</v>
      </c>
      <c r="I72" s="3">
        <f ca="1"/>
        <v>11404522</v>
      </c>
      <c r="J72" s="3">
        <f ca="1"/>
        <v>30502.142970000001</v>
      </c>
      <c r="K72" s="3">
        <f ca="1"/>
        <v>3493298452.8460078</v>
      </c>
    </row>
    <row r="73" spans="1:11" x14ac:dyDescent="0.3">
      <c r="A73" s="10">
        <f ca="1"/>
        <v>45939.229166666664</v>
      </c>
      <c r="B73" s="20">
        <f ca="1"/>
        <v>123306.01</v>
      </c>
      <c r="C73" s="20">
        <f ca="1"/>
        <v>123762.94</v>
      </c>
      <c r="D73" s="20">
        <f ca="1"/>
        <v>119651.47</v>
      </c>
      <c r="E73" s="20">
        <f ca="1"/>
        <v>121662.39999999999</v>
      </c>
      <c r="F73" s="3">
        <f ca="1"/>
        <v>21559.360069999999</v>
      </c>
      <c r="G73" s="10">
        <f ca="1"/>
        <v>45940.229166655095</v>
      </c>
      <c r="H73" s="3">
        <f ca="1"/>
        <v>2621438087.5667329</v>
      </c>
      <c r="I73" s="3">
        <f ca="1"/>
        <v>4231167</v>
      </c>
      <c r="J73" s="3">
        <f ca="1"/>
        <v>10144.15364</v>
      </c>
      <c r="K73" s="3">
        <f ca="1"/>
        <v>1233882833.5642388</v>
      </c>
    </row>
    <row r="74" spans="1:11" x14ac:dyDescent="0.3">
      <c r="A74" s="10">
        <f ca="1"/>
        <v>45938.229166666664</v>
      </c>
      <c r="B74" s="20">
        <f ca="1"/>
        <v>121332.96</v>
      </c>
      <c r="C74" s="20">
        <f ca="1"/>
        <v>124197.25</v>
      </c>
      <c r="D74" s="20">
        <f ca="1"/>
        <v>121066.14</v>
      </c>
      <c r="E74" s="20">
        <f ca="1"/>
        <v>123306</v>
      </c>
      <c r="F74" s="3">
        <f ca="1"/>
        <v>17012.617999999999</v>
      </c>
      <c r="G74" s="10">
        <f ca="1"/>
        <v>45939.229166655095</v>
      </c>
      <c r="H74" s="3">
        <f ca="1"/>
        <v>2084842842.441617</v>
      </c>
      <c r="I74" s="3">
        <f ca="1"/>
        <v>4184997</v>
      </c>
      <c r="J74" s="3">
        <f ca="1"/>
        <v>9039.0622199999998</v>
      </c>
      <c r="K74" s="3">
        <f ca="1"/>
        <v>1107976264.6948595</v>
      </c>
    </row>
    <row r="75" spans="1:11" x14ac:dyDescent="0.3">
      <c r="A75" s="10">
        <f ca="1"/>
        <v>45937.229166666664</v>
      </c>
      <c r="B75" s="20">
        <f ca="1"/>
        <v>124658.54</v>
      </c>
      <c r="C75" s="20">
        <f ca="1"/>
        <v>125126</v>
      </c>
      <c r="D75" s="20">
        <f ca="1"/>
        <v>120574.94</v>
      </c>
      <c r="E75" s="20">
        <f ca="1"/>
        <v>121332.95</v>
      </c>
      <c r="F75" s="3">
        <f ca="1"/>
        <v>21633.993849999999</v>
      </c>
      <c r="G75" s="10">
        <f ca="1"/>
        <v>45938.229166655095</v>
      </c>
      <c r="H75" s="3">
        <f ca="1"/>
        <v>2657405799.8705487</v>
      </c>
      <c r="I75" s="3">
        <f ca="1"/>
        <v>4390785</v>
      </c>
      <c r="J75" s="3">
        <f ca="1"/>
        <v>9699.3509900000008</v>
      </c>
      <c r="K75" s="3">
        <f ca="1"/>
        <v>1191947741.6989057</v>
      </c>
    </row>
    <row r="76" spans="1:11" x14ac:dyDescent="0.3">
      <c r="A76" s="10">
        <f ca="1"/>
        <v>45936.229166666664</v>
      </c>
      <c r="B76" s="20">
        <f ca="1"/>
        <v>123482.32</v>
      </c>
      <c r="C76" s="20">
        <f ca="1"/>
        <v>126199.63</v>
      </c>
      <c r="D76" s="20">
        <f ca="1"/>
        <v>123084</v>
      </c>
      <c r="E76" s="20">
        <f ca="1"/>
        <v>124658.54</v>
      </c>
      <c r="F76" s="3">
        <f ca="1"/>
        <v>19494.628793</v>
      </c>
      <c r="G76" s="10">
        <f ca="1"/>
        <v>45937.229166655095</v>
      </c>
      <c r="H76" s="3">
        <f ca="1"/>
        <v>2428828952.2653184</v>
      </c>
      <c r="I76" s="3">
        <f ca="1"/>
        <v>4206167</v>
      </c>
      <c r="J76" s="3">
        <f ca="1"/>
        <v>9963.0081530000007</v>
      </c>
      <c r="K76" s="3">
        <f ca="1"/>
        <v>1241625129.7177184</v>
      </c>
    </row>
    <row r="77" spans="1:11" x14ac:dyDescent="0.3">
      <c r="A77" s="10">
        <f ca="1"/>
        <v>45935.229166666664</v>
      </c>
      <c r="B77" s="20">
        <f ca="1"/>
        <v>122390.99</v>
      </c>
      <c r="C77" s="20">
        <f ca="1"/>
        <v>125708.42</v>
      </c>
      <c r="D77" s="20">
        <f ca="1"/>
        <v>122136</v>
      </c>
      <c r="E77" s="20">
        <f ca="1"/>
        <v>123482.31</v>
      </c>
      <c r="F77" s="3">
        <f ca="1"/>
        <v>22043.097553</v>
      </c>
      <c r="G77" s="10">
        <f ca="1"/>
        <v>45936.229166655095</v>
      </c>
      <c r="H77" s="3">
        <f ca="1"/>
        <v>2730817470.9395642</v>
      </c>
      <c r="I77" s="3">
        <f ca="1"/>
        <v>3690670</v>
      </c>
      <c r="J77" s="3">
        <f ca="1"/>
        <v>11780.672403</v>
      </c>
      <c r="K77" s="3">
        <f ca="1"/>
        <v>1459478400.9109962</v>
      </c>
    </row>
    <row r="78" spans="1:11" x14ac:dyDescent="0.3">
      <c r="A78" s="10">
        <f ca="1"/>
        <v>45934.229166666664</v>
      </c>
      <c r="B78" s="20">
        <f ca="1"/>
        <v>122232.21</v>
      </c>
      <c r="C78" s="20">
        <f ca="1"/>
        <v>122800</v>
      </c>
      <c r="D78" s="20">
        <f ca="1"/>
        <v>121510</v>
      </c>
      <c r="E78" s="20">
        <f ca="1"/>
        <v>122391</v>
      </c>
      <c r="F78" s="3">
        <f ca="1"/>
        <v>8208.1667799999996</v>
      </c>
      <c r="G78" s="10">
        <f ca="1"/>
        <v>45935.229166655095</v>
      </c>
      <c r="H78" s="3">
        <f ca="1"/>
        <v>1002272903.3446472</v>
      </c>
      <c r="I78" s="3">
        <f ca="1"/>
        <v>1703590</v>
      </c>
      <c r="J78" s="3">
        <f ca="1"/>
        <v>3767.8033500000001</v>
      </c>
      <c r="K78" s="3">
        <f ca="1"/>
        <v>460154433.12366188</v>
      </c>
    </row>
    <row r="79" spans="1:11" x14ac:dyDescent="0.3">
      <c r="A79" s="10">
        <f ca="1"/>
        <v>45933.229166666664</v>
      </c>
      <c r="B79" s="20">
        <f ca="1"/>
        <v>120529.35</v>
      </c>
      <c r="C79" s="20">
        <f ca="1"/>
        <v>123894.99</v>
      </c>
      <c r="D79" s="20">
        <f ca="1"/>
        <v>119248.3</v>
      </c>
      <c r="E79" s="20">
        <f ca="1"/>
        <v>122232</v>
      </c>
      <c r="F79" s="3">
        <f ca="1"/>
        <v>23936.328000000001</v>
      </c>
      <c r="G79" s="10">
        <f ca="1"/>
        <v>45934.229166655095</v>
      </c>
      <c r="H79" s="3">
        <f ca="1"/>
        <v>2907381076.6813188</v>
      </c>
      <c r="I79" s="3">
        <f ca="1"/>
        <v>4246820</v>
      </c>
      <c r="J79" s="3">
        <f ca="1"/>
        <v>11288.62355</v>
      </c>
      <c r="K79" s="3">
        <f ca="1"/>
        <v>1372792607.6136215</v>
      </c>
    </row>
    <row r="80" spans="1:11" x14ac:dyDescent="0.3">
      <c r="A80" s="10">
        <f ca="1"/>
        <v>45932.229166666664</v>
      </c>
      <c r="B80" s="20">
        <f ca="1"/>
        <v>118594.99</v>
      </c>
      <c r="C80" s="20">
        <f ca="1"/>
        <v>121022.07</v>
      </c>
      <c r="D80" s="20">
        <f ca="1"/>
        <v>118279.31</v>
      </c>
      <c r="E80" s="20">
        <f ca="1"/>
        <v>120529.35</v>
      </c>
      <c r="F80" s="3">
        <f ca="1"/>
        <v>19670.835029999998</v>
      </c>
      <c r="G80" s="10">
        <f ca="1"/>
        <v>45933.229166655095</v>
      </c>
      <c r="H80" s="3">
        <f ca="1"/>
        <v>2349861127.3445807</v>
      </c>
      <c r="I80" s="3">
        <f ca="1"/>
        <v>3472073</v>
      </c>
      <c r="J80" s="3">
        <f ca="1"/>
        <v>9753.0784800000001</v>
      </c>
      <c r="K80" s="3">
        <f ca="1"/>
        <v>1164986423.9898076</v>
      </c>
    </row>
    <row r="81" spans="1:11" x14ac:dyDescent="0.3">
      <c r="A81" s="10">
        <f ca="1"/>
        <v>45931.229166666664</v>
      </c>
      <c r="B81" s="20">
        <f ca="1"/>
        <v>114048.94</v>
      </c>
      <c r="C81" s="20">
        <f ca="1"/>
        <v>118649.1</v>
      </c>
      <c r="D81" s="20">
        <f ca="1"/>
        <v>113966.67</v>
      </c>
      <c r="E81" s="20">
        <f ca="1"/>
        <v>118594.99</v>
      </c>
      <c r="F81" s="3">
        <f ca="1"/>
        <v>20036.39516</v>
      </c>
      <c r="G81" s="10">
        <f ca="1"/>
        <v>45932.229166655095</v>
      </c>
      <c r="H81" s="3">
        <f ca="1"/>
        <v>2332096981.2659335</v>
      </c>
      <c r="I81" s="3">
        <f ca="1"/>
        <v>3430343</v>
      </c>
      <c r="J81" s="3">
        <f ca="1"/>
        <v>10071.040919999999</v>
      </c>
      <c r="K81" s="3">
        <f ca="1"/>
        <v>1172422657.4065175</v>
      </c>
    </row>
    <row r="82" spans="1:11" x14ac:dyDescent="0.3">
      <c r="A82" s="10">
        <f ca="1"/>
        <v>45930.229166666664</v>
      </c>
      <c r="B82" s="20">
        <f ca="1"/>
        <v>114311.97</v>
      </c>
      <c r="C82" s="20">
        <f ca="1"/>
        <v>114792</v>
      </c>
      <c r="D82" s="20">
        <f ca="1"/>
        <v>112656.27</v>
      </c>
      <c r="E82" s="20">
        <f ca="1"/>
        <v>114048.93</v>
      </c>
      <c r="F82" s="3">
        <f ca="1"/>
        <v>15044.15633</v>
      </c>
      <c r="G82" s="10">
        <f ca="1"/>
        <v>45931.229166655095</v>
      </c>
      <c r="H82" s="3">
        <f ca="1"/>
        <v>1710713267.1300955</v>
      </c>
      <c r="I82" s="3">
        <f ca="1"/>
        <v>3018331</v>
      </c>
      <c r="J82" s="3">
        <f ca="1"/>
        <v>7185.7215399999995</v>
      </c>
      <c r="K82" s="3">
        <f ca="1"/>
        <v>817044461.27018154</v>
      </c>
    </row>
    <row r="83" spans="1:11" x14ac:dyDescent="0.3">
      <c r="A83" s="10">
        <f ca="1"/>
        <v>45929.229166666664</v>
      </c>
      <c r="B83" s="20">
        <f ca="1"/>
        <v>112163.96</v>
      </c>
      <c r="C83" s="20">
        <f ca="1"/>
        <v>114400</v>
      </c>
      <c r="D83" s="20">
        <f ca="1"/>
        <v>111560.65</v>
      </c>
      <c r="E83" s="20">
        <f ca="1"/>
        <v>114311.96</v>
      </c>
      <c r="F83" s="3">
        <f ca="1"/>
        <v>15541.12005</v>
      </c>
      <c r="G83" s="10">
        <f ca="1"/>
        <v>45930.229166655095</v>
      </c>
      <c r="H83" s="3">
        <f ca="1"/>
        <v>1755247635.871136</v>
      </c>
      <c r="I83" s="3">
        <f ca="1"/>
        <v>2442653</v>
      </c>
      <c r="J83" s="3">
        <f ca="1"/>
        <v>7836.68768</v>
      </c>
      <c r="K83" s="3">
        <f ca="1"/>
        <v>884934987.568753</v>
      </c>
    </row>
    <row r="84" spans="1:11" x14ac:dyDescent="0.3">
      <c r="A84" s="10">
        <f ca="1"/>
        <v>45928.229166666664</v>
      </c>
      <c r="B84" s="20">
        <f ca="1"/>
        <v>109635.85</v>
      </c>
      <c r="C84" s="20">
        <f ca="1"/>
        <v>112350</v>
      </c>
      <c r="D84" s="20">
        <f ca="1"/>
        <v>109189.99</v>
      </c>
      <c r="E84" s="20">
        <f ca="1"/>
        <v>112163.95</v>
      </c>
      <c r="F84" s="3">
        <f ca="1"/>
        <v>7542.3316000000004</v>
      </c>
      <c r="G84" s="10">
        <f ca="1"/>
        <v>45929.229166655095</v>
      </c>
      <c r="H84" s="3">
        <f ca="1"/>
        <v>832254944.32033527</v>
      </c>
      <c r="I84" s="3">
        <f ca="1"/>
        <v>1484866</v>
      </c>
      <c r="J84" s="3">
        <f ca="1"/>
        <v>3781.8760600000001</v>
      </c>
      <c r="K84" s="3">
        <f ca="1"/>
        <v>417495757.16935003</v>
      </c>
    </row>
    <row r="85" spans="1:11" x14ac:dyDescent="0.3">
      <c r="A85" s="10">
        <f ca="1"/>
        <v>45927.229166666664</v>
      </c>
      <c r="B85" s="20">
        <f ca="1"/>
        <v>109643.46</v>
      </c>
      <c r="C85" s="20">
        <f ca="1"/>
        <v>109743.91</v>
      </c>
      <c r="D85" s="20">
        <f ca="1"/>
        <v>109064.4</v>
      </c>
      <c r="E85" s="20">
        <f ca="1"/>
        <v>109635.85</v>
      </c>
      <c r="F85" s="3">
        <f ca="1"/>
        <v>5501.7864300000001</v>
      </c>
      <c r="G85" s="10">
        <f ca="1"/>
        <v>45928.229166655095</v>
      </c>
      <c r="H85" s="3">
        <f ca="1"/>
        <v>601947588.99707651</v>
      </c>
      <c r="I85" s="3">
        <f ca="1"/>
        <v>919594</v>
      </c>
      <c r="J85" s="3">
        <f ca="1"/>
        <v>2523.2588599999999</v>
      </c>
      <c r="K85" s="3">
        <f ca="1"/>
        <v>276080500.9941954</v>
      </c>
    </row>
    <row r="86" spans="1:11" x14ac:dyDescent="0.3">
      <c r="A86" s="10">
        <f ca="1"/>
        <v>45926.229166666664</v>
      </c>
      <c r="B86" s="20">
        <f ca="1"/>
        <v>108994.49</v>
      </c>
      <c r="C86" s="20">
        <f ca="1"/>
        <v>110300</v>
      </c>
      <c r="D86" s="20">
        <f ca="1"/>
        <v>108620.07</v>
      </c>
      <c r="E86" s="20">
        <f ca="1"/>
        <v>109643.46</v>
      </c>
      <c r="F86" s="3">
        <f ca="1"/>
        <v>14243.01591</v>
      </c>
      <c r="G86" s="10">
        <f ca="1"/>
        <v>45927.229166655095</v>
      </c>
      <c r="H86" s="3">
        <f ca="1"/>
        <v>1557098915.9392595</v>
      </c>
      <c r="I86" s="3">
        <f ca="1"/>
        <v>3257155</v>
      </c>
      <c r="J86" s="3">
        <f ca="1"/>
        <v>6978.2903299999998</v>
      </c>
      <c r="K86" s="3">
        <f ca="1"/>
        <v>762955442.75240004</v>
      </c>
    </row>
    <row r="87" spans="1:11" x14ac:dyDescent="0.3">
      <c r="A87" s="10">
        <f ca="1"/>
        <v>45925.229166666664</v>
      </c>
      <c r="B87" s="20">
        <f ca="1"/>
        <v>113307.01</v>
      </c>
      <c r="C87" s="20">
        <f ca="1"/>
        <v>113510.23</v>
      </c>
      <c r="D87" s="20">
        <f ca="1"/>
        <v>108631.51</v>
      </c>
      <c r="E87" s="20">
        <f ca="1"/>
        <v>108994.49</v>
      </c>
      <c r="F87" s="3">
        <f ca="1"/>
        <v>21231.149570000001</v>
      </c>
      <c r="G87" s="10">
        <f ca="1"/>
        <v>45926.229166655095</v>
      </c>
      <c r="H87" s="3">
        <f ca="1"/>
        <v>2356639689.9252148</v>
      </c>
      <c r="I87" s="3">
        <f ca="1"/>
        <v>4409953</v>
      </c>
      <c r="J87" s="3">
        <f ca="1"/>
        <v>9511.0793699999995</v>
      </c>
      <c r="K87" s="3">
        <f ca="1"/>
        <v>1055527535.7684447</v>
      </c>
    </row>
    <row r="88" spans="1:11" x14ac:dyDescent="0.3">
      <c r="A88" s="10">
        <f ca="1"/>
        <v>45924.229166666664</v>
      </c>
      <c r="B88" s="20">
        <f ca="1"/>
        <v>111998.8</v>
      </c>
      <c r="C88" s="20">
        <f ca="1"/>
        <v>113940</v>
      </c>
      <c r="D88" s="20">
        <f ca="1"/>
        <v>111042.66</v>
      </c>
      <c r="E88" s="20">
        <f ca="1"/>
        <v>113307</v>
      </c>
      <c r="F88" s="3">
        <f ca="1"/>
        <v>12369.259669999999</v>
      </c>
      <c r="G88" s="10">
        <f ca="1"/>
        <v>45925.229166655095</v>
      </c>
      <c r="H88" s="3">
        <f ca="1"/>
        <v>1394470628.5025821</v>
      </c>
      <c r="I88" s="3">
        <f ca="1"/>
        <v>2229837</v>
      </c>
      <c r="J88" s="3">
        <f ca="1"/>
        <v>6100.6948700000003</v>
      </c>
      <c r="K88" s="3">
        <f ca="1"/>
        <v>687826281.22047698</v>
      </c>
    </row>
    <row r="89" spans="1:11" x14ac:dyDescent="0.3">
      <c r="A89" s="10">
        <f ca="1"/>
        <v>45923.229166666664</v>
      </c>
      <c r="B89" s="20">
        <f ca="1"/>
        <v>112650.99</v>
      </c>
      <c r="C89" s="20">
        <f ca="1"/>
        <v>113290.5</v>
      </c>
      <c r="D89" s="20">
        <f ca="1"/>
        <v>111458.73</v>
      </c>
      <c r="E89" s="20">
        <f ca="1"/>
        <v>111998.8</v>
      </c>
      <c r="F89" s="3">
        <f ca="1"/>
        <v>12301.320299999999</v>
      </c>
      <c r="G89" s="10">
        <f ca="1"/>
        <v>45924.229166655095</v>
      </c>
      <c r="H89" s="3">
        <f ca="1"/>
        <v>1383869800.2737031</v>
      </c>
      <c r="I89" s="3">
        <f ca="1"/>
        <v>2455729</v>
      </c>
      <c r="J89" s="3">
        <f ca="1"/>
        <v>5543.3608999999997</v>
      </c>
      <c r="K89" s="3">
        <f ca="1"/>
        <v>623665658.72003281</v>
      </c>
    </row>
    <row r="90" spans="1:11" x14ac:dyDescent="0.3">
      <c r="A90" s="10">
        <f ca="1"/>
        <v>45922.229166666664</v>
      </c>
      <c r="B90" s="20">
        <f ca="1"/>
        <v>115232.29</v>
      </c>
      <c r="C90" s="20">
        <f ca="1"/>
        <v>115379.25</v>
      </c>
      <c r="D90" s="20">
        <f ca="1"/>
        <v>111800</v>
      </c>
      <c r="E90" s="20">
        <f ca="1"/>
        <v>112650.99</v>
      </c>
      <c r="F90" s="3">
        <f ca="1"/>
        <v>20781.71356</v>
      </c>
      <c r="G90" s="10">
        <f ca="1"/>
        <v>45923.229166655095</v>
      </c>
      <c r="H90" s="3">
        <f ca="1"/>
        <v>2348872511.698875</v>
      </c>
      <c r="I90" s="3">
        <f ca="1"/>
        <v>3045876</v>
      </c>
      <c r="J90" s="3">
        <f ca="1"/>
        <v>9312.3577700000005</v>
      </c>
      <c r="K90" s="3">
        <f ca="1"/>
        <v>1052684266.8981876</v>
      </c>
    </row>
    <row r="91" spans="1:11" x14ac:dyDescent="0.3">
      <c r="A91" s="10">
        <f ca="1"/>
        <v>45921.229166666664</v>
      </c>
      <c r="B91" s="20">
        <f ca="1"/>
        <v>115685.63</v>
      </c>
      <c r="C91" s="20">
        <f ca="1"/>
        <v>115819.06</v>
      </c>
      <c r="D91" s="20">
        <f ca="1"/>
        <v>115188</v>
      </c>
      <c r="E91" s="20">
        <f ca="1"/>
        <v>115232.29</v>
      </c>
      <c r="F91" s="3">
        <f ca="1"/>
        <v>4511.5221899999997</v>
      </c>
      <c r="G91" s="10">
        <f ca="1"/>
        <v>45922.229166655095</v>
      </c>
      <c r="H91" s="3">
        <f ca="1"/>
        <v>521299751.15040958</v>
      </c>
      <c r="I91" s="3">
        <f ca="1"/>
        <v>945965</v>
      </c>
      <c r="J91" s="3">
        <f ca="1"/>
        <v>2016.72489</v>
      </c>
      <c r="K91" s="3">
        <f ca="1"/>
        <v>233031538.74699309</v>
      </c>
    </row>
    <row r="92" spans="1:11" x14ac:dyDescent="0.3">
      <c r="A92" s="10">
        <f ca="1"/>
        <v>45920.229166666664</v>
      </c>
      <c r="B92" s="20">
        <f ca="1"/>
        <v>115632.39</v>
      </c>
      <c r="C92" s="20">
        <f ca="1"/>
        <v>116121.81</v>
      </c>
      <c r="D92" s="20">
        <f ca="1"/>
        <v>115408.47</v>
      </c>
      <c r="E92" s="20">
        <f ca="1"/>
        <v>115685.63</v>
      </c>
      <c r="F92" s="3">
        <f ca="1"/>
        <v>4674.9275200000002</v>
      </c>
      <c r="G92" s="10">
        <f ca="1"/>
        <v>45921.229166655095</v>
      </c>
      <c r="H92" s="3">
        <f ca="1"/>
        <v>541264273.24168944</v>
      </c>
      <c r="I92" s="3">
        <f ca="1"/>
        <v>740451</v>
      </c>
      <c r="J92" s="3">
        <f ca="1"/>
        <v>2276.1648300000002</v>
      </c>
      <c r="K92" s="3">
        <f ca="1"/>
        <v>263511469.8432588</v>
      </c>
    </row>
    <row r="93" spans="1:11" x14ac:dyDescent="0.3">
      <c r="A93" s="10">
        <f ca="1"/>
        <v>45919.229166666664</v>
      </c>
      <c r="B93" s="20">
        <f ca="1"/>
        <v>117073.53</v>
      </c>
      <c r="C93" s="20">
        <f ca="1"/>
        <v>117459.99</v>
      </c>
      <c r="D93" s="20">
        <f ca="1"/>
        <v>115100</v>
      </c>
      <c r="E93" s="20">
        <f ca="1"/>
        <v>115632.38</v>
      </c>
      <c r="F93" s="3">
        <f ca="1"/>
        <v>8992.0906500000001</v>
      </c>
      <c r="G93" s="10">
        <f ca="1"/>
        <v>45920.229166655095</v>
      </c>
      <c r="H93" s="3">
        <f ca="1"/>
        <v>1045792401.4532388</v>
      </c>
      <c r="I93" s="3">
        <f ca="1"/>
        <v>1732471</v>
      </c>
      <c r="J93" s="3">
        <f ca="1"/>
        <v>4020.8148299999998</v>
      </c>
      <c r="K93" s="3">
        <f ca="1"/>
        <v>467345983.07867992</v>
      </c>
    </row>
    <row r="94" spans="1:11" x14ac:dyDescent="0.3">
      <c r="A94" s="10">
        <f ca="1"/>
        <v>45918.229166666664</v>
      </c>
      <c r="B94" s="20">
        <f ca="1"/>
        <v>116447.6</v>
      </c>
      <c r="C94" s="20">
        <f ca="1"/>
        <v>117900</v>
      </c>
      <c r="D94" s="20">
        <f ca="1"/>
        <v>116092.76</v>
      </c>
      <c r="E94" s="20">
        <f ca="1"/>
        <v>117073.53</v>
      </c>
      <c r="F94" s="3">
        <f ca="1"/>
        <v>11657.23365</v>
      </c>
      <c r="G94" s="10">
        <f ca="1"/>
        <v>45919.229166655095</v>
      </c>
      <c r="H94" s="3">
        <f ca="1"/>
        <v>1367513347.4865093</v>
      </c>
      <c r="I94" s="3">
        <f ca="1"/>
        <v>2252654</v>
      </c>
      <c r="J94" s="3">
        <f ca="1"/>
        <v>5717.3453799999997</v>
      </c>
      <c r="K94" s="3">
        <f ca="1"/>
        <v>670700552.93472767</v>
      </c>
    </row>
    <row r="95" spans="1:11" x14ac:dyDescent="0.3">
      <c r="A95" s="10">
        <f ca="1"/>
        <v>45917.229166666664</v>
      </c>
      <c r="B95" s="20">
        <f ca="1"/>
        <v>116788.96</v>
      </c>
      <c r="C95" s="20">
        <f ca="1"/>
        <v>117286.73</v>
      </c>
      <c r="D95" s="20">
        <f ca="1"/>
        <v>114720.81</v>
      </c>
      <c r="E95" s="20">
        <f ca="1"/>
        <v>116447.59</v>
      </c>
      <c r="F95" s="3">
        <f ca="1"/>
        <v>16754.2454</v>
      </c>
      <c r="G95" s="10">
        <f ca="1"/>
        <v>45918.229166655095</v>
      </c>
      <c r="H95" s="3">
        <f ca="1"/>
        <v>1946083704.6217456</v>
      </c>
      <c r="I95" s="3">
        <f ca="1"/>
        <v>3227418</v>
      </c>
      <c r="J95" s="3">
        <f ca="1"/>
        <v>7975.0019000000002</v>
      </c>
      <c r="K95" s="3">
        <f ca="1"/>
        <v>926282110.83307898</v>
      </c>
    </row>
    <row r="96" spans="1:11" x14ac:dyDescent="0.3">
      <c r="A96" s="10">
        <f ca="1"/>
        <v>45916.229166666664</v>
      </c>
      <c r="B96" s="20">
        <f ca="1"/>
        <v>115349.71</v>
      </c>
      <c r="C96" s="20">
        <f ca="1"/>
        <v>116964.27</v>
      </c>
      <c r="D96" s="20">
        <f ca="1"/>
        <v>114737.11</v>
      </c>
      <c r="E96" s="20">
        <f ca="1"/>
        <v>116788.96</v>
      </c>
      <c r="F96" s="3">
        <f ca="1"/>
        <v>10926.9094</v>
      </c>
      <c r="G96" s="10">
        <f ca="1"/>
        <v>45917.229166655095</v>
      </c>
      <c r="H96" s="3">
        <f ca="1"/>
        <v>1265779287.5169268</v>
      </c>
      <c r="I96" s="3">
        <f ca="1"/>
        <v>2047058</v>
      </c>
      <c r="J96" s="3">
        <f ca="1"/>
        <v>5292.1836499999999</v>
      </c>
      <c r="K96" s="3">
        <f ca="1"/>
        <v>613182568.99191844</v>
      </c>
    </row>
    <row r="97" spans="1:11" x14ac:dyDescent="0.3">
      <c r="A97" s="10">
        <f ca="1"/>
        <v>45915.229166666664</v>
      </c>
      <c r="B97" s="20">
        <f ca="1"/>
        <v>115268.01</v>
      </c>
      <c r="C97" s="20">
        <f ca="1"/>
        <v>116757.99</v>
      </c>
      <c r="D97" s="20">
        <f ca="1"/>
        <v>114384</v>
      </c>
      <c r="E97" s="20">
        <f ca="1"/>
        <v>115349.71</v>
      </c>
      <c r="F97" s="3">
        <f ca="1"/>
        <v>13212.511490000001</v>
      </c>
      <c r="G97" s="10">
        <f ca="1"/>
        <v>45916.229166655095</v>
      </c>
      <c r="H97" s="3">
        <f ca="1"/>
        <v>1522648235.2235153</v>
      </c>
      <c r="I97" s="3">
        <f ca="1"/>
        <v>2857989</v>
      </c>
      <c r="J97" s="3">
        <f ca="1"/>
        <v>6621.3635999999997</v>
      </c>
      <c r="K97" s="3">
        <f ca="1"/>
        <v>763138585.68502486</v>
      </c>
    </row>
    <row r="98" spans="1:11" x14ac:dyDescent="0.3">
      <c r="A98" s="10">
        <f ca="1"/>
        <v>45914.229166666664</v>
      </c>
      <c r="B98" s="20">
        <f ca="1"/>
        <v>115918.29</v>
      </c>
      <c r="C98" s="20">
        <f ca="1"/>
        <v>116165.19</v>
      </c>
      <c r="D98" s="20">
        <f ca="1"/>
        <v>115135</v>
      </c>
      <c r="E98" s="20">
        <f ca="1"/>
        <v>115268.01</v>
      </c>
      <c r="F98" s="3">
        <f ca="1"/>
        <v>6707.6019699999997</v>
      </c>
      <c r="G98" s="10">
        <f ca="1"/>
        <v>45915.229166655095</v>
      </c>
      <c r="H98" s="3">
        <f ca="1"/>
        <v>775762364.96859908</v>
      </c>
      <c r="I98" s="3">
        <f ca="1"/>
        <v>1237218</v>
      </c>
      <c r="J98" s="3">
        <f ca="1"/>
        <v>3406.9077699999998</v>
      </c>
      <c r="K98" s="3">
        <f ca="1"/>
        <v>393977059.30354208</v>
      </c>
    </row>
    <row r="99" spans="1:11" x14ac:dyDescent="0.3">
      <c r="A99" s="10">
        <f ca="1"/>
        <v>45913.229166666664</v>
      </c>
      <c r="B99" s="20">
        <f ca="1"/>
        <v>116029.41</v>
      </c>
      <c r="C99" s="20">
        <f ca="1"/>
        <v>116298.78</v>
      </c>
      <c r="D99" s="20">
        <f ca="1"/>
        <v>115127.27</v>
      </c>
      <c r="E99" s="20">
        <f ca="1"/>
        <v>115918.29</v>
      </c>
      <c r="F99" s="3">
        <f ca="1"/>
        <v>8269.4039400000001</v>
      </c>
      <c r="G99" s="10">
        <f ca="1"/>
        <v>45914.229166655095</v>
      </c>
      <c r="H99" s="3">
        <f ca="1"/>
        <v>957724220.64976108</v>
      </c>
      <c r="I99" s="3">
        <f ca="1"/>
        <v>1223635</v>
      </c>
      <c r="J99" s="3">
        <f ca="1"/>
        <v>3590.0935899999999</v>
      </c>
      <c r="K99" s="3">
        <f ca="1"/>
        <v>415773029.43935269</v>
      </c>
    </row>
    <row r="100" spans="1:11" x14ac:dyDescent="0.3">
      <c r="A100" s="10">
        <f ca="1"/>
        <v>45912.229166666664</v>
      </c>
      <c r="B100" s="20">
        <f ca="1"/>
        <v>115482.69</v>
      </c>
      <c r="C100" s="20">
        <f ca="1"/>
        <v>116665.63</v>
      </c>
      <c r="D100" s="20">
        <f ca="1"/>
        <v>114740.99</v>
      </c>
      <c r="E100" s="20">
        <f ca="1"/>
        <v>116029.42</v>
      </c>
      <c r="F100" s="3">
        <f ca="1"/>
        <v>15324.107190000001</v>
      </c>
      <c r="G100" s="10">
        <f ca="1"/>
        <v>45913.229166655095</v>
      </c>
      <c r="H100" s="3">
        <f ca="1"/>
        <v>1772122269.5018635</v>
      </c>
      <c r="I100" s="3">
        <f ca="1"/>
        <v>2481491</v>
      </c>
      <c r="J100" s="3">
        <f ca="1"/>
        <v>7995.57276</v>
      </c>
      <c r="K100" s="3">
        <f ca="1"/>
        <v>924775389.85693955</v>
      </c>
    </row>
    <row r="101" spans="1:11" x14ac:dyDescent="0.3">
      <c r="A101" s="10">
        <f ca="1"/>
        <v>45911.229166666664</v>
      </c>
      <c r="B101" s="20">
        <f ca="1"/>
        <v>113960</v>
      </c>
      <c r="C101" s="20">
        <f ca="1"/>
        <v>115488.09</v>
      </c>
      <c r="D101" s="20">
        <f ca="1"/>
        <v>113430</v>
      </c>
      <c r="E101" s="20">
        <f ca="1"/>
        <v>115482.69</v>
      </c>
      <c r="F101" s="3">
        <f ca="1"/>
        <v>13676.73119</v>
      </c>
      <c r="G101" s="10">
        <f ca="1"/>
        <v>45912.229166655095</v>
      </c>
      <c r="H101" s="3">
        <f ca="1"/>
        <v>1562241144.9565411</v>
      </c>
      <c r="I101" s="3">
        <f ca="1"/>
        <v>2166359</v>
      </c>
      <c r="J101" s="3">
        <f ca="1"/>
        <v>6744.2999300000001</v>
      </c>
      <c r="K101" s="3">
        <f ca="1"/>
        <v>770595422.69052136</v>
      </c>
    </row>
    <row r="102" spans="1:11" x14ac:dyDescent="0.3">
      <c r="A102" s="10">
        <f ca="1"/>
        <v>45910.229166666664</v>
      </c>
      <c r="B102" s="20">
        <f ca="1"/>
        <v>111546.38</v>
      </c>
      <c r="C102" s="20">
        <f ca="1"/>
        <v>114313.13</v>
      </c>
      <c r="D102" s="20">
        <f ca="1"/>
        <v>110917.45</v>
      </c>
      <c r="E102" s="20">
        <f ca="1"/>
        <v>113960</v>
      </c>
      <c r="F102" s="3">
        <f ca="1"/>
        <v>17517.418229999999</v>
      </c>
      <c r="G102" s="10">
        <f ca="1"/>
        <v>45911.229166655095</v>
      </c>
      <c r="H102" s="3">
        <f ca="1"/>
        <v>1978834750.2223115</v>
      </c>
      <c r="I102" s="3">
        <f ca="1"/>
        <v>2182534</v>
      </c>
      <c r="J102" s="3">
        <f ca="1"/>
        <v>8274.6399799999999</v>
      </c>
      <c r="K102" s="3">
        <f ca="1"/>
        <v>934646697.48233235</v>
      </c>
    </row>
    <row r="103" spans="1:11" x14ac:dyDescent="0.3">
      <c r="A103" s="10">
        <f ca="1"/>
        <v>45909.229166666664</v>
      </c>
      <c r="B103" s="20">
        <f ca="1"/>
        <v>112065.23</v>
      </c>
      <c r="C103" s="20">
        <f ca="1"/>
        <v>113293.29</v>
      </c>
      <c r="D103" s="20">
        <f ca="1"/>
        <v>110766.66</v>
      </c>
      <c r="E103" s="20">
        <f ca="1"/>
        <v>111546.39</v>
      </c>
      <c r="F103" s="3">
        <f ca="1"/>
        <v>15379.28248</v>
      </c>
      <c r="G103" s="10">
        <f ca="1"/>
        <v>45910.229166655095</v>
      </c>
      <c r="H103" s="3">
        <f ca="1"/>
        <v>1721465997.9063661</v>
      </c>
      <c r="I103" s="3">
        <f ca="1"/>
        <v>2143242</v>
      </c>
      <c r="J103" s="3">
        <f ca="1"/>
        <v>7597.3803799999996</v>
      </c>
      <c r="K103" s="3">
        <f ca="1"/>
        <v>849973176.17756844</v>
      </c>
    </row>
    <row r="104" spans="1:11" x14ac:dyDescent="0.3">
      <c r="A104" s="10">
        <f ca="1"/>
        <v>45908.229166666664</v>
      </c>
      <c r="B104" s="20">
        <f ca="1"/>
        <v>111137.35</v>
      </c>
      <c r="C104" s="20">
        <f ca="1"/>
        <v>112924.37</v>
      </c>
      <c r="D104" s="20">
        <f ca="1"/>
        <v>110621.78</v>
      </c>
      <c r="E104" s="20">
        <f ca="1"/>
        <v>112065.23</v>
      </c>
      <c r="F104" s="3">
        <f ca="1"/>
        <v>11582.402110000001</v>
      </c>
      <c r="G104" s="10">
        <f ca="1"/>
        <v>45909.229166655095</v>
      </c>
      <c r="H104" s="3">
        <f ca="1"/>
        <v>1295903862.4649603</v>
      </c>
      <c r="I104" s="3">
        <f ca="1"/>
        <v>1744598</v>
      </c>
      <c r="J104" s="3">
        <f ca="1"/>
        <v>5531.6596900000004</v>
      </c>
      <c r="K104" s="3">
        <f ca="1"/>
        <v>618773275.35763073</v>
      </c>
    </row>
    <row r="105" spans="1:11" x14ac:dyDescent="0.3">
      <c r="A105" s="10">
        <f ca="1"/>
        <v>45907.229166666664</v>
      </c>
      <c r="B105" s="20">
        <f ca="1"/>
        <v>110187.98</v>
      </c>
      <c r="C105" s="20">
        <f ca="1"/>
        <v>111600</v>
      </c>
      <c r="D105" s="20">
        <f ca="1"/>
        <v>110180</v>
      </c>
      <c r="E105" s="20">
        <f ca="1"/>
        <v>111137.34</v>
      </c>
      <c r="F105" s="3">
        <f ca="1"/>
        <v>5681.2994399999998</v>
      </c>
      <c r="G105" s="10">
        <f ca="1"/>
        <v>45908.229166655095</v>
      </c>
      <c r="H105" s="3">
        <f ca="1"/>
        <v>630447950.15886891</v>
      </c>
      <c r="I105" s="3">
        <f ca="1"/>
        <v>874961</v>
      </c>
      <c r="J105" s="3">
        <f ca="1"/>
        <v>2570.8519900000001</v>
      </c>
      <c r="K105" s="3">
        <f ca="1"/>
        <v>285303923.54046232</v>
      </c>
    </row>
    <row r="106" spans="1:11" x14ac:dyDescent="0.3">
      <c r="A106" s="10">
        <f ca="1"/>
        <v>45906.229166666664</v>
      </c>
      <c r="B106" s="20">
        <f ca="1"/>
        <v>110660</v>
      </c>
      <c r="C106" s="20">
        <f ca="1"/>
        <v>111307.7</v>
      </c>
      <c r="D106" s="20">
        <f ca="1"/>
        <v>109977</v>
      </c>
      <c r="E106" s="20">
        <f ca="1"/>
        <v>110187.97</v>
      </c>
      <c r="F106" s="3">
        <f ca="1"/>
        <v>5000.2989699999998</v>
      </c>
      <c r="G106" s="10">
        <f ca="1"/>
        <v>45907.229166655095</v>
      </c>
      <c r="H106" s="3">
        <f ca="1"/>
        <v>552785936.54346991</v>
      </c>
      <c r="I106" s="3">
        <f ca="1"/>
        <v>795201</v>
      </c>
      <c r="J106" s="3">
        <f ca="1"/>
        <v>2308.8329699999999</v>
      </c>
      <c r="K106" s="3">
        <f ca="1"/>
        <v>255237426.94601101</v>
      </c>
    </row>
    <row r="107" spans="1:11" x14ac:dyDescent="0.3">
      <c r="A107" s="10">
        <f ca="1"/>
        <v>45905.229166666664</v>
      </c>
      <c r="B107" s="20">
        <f ca="1"/>
        <v>110730.87</v>
      </c>
      <c r="C107" s="20">
        <f ca="1"/>
        <v>113384.62</v>
      </c>
      <c r="D107" s="20">
        <f ca="1"/>
        <v>110206.96</v>
      </c>
      <c r="E107" s="20">
        <f ca="1"/>
        <v>110659.99</v>
      </c>
      <c r="F107" s="3">
        <f ca="1"/>
        <v>21587.408879999999</v>
      </c>
      <c r="G107" s="10">
        <f ca="1"/>
        <v>45906.229166655095</v>
      </c>
      <c r="H107" s="3">
        <f ca="1"/>
        <v>2413132200.6233249</v>
      </c>
      <c r="I107" s="3">
        <f ca="1"/>
        <v>2970419</v>
      </c>
      <c r="J107" s="3">
        <f ca="1"/>
        <v>10787.81127</v>
      </c>
      <c r="K107" s="3">
        <f ca="1"/>
        <v>1206066261.227201</v>
      </c>
    </row>
    <row r="108" spans="1:11" x14ac:dyDescent="0.3">
      <c r="A108" s="10">
        <f ca="1"/>
        <v>45904.229166666664</v>
      </c>
      <c r="B108" s="20">
        <f ca="1"/>
        <v>111705.72</v>
      </c>
      <c r="C108" s="20">
        <f ca="1"/>
        <v>112180</v>
      </c>
      <c r="D108" s="20">
        <f ca="1"/>
        <v>109329.12</v>
      </c>
      <c r="E108" s="20">
        <f ca="1"/>
        <v>110730.87</v>
      </c>
      <c r="F108" s="3">
        <f ca="1"/>
        <v>12203.13536</v>
      </c>
      <c r="G108" s="10">
        <f ca="1"/>
        <v>45905.229166655095</v>
      </c>
      <c r="H108" s="3">
        <f ca="1"/>
        <v>1349031325.5320847</v>
      </c>
      <c r="I108" s="3">
        <f ca="1"/>
        <v>2230255</v>
      </c>
      <c r="J108" s="3">
        <f ca="1"/>
        <v>6070.7815099999998</v>
      </c>
      <c r="K108" s="3">
        <f ca="1"/>
        <v>670681185.82571006</v>
      </c>
    </row>
    <row r="109" spans="1:11" x14ac:dyDescent="0.3">
      <c r="A109" s="10">
        <f ca="1"/>
        <v>45903.229166666664</v>
      </c>
      <c r="B109" s="20">
        <f ca="1"/>
        <v>111240.01</v>
      </c>
      <c r="C109" s="20">
        <f ca="1"/>
        <v>112575.27</v>
      </c>
      <c r="D109" s="20">
        <f ca="1"/>
        <v>110528.71</v>
      </c>
      <c r="E109" s="20">
        <f ca="1"/>
        <v>111705.71</v>
      </c>
      <c r="F109" s="3">
        <f ca="1"/>
        <v>11773.72084</v>
      </c>
      <c r="G109" s="10">
        <f ca="1"/>
        <v>45904.229166655095</v>
      </c>
      <c r="H109" s="3">
        <f ca="1"/>
        <v>1313762617.3436644</v>
      </c>
      <c r="I109" s="3">
        <f ca="1"/>
        <v>2214249</v>
      </c>
      <c r="J109" s="3">
        <f ca="1"/>
        <v>5539.2946199999997</v>
      </c>
      <c r="K109" s="3">
        <f ca="1"/>
        <v>618293676.50751793</v>
      </c>
    </row>
    <row r="110" spans="1:11" x14ac:dyDescent="0.3">
      <c r="A110" s="10">
        <f ca="1"/>
        <v>45902.229166666664</v>
      </c>
      <c r="B110" s="20">
        <f ca="1"/>
        <v>109237.43</v>
      </c>
      <c r="C110" s="20">
        <f ca="1"/>
        <v>111771.52</v>
      </c>
      <c r="D110" s="20">
        <f ca="1"/>
        <v>108393.39</v>
      </c>
      <c r="E110" s="20">
        <f ca="1"/>
        <v>111240.01</v>
      </c>
      <c r="F110" s="3">
        <f ca="1"/>
        <v>18510.287560000001</v>
      </c>
      <c r="G110" s="10">
        <f ca="1"/>
        <v>45903.229166655095</v>
      </c>
      <c r="H110" s="3">
        <f ca="1"/>
        <v>2042681451.9016385</v>
      </c>
      <c r="I110" s="3">
        <f ca="1"/>
        <v>2596328</v>
      </c>
      <c r="J110" s="3">
        <f ca="1"/>
        <v>9088.7172699999992</v>
      </c>
      <c r="K110" s="3">
        <f ca="1"/>
        <v>1003032805.5367996</v>
      </c>
    </row>
    <row r="111" spans="1:11" x14ac:dyDescent="0.3">
      <c r="A111" s="10">
        <f ca="1"/>
        <v>45901.229166666664</v>
      </c>
      <c r="B111" s="20">
        <f ca="1"/>
        <v>108246.36</v>
      </c>
      <c r="C111" s="20">
        <f ca="1"/>
        <v>109912.4</v>
      </c>
      <c r="D111" s="20">
        <f ca="1"/>
        <v>107255</v>
      </c>
      <c r="E111" s="20">
        <f ca="1"/>
        <v>109237.42</v>
      </c>
      <c r="F111" s="3">
        <f ca="1"/>
        <v>16053.60219</v>
      </c>
      <c r="G111" s="10">
        <f ca="1"/>
        <v>45902.229166655095</v>
      </c>
      <c r="H111" s="3">
        <f ca="1"/>
        <v>1742516638.7811351</v>
      </c>
      <c r="I111" s="3">
        <f ca="1"/>
        <v>2729384</v>
      </c>
      <c r="J111" s="3">
        <f ca="1"/>
        <v>7532.9910099999997</v>
      </c>
      <c r="K111" s="3">
        <f ca="1"/>
        <v>817730948.98443341</v>
      </c>
    </row>
    <row r="112" spans="1:11" x14ac:dyDescent="0.3">
      <c r="A112" s="10">
        <f ca="1"/>
        <v>45900.229166666664</v>
      </c>
      <c r="B112" s="20">
        <f ca="1"/>
        <v>108816.33</v>
      </c>
      <c r="C112" s="20">
        <f ca="1"/>
        <v>109480.02</v>
      </c>
      <c r="D112" s="20">
        <f ca="1"/>
        <v>108076.93</v>
      </c>
      <c r="E112" s="20">
        <f ca="1"/>
        <v>108246.35</v>
      </c>
      <c r="F112" s="3">
        <f ca="1"/>
        <v>9489.5159600000006</v>
      </c>
      <c r="G112" s="10">
        <f ca="1"/>
        <v>45901.229166655095</v>
      </c>
      <c r="H112" s="3">
        <f ca="1"/>
        <v>1031806894.3513318</v>
      </c>
      <c r="I112" s="3">
        <f ca="1"/>
        <v>1366633</v>
      </c>
      <c r="J112" s="3">
        <f ca="1"/>
        <v>4573.6105799999996</v>
      </c>
      <c r="K112" s="3">
        <f ca="1"/>
        <v>497406888.16918832</v>
      </c>
    </row>
    <row r="113" spans="1:11" x14ac:dyDescent="0.3">
      <c r="A113" s="10">
        <f ca="1"/>
        <v>45899.229166666664</v>
      </c>
      <c r="B113" s="20">
        <f ca="1"/>
        <v>108377.4</v>
      </c>
      <c r="C113" s="20">
        <f ca="1"/>
        <v>108926.15</v>
      </c>
      <c r="D113" s="20">
        <f ca="1"/>
        <v>107350.1</v>
      </c>
      <c r="E113" s="20">
        <f ca="1"/>
        <v>108816.33</v>
      </c>
      <c r="F113" s="3">
        <f ca="1"/>
        <v>10708.391589999999</v>
      </c>
      <c r="G113" s="10">
        <f ca="1"/>
        <v>45900.229166655095</v>
      </c>
      <c r="H113" s="3">
        <f ca="1"/>
        <v>1160666772.7387524</v>
      </c>
      <c r="I113" s="3">
        <f ca="1"/>
        <v>1411040</v>
      </c>
      <c r="J113" s="3">
        <f ca="1"/>
        <v>5797.1778299999996</v>
      </c>
      <c r="K113" s="3">
        <f ca="1"/>
        <v>628457794.84340096</v>
      </c>
    </row>
    <row r="114" spans="1:11" x14ac:dyDescent="0.3">
      <c r="A114" s="10">
        <f ca="1"/>
        <v>45898.229166666664</v>
      </c>
      <c r="B114" s="20">
        <f ca="1"/>
        <v>112566.9</v>
      </c>
      <c r="C114" s="20">
        <f ca="1"/>
        <v>112638.64</v>
      </c>
      <c r="D114" s="20">
        <f ca="1"/>
        <v>107463.9</v>
      </c>
      <c r="E114" s="20">
        <f ca="1"/>
        <v>108377.4</v>
      </c>
      <c r="F114" s="3">
        <f ca="1"/>
        <v>22580.310450000001</v>
      </c>
      <c r="G114" s="10">
        <f ca="1"/>
        <v>45899.229166655095</v>
      </c>
      <c r="H114" s="3">
        <f ca="1"/>
        <v>2475492492.5775299</v>
      </c>
      <c r="I114" s="3">
        <f ca="1"/>
        <v>3606959</v>
      </c>
      <c r="J114" s="3">
        <f ca="1"/>
        <v>10616.35644</v>
      </c>
      <c r="K114" s="3">
        <f ca="1"/>
        <v>1164321513.1044571</v>
      </c>
    </row>
    <row r="115" spans="1:11" x14ac:dyDescent="0.3">
      <c r="A115" s="10">
        <f ca="1"/>
        <v>45897.229166666664</v>
      </c>
      <c r="B115" s="20">
        <f ca="1"/>
        <v>111262.01</v>
      </c>
      <c r="C115" s="20">
        <f ca="1"/>
        <v>113485.9</v>
      </c>
      <c r="D115" s="20">
        <f ca="1"/>
        <v>110862.42</v>
      </c>
      <c r="E115" s="20">
        <f ca="1"/>
        <v>112566.9</v>
      </c>
      <c r="F115" s="3">
        <f ca="1"/>
        <v>11104.27744</v>
      </c>
      <c r="G115" s="10">
        <f ca="1"/>
        <v>45898.229166655095</v>
      </c>
      <c r="H115" s="3">
        <f ca="1"/>
        <v>1250788481.9453218</v>
      </c>
      <c r="I115" s="3">
        <f ca="1"/>
        <v>2066780</v>
      </c>
      <c r="J115" s="3">
        <f ca="1"/>
        <v>5139.4650899999997</v>
      </c>
      <c r="K115" s="3">
        <f ca="1"/>
        <v>578866003.68381476</v>
      </c>
    </row>
    <row r="116" spans="1:11" x14ac:dyDescent="0.3">
      <c r="A116" s="10">
        <f ca="1"/>
        <v>45896.229166666664</v>
      </c>
      <c r="B116" s="20">
        <f ca="1"/>
        <v>111763.22</v>
      </c>
      <c r="C116" s="20">
        <f ca="1"/>
        <v>112625</v>
      </c>
      <c r="D116" s="20">
        <f ca="1"/>
        <v>110345.42</v>
      </c>
      <c r="E116" s="20">
        <f ca="1"/>
        <v>111262.01</v>
      </c>
      <c r="F116" s="3">
        <f ca="1"/>
        <v>13392.608749999999</v>
      </c>
      <c r="G116" s="10">
        <f ca="1"/>
        <v>45897.229166655095</v>
      </c>
      <c r="H116" s="3">
        <f ca="1"/>
        <v>1493774927.1908319</v>
      </c>
      <c r="I116" s="3">
        <f ca="1"/>
        <v>3111496</v>
      </c>
      <c r="J116" s="3">
        <f ca="1"/>
        <v>6261.8455000000004</v>
      </c>
      <c r="K116" s="3">
        <f ca="1"/>
        <v>698586344.17747962</v>
      </c>
    </row>
    <row r="117" spans="1:11" x14ac:dyDescent="0.3">
      <c r="A117" s="10">
        <f ca="1"/>
        <v>45895.229166666664</v>
      </c>
      <c r="B117" s="20">
        <f ca="1"/>
        <v>110111.98</v>
      </c>
      <c r="C117" s="20">
        <f ca="1"/>
        <v>112371</v>
      </c>
      <c r="D117" s="20">
        <f ca="1"/>
        <v>108666.66</v>
      </c>
      <c r="E117" s="20">
        <f ca="1"/>
        <v>111763.22</v>
      </c>
      <c r="F117" s="3">
        <f ca="1"/>
        <v>18452.438770000001</v>
      </c>
      <c r="G117" s="10">
        <f ca="1"/>
        <v>45896.229166655095</v>
      </c>
      <c r="H117" s="3">
        <f ca="1"/>
        <v>2033437347.4999392</v>
      </c>
      <c r="I117" s="3">
        <f ca="1"/>
        <v>4077474</v>
      </c>
      <c r="J117" s="3">
        <f ca="1"/>
        <v>9863.4315700000006</v>
      </c>
      <c r="K117" s="3">
        <f ca="1"/>
        <v>1087468493.5969639</v>
      </c>
    </row>
    <row r="118" spans="1:11" x14ac:dyDescent="0.3">
      <c r="A118" s="10">
        <f ca="1"/>
        <v>45894.229166666664</v>
      </c>
      <c r="B118" s="20">
        <f ca="1"/>
        <v>113493.59</v>
      </c>
      <c r="C118" s="20">
        <f ca="1"/>
        <v>113667.28</v>
      </c>
      <c r="D118" s="20">
        <f ca="1"/>
        <v>109274.1</v>
      </c>
      <c r="E118" s="20">
        <f ca="1"/>
        <v>110111.98</v>
      </c>
      <c r="F118" s="3">
        <f ca="1"/>
        <v>25182.79379</v>
      </c>
      <c r="G118" s="10">
        <f ca="1"/>
        <v>45895.229166655095</v>
      </c>
      <c r="H118" s="3">
        <f ca="1"/>
        <v>2805570653.6310229</v>
      </c>
      <c r="I118" s="3">
        <f ca="1"/>
        <v>4695718</v>
      </c>
      <c r="J118" s="3">
        <f ca="1"/>
        <v>11387.581700000001</v>
      </c>
      <c r="K118" s="3">
        <f ca="1"/>
        <v>1269662985.3441799</v>
      </c>
    </row>
    <row r="119" spans="1:11" x14ac:dyDescent="0.3">
      <c r="A119" s="10">
        <f ca="1"/>
        <v>45893.229166666664</v>
      </c>
      <c r="B119" s="20">
        <f ca="1"/>
        <v>115438.06</v>
      </c>
      <c r="C119" s="20">
        <f ca="1"/>
        <v>115666.68</v>
      </c>
      <c r="D119" s="20">
        <f ca="1"/>
        <v>110680</v>
      </c>
      <c r="E119" s="20">
        <f ca="1"/>
        <v>113493.59</v>
      </c>
      <c r="F119" s="3">
        <f ca="1"/>
        <v>21175.984619999999</v>
      </c>
      <c r="G119" s="10">
        <f ca="1"/>
        <v>45894.229166655095</v>
      </c>
      <c r="H119" s="3">
        <f ca="1"/>
        <v>2411284606.1891766</v>
      </c>
      <c r="I119" s="3">
        <f ca="1"/>
        <v>2573906</v>
      </c>
      <c r="J119" s="3">
        <f ca="1"/>
        <v>9325.0671000000002</v>
      </c>
      <c r="K119" s="3">
        <f ca="1"/>
        <v>1061855201.3343123</v>
      </c>
    </row>
    <row r="120" spans="1:11" x14ac:dyDescent="0.3">
      <c r="A120" s="10">
        <f ca="1"/>
        <v>45892.229166666664</v>
      </c>
      <c r="B120" s="20">
        <f ca="1"/>
        <v>116936</v>
      </c>
      <c r="C120" s="20">
        <f ca="1"/>
        <v>117030</v>
      </c>
      <c r="D120" s="20">
        <f ca="1"/>
        <v>114560</v>
      </c>
      <c r="E120" s="20">
        <f ca="1"/>
        <v>115438.05</v>
      </c>
      <c r="F120" s="3">
        <f ca="1"/>
        <v>11329.36197</v>
      </c>
      <c r="G120" s="10">
        <f ca="1"/>
        <v>45893.229166655095</v>
      </c>
      <c r="H120" s="3">
        <f ca="1"/>
        <v>1308825428.0143585</v>
      </c>
      <c r="I120" s="3">
        <f ca="1"/>
        <v>1559569</v>
      </c>
      <c r="J120" s="3">
        <f ca="1"/>
        <v>5083.3501399999996</v>
      </c>
      <c r="K120" s="3">
        <f ca="1"/>
        <v>587273893.13144326</v>
      </c>
    </row>
    <row r="121" spans="1:11" x14ac:dyDescent="0.3">
      <c r="A121" s="10">
        <f ca="1"/>
        <v>45891.229166666664</v>
      </c>
      <c r="B121" s="20">
        <f ca="1"/>
        <v>112500</v>
      </c>
      <c r="C121" s="20">
        <f ca="1"/>
        <v>117429.05</v>
      </c>
      <c r="D121" s="20">
        <f ca="1"/>
        <v>111684.79</v>
      </c>
      <c r="E121" s="20">
        <f ca="1"/>
        <v>116935.99</v>
      </c>
      <c r="F121" s="3">
        <f ca="1"/>
        <v>23128.090370000002</v>
      </c>
      <c r="G121" s="10">
        <f ca="1"/>
        <v>45892.229166655095</v>
      </c>
      <c r="H121" s="3">
        <f ca="1"/>
        <v>2656625122.2777867</v>
      </c>
      <c r="I121" s="3">
        <f ca="1"/>
        <v>3438518</v>
      </c>
      <c r="J121" s="3">
        <f ca="1"/>
        <v>11843.597110000001</v>
      </c>
      <c r="K121" s="3">
        <f ca="1"/>
        <v>1359907711.8726692</v>
      </c>
    </row>
    <row r="122" spans="1:11" x14ac:dyDescent="0.3">
      <c r="A122" s="10">
        <f ca="1"/>
        <v>45890.229166666664</v>
      </c>
      <c r="B122" s="20">
        <f ca="1"/>
        <v>114271.23</v>
      </c>
      <c r="C122" s="20">
        <f ca="1"/>
        <v>114821.75999999999</v>
      </c>
      <c r="D122" s="20">
        <f ca="1"/>
        <v>112015.67</v>
      </c>
      <c r="E122" s="20">
        <f ca="1"/>
        <v>112500</v>
      </c>
      <c r="F122" s="3">
        <f ca="1"/>
        <v>10839.692349999999</v>
      </c>
      <c r="G122" s="10">
        <f ca="1"/>
        <v>45891.229166655095</v>
      </c>
      <c r="H122" s="3">
        <f ca="1"/>
        <v>1227373788.6155629</v>
      </c>
      <c r="I122" s="3">
        <f ca="1"/>
        <v>2357380</v>
      </c>
      <c r="J122" s="3">
        <f ca="1"/>
        <v>5346.4800699999996</v>
      </c>
      <c r="K122" s="3">
        <f ca="1"/>
        <v>605400341.45449281</v>
      </c>
    </row>
    <row r="123" spans="1:11" x14ac:dyDescent="0.3">
      <c r="A123" s="10">
        <f ca="1"/>
        <v>45889.229166666664</v>
      </c>
      <c r="B123" s="20">
        <f ca="1"/>
        <v>112872.95</v>
      </c>
      <c r="C123" s="20">
        <f ca="1"/>
        <v>114615.38</v>
      </c>
      <c r="D123" s="20">
        <f ca="1"/>
        <v>112380</v>
      </c>
      <c r="E123" s="20">
        <f ca="1"/>
        <v>114271.24</v>
      </c>
      <c r="F123" s="3">
        <f ca="1"/>
        <v>15636.34194</v>
      </c>
      <c r="G123" s="10">
        <f ca="1"/>
        <v>45890.229166655095</v>
      </c>
      <c r="H123" s="3">
        <f ca="1"/>
        <v>1776149566.1247735</v>
      </c>
      <c r="I123" s="3">
        <f ca="1"/>
        <v>2998370</v>
      </c>
      <c r="J123" s="3">
        <f ca="1"/>
        <v>7209.5857500000002</v>
      </c>
      <c r="K123" s="3">
        <f ca="1"/>
        <v>819330970.21586192</v>
      </c>
    </row>
    <row r="124" spans="1:11" x14ac:dyDescent="0.3">
      <c r="A124" s="10">
        <f ca="1"/>
        <v>45888.229166666664</v>
      </c>
      <c r="B124" s="20">
        <f ca="1"/>
        <v>116227.05</v>
      </c>
      <c r="C124" s="20">
        <f ca="1"/>
        <v>116725.69</v>
      </c>
      <c r="D124" s="20">
        <f ca="1"/>
        <v>112732.58</v>
      </c>
      <c r="E124" s="20">
        <f ca="1"/>
        <v>112872.94</v>
      </c>
      <c r="F124" s="3">
        <f ca="1"/>
        <v>18065.47424</v>
      </c>
      <c r="G124" s="10">
        <f ca="1"/>
        <v>45889.229166655095</v>
      </c>
      <c r="H124" s="3">
        <f ca="1"/>
        <v>2065010895.8584664</v>
      </c>
      <c r="I124" s="3">
        <f ca="1"/>
        <v>3291182</v>
      </c>
      <c r="J124" s="3">
        <f ca="1"/>
        <v>8609.4136999999992</v>
      </c>
      <c r="K124" s="3">
        <f ca="1"/>
        <v>984093545.5944221</v>
      </c>
    </row>
    <row r="125" spans="1:11" x14ac:dyDescent="0.3">
      <c r="A125" s="10">
        <f ca="1"/>
        <v>45887.229166666664</v>
      </c>
      <c r="B125" s="20">
        <f ca="1"/>
        <v>117405.01</v>
      </c>
      <c r="C125" s="20">
        <f ca="1"/>
        <v>117543.75</v>
      </c>
      <c r="D125" s="20">
        <f ca="1"/>
        <v>114640.14</v>
      </c>
      <c r="E125" s="20">
        <f ca="1"/>
        <v>116227.05</v>
      </c>
      <c r="F125" s="3">
        <f ca="1"/>
        <v>17745.939539999999</v>
      </c>
      <c r="G125" s="10">
        <f ca="1"/>
        <v>45888.229166655095</v>
      </c>
      <c r="H125" s="3">
        <f ca="1"/>
        <v>2053814085.4717774</v>
      </c>
      <c r="I125" s="3">
        <f ca="1"/>
        <v>3346280</v>
      </c>
      <c r="J125" s="3">
        <f ca="1"/>
        <v>7647.7066699999996</v>
      </c>
      <c r="K125" s="3">
        <f ca="1"/>
        <v>885108979.48874855</v>
      </c>
    </row>
    <row r="126" spans="1:11" x14ac:dyDescent="0.3">
      <c r="A126" s="10">
        <f ca="1"/>
        <v>45886.229166666664</v>
      </c>
      <c r="B126" s="20">
        <f ca="1"/>
        <v>117380.66</v>
      </c>
      <c r="C126" s="20">
        <f ca="1"/>
        <v>118575</v>
      </c>
      <c r="D126" s="20">
        <f ca="1"/>
        <v>117172.21</v>
      </c>
      <c r="E126" s="20">
        <f ca="1"/>
        <v>117405.01</v>
      </c>
      <c r="F126" s="3">
        <f ca="1"/>
        <v>5898.64192</v>
      </c>
      <c r="G126" s="10">
        <f ca="1"/>
        <v>45887.229166655095</v>
      </c>
      <c r="H126" s="3">
        <f ca="1"/>
        <v>695629197.90380728</v>
      </c>
      <c r="I126" s="3">
        <f ca="1"/>
        <v>1177563</v>
      </c>
      <c r="J126" s="3">
        <f ca="1"/>
        <v>2804.7311300000001</v>
      </c>
      <c r="K126" s="3">
        <f ca="1"/>
        <v>330799448.09036541</v>
      </c>
    </row>
    <row r="127" spans="1:11" x14ac:dyDescent="0.3">
      <c r="A127" s="10">
        <f ca="1"/>
        <v>45885.229166666664</v>
      </c>
      <c r="B127" s="20">
        <f ca="1"/>
        <v>117342.04</v>
      </c>
      <c r="C127" s="20">
        <f ca="1"/>
        <v>117898.99</v>
      </c>
      <c r="D127" s="20">
        <f ca="1"/>
        <v>117143.98</v>
      </c>
      <c r="E127" s="20">
        <f ca="1"/>
        <v>117380.66</v>
      </c>
      <c r="F127" s="3">
        <f ca="1"/>
        <v>6393.6811699999998</v>
      </c>
      <c r="G127" s="10">
        <f ca="1"/>
        <v>45886.229166655095</v>
      </c>
      <c r="H127" s="3">
        <f ca="1"/>
        <v>751719391.77236378</v>
      </c>
      <c r="I127" s="3">
        <f ca="1"/>
        <v>1179842</v>
      </c>
      <c r="J127" s="3">
        <f ca="1"/>
        <v>2995.22865</v>
      </c>
      <c r="K127" s="3">
        <f ca="1"/>
        <v>352158781.0964551</v>
      </c>
    </row>
    <row r="128" spans="1:11" x14ac:dyDescent="0.3">
      <c r="A128" s="10">
        <f ca="1"/>
        <v>45884.229166666664</v>
      </c>
      <c r="B128" s="20">
        <f ca="1"/>
        <v>118295.09</v>
      </c>
      <c r="C128" s="20">
        <f ca="1"/>
        <v>119216.82</v>
      </c>
      <c r="D128" s="20">
        <f ca="1"/>
        <v>116803.99</v>
      </c>
      <c r="E128" s="20">
        <f ca="1"/>
        <v>117342.05</v>
      </c>
      <c r="F128" s="3">
        <f ca="1"/>
        <v>13623.338739999999</v>
      </c>
      <c r="G128" s="10">
        <f ca="1"/>
        <v>45885.229166655095</v>
      </c>
      <c r="H128" s="3">
        <f ca="1"/>
        <v>1607609329.685101</v>
      </c>
      <c r="I128" s="3">
        <f ca="1"/>
        <v>2895016</v>
      </c>
      <c r="J128" s="3">
        <f ca="1"/>
        <v>6141.4170800000002</v>
      </c>
      <c r="K128" s="3">
        <f ca="1"/>
        <v>724799635.81724668</v>
      </c>
    </row>
    <row r="129" spans="1:11" x14ac:dyDescent="0.3">
      <c r="A129" s="10">
        <f ca="1"/>
        <v>45883.229166666664</v>
      </c>
      <c r="B129" s="20">
        <f ca="1"/>
        <v>123306.44</v>
      </c>
      <c r="C129" s="20">
        <f ca="1"/>
        <v>124474</v>
      </c>
      <c r="D129" s="20">
        <f ca="1"/>
        <v>117180</v>
      </c>
      <c r="E129" s="20">
        <f ca="1"/>
        <v>118295.09</v>
      </c>
      <c r="F129" s="3">
        <f ca="1"/>
        <v>27980.947585999998</v>
      </c>
      <c r="G129" s="10">
        <f ca="1"/>
        <v>45884.229166655095</v>
      </c>
      <c r="H129" s="3">
        <f ca="1"/>
        <v>3359128391.1085238</v>
      </c>
      <c r="I129" s="3">
        <f ca="1"/>
        <v>4350449</v>
      </c>
      <c r="J129" s="3">
        <f ca="1"/>
        <v>13402.078476000001</v>
      </c>
      <c r="K129" s="3">
        <f ca="1"/>
        <v>1608719584.8697336</v>
      </c>
    </row>
    <row r="130" spans="1:11" x14ac:dyDescent="0.3">
      <c r="A130" s="10">
        <f ca="1"/>
        <v>45882.229166666664</v>
      </c>
      <c r="B130" s="20">
        <f ca="1"/>
        <v>120134.09</v>
      </c>
      <c r="C130" s="20">
        <f ca="1"/>
        <v>123667.79</v>
      </c>
      <c r="D130" s="20">
        <f ca="1"/>
        <v>118920.92</v>
      </c>
      <c r="E130" s="20">
        <f ca="1"/>
        <v>123306.43</v>
      </c>
      <c r="F130" s="3">
        <f ca="1"/>
        <v>23210.071019999999</v>
      </c>
      <c r="G130" s="10">
        <f ca="1"/>
        <v>45883.229166655095</v>
      </c>
      <c r="H130" s="3">
        <f ca="1"/>
        <v>2811581348.3874574</v>
      </c>
      <c r="I130" s="3">
        <f ca="1"/>
        <v>3712817</v>
      </c>
      <c r="J130" s="3">
        <f ca="1"/>
        <v>11931.268249999999</v>
      </c>
      <c r="K130" s="3">
        <f ca="1"/>
        <v>1446045988.0483146</v>
      </c>
    </row>
    <row r="131" spans="1:11" x14ac:dyDescent="0.3">
      <c r="A131" s="10">
        <f ca="1"/>
        <v>45881.229166666664</v>
      </c>
      <c r="B131" s="20">
        <f ca="1"/>
        <v>118686</v>
      </c>
      <c r="C131" s="20">
        <f ca="1"/>
        <v>120324.43</v>
      </c>
      <c r="D131" s="20">
        <f ca="1"/>
        <v>118207.47</v>
      </c>
      <c r="E131" s="20">
        <f ca="1"/>
        <v>120134.08</v>
      </c>
      <c r="F131" s="3">
        <f ca="1"/>
        <v>16720.108929999999</v>
      </c>
      <c r="G131" s="10">
        <f ca="1"/>
        <v>45882.229166655095</v>
      </c>
      <c r="H131" s="3">
        <f ca="1"/>
        <v>1992762473.5852578</v>
      </c>
      <c r="I131" s="3">
        <f ca="1"/>
        <v>2737841</v>
      </c>
      <c r="J131" s="3">
        <f ca="1"/>
        <v>9265.05962</v>
      </c>
      <c r="K131" s="3">
        <f ca="1"/>
        <v>1104367998.1961715</v>
      </c>
    </row>
    <row r="132" spans="1:11" x14ac:dyDescent="0.3">
      <c r="A132" s="10">
        <f ca="1"/>
        <v>45880.229166666664</v>
      </c>
      <c r="B132" s="20">
        <f ca="1"/>
        <v>119294.27</v>
      </c>
      <c r="C132" s="20">
        <f ca="1"/>
        <v>122335.16</v>
      </c>
      <c r="D132" s="20">
        <f ca="1"/>
        <v>118050.11</v>
      </c>
      <c r="E132" s="20">
        <f ca="1"/>
        <v>118686</v>
      </c>
      <c r="F132" s="3">
        <f ca="1"/>
        <v>26494.334289999999</v>
      </c>
      <c r="G132" s="10">
        <f ca="1"/>
        <v>45881.229166655095</v>
      </c>
      <c r="H132" s="3">
        <f ca="1"/>
        <v>3194611530.5410695</v>
      </c>
      <c r="I132" s="3">
        <f ca="1"/>
        <v>4021743</v>
      </c>
      <c r="J132" s="3">
        <f ca="1"/>
        <v>13243.429459999999</v>
      </c>
      <c r="K132" s="3">
        <f ca="1"/>
        <v>1596640461.6430769</v>
      </c>
    </row>
    <row r="133" spans="1:11" x14ac:dyDescent="0.3">
      <c r="A133" s="10">
        <f ca="1"/>
        <v>45879.229166666664</v>
      </c>
      <c r="B133" s="20">
        <f ca="1"/>
        <v>116462.25</v>
      </c>
      <c r="C133" s="20">
        <f ca="1"/>
        <v>119311.11</v>
      </c>
      <c r="D133" s="20">
        <f ca="1"/>
        <v>116460.63</v>
      </c>
      <c r="E133" s="20">
        <f ca="1"/>
        <v>119294.01</v>
      </c>
      <c r="F133" s="3">
        <f ca="1"/>
        <v>14322.77073</v>
      </c>
      <c r="G133" s="10">
        <f ca="1"/>
        <v>45880.229166655095</v>
      </c>
      <c r="H133" s="3">
        <f ca="1"/>
        <v>1694198747.8718708</v>
      </c>
      <c r="I133" s="3">
        <f ca="1"/>
        <v>2317065</v>
      </c>
      <c r="J133" s="3">
        <f ca="1"/>
        <v>8023.4351299999998</v>
      </c>
      <c r="K133" s="3">
        <f ca="1"/>
        <v>949082473.72132194</v>
      </c>
    </row>
    <row r="134" spans="1:11" x14ac:dyDescent="0.3">
      <c r="A134" s="10">
        <f ca="1"/>
        <v>45878.229166666664</v>
      </c>
      <c r="B134" s="20">
        <f ca="1"/>
        <v>116674.74</v>
      </c>
      <c r="C134" s="20">
        <f ca="1"/>
        <v>117944.05</v>
      </c>
      <c r="D134" s="20">
        <f ca="1"/>
        <v>116299.13</v>
      </c>
      <c r="E134" s="20">
        <f ca="1"/>
        <v>116462.25</v>
      </c>
      <c r="F134" s="3">
        <f ca="1"/>
        <v>9514.1314399999992</v>
      </c>
      <c r="G134" s="10">
        <f ca="1"/>
        <v>45879.229166655095</v>
      </c>
      <c r="H134" s="3">
        <f ca="1"/>
        <v>1111837601.7023723</v>
      </c>
      <c r="I134" s="3">
        <f ca="1"/>
        <v>1390951</v>
      </c>
      <c r="J134" s="3">
        <f ca="1"/>
        <v>4869.8541599999999</v>
      </c>
      <c r="K134" s="3">
        <f ca="1"/>
        <v>569228301.11699462</v>
      </c>
    </row>
    <row r="135" spans="1:11" x14ac:dyDescent="0.3">
      <c r="A135" s="10">
        <f ca="1"/>
        <v>45877.229166666664</v>
      </c>
      <c r="B135" s="20">
        <f ca="1"/>
        <v>117472.02</v>
      </c>
      <c r="C135" s="20">
        <f ca="1"/>
        <v>117630</v>
      </c>
      <c r="D135" s="20">
        <f ca="1"/>
        <v>115878.71</v>
      </c>
      <c r="E135" s="20">
        <f ca="1"/>
        <v>116674.74</v>
      </c>
      <c r="F135" s="3">
        <f ca="1"/>
        <v>10045.31278</v>
      </c>
      <c r="G135" s="10">
        <f ca="1"/>
        <v>45878.229166655095</v>
      </c>
      <c r="H135" s="3">
        <f ca="1"/>
        <v>1172199778.7242546</v>
      </c>
      <c r="I135" s="3">
        <f ca="1"/>
        <v>2095304</v>
      </c>
      <c r="J135" s="3">
        <f ca="1"/>
        <v>4584.9057400000002</v>
      </c>
      <c r="K135" s="3">
        <f ca="1"/>
        <v>534970598.46875018</v>
      </c>
    </row>
    <row r="136" spans="1:11" x14ac:dyDescent="0.3">
      <c r="A136" s="10">
        <f ca="1"/>
        <v>45876.229166666664</v>
      </c>
      <c r="B136" s="20">
        <f ca="1"/>
        <v>114992.27</v>
      </c>
      <c r="C136" s="20">
        <f ca="1"/>
        <v>117621</v>
      </c>
      <c r="D136" s="20">
        <f ca="1"/>
        <v>114259</v>
      </c>
      <c r="E136" s="20">
        <f ca="1"/>
        <v>117472.01</v>
      </c>
      <c r="F136" s="3">
        <f ca="1"/>
        <v>13468.56263</v>
      </c>
      <c r="G136" s="10">
        <f ca="1"/>
        <v>45877.229166655095</v>
      </c>
      <c r="H136" s="3">
        <f ca="1"/>
        <v>1564454297.8369269</v>
      </c>
      <c r="I136" s="3">
        <f ca="1"/>
        <v>2314671</v>
      </c>
      <c r="J136" s="3">
        <f ca="1"/>
        <v>7008.7375300000003</v>
      </c>
      <c r="K136" s="3">
        <f ca="1"/>
        <v>814088870.44463205</v>
      </c>
    </row>
    <row r="137" spans="1:11" x14ac:dyDescent="0.3">
      <c r="A137" s="10">
        <f ca="1"/>
        <v>45875.229166666664</v>
      </c>
      <c r="B137" s="20">
        <f ca="1"/>
        <v>114129.75</v>
      </c>
      <c r="C137" s="20">
        <f ca="1"/>
        <v>115716</v>
      </c>
      <c r="D137" s="20">
        <f ca="1"/>
        <v>113355.13</v>
      </c>
      <c r="E137" s="20">
        <f ca="1"/>
        <v>114992.27</v>
      </c>
      <c r="F137" s="3">
        <f ca="1"/>
        <v>9761.1531799999993</v>
      </c>
      <c r="G137" s="10">
        <f ca="1"/>
        <v>45876.229166655095</v>
      </c>
      <c r="H137" s="3">
        <f ca="1"/>
        <v>1118028732.8589184</v>
      </c>
      <c r="I137" s="3">
        <f ca="1"/>
        <v>2026500</v>
      </c>
      <c r="J137" s="3">
        <f ca="1"/>
        <v>4872.24748</v>
      </c>
      <c r="K137" s="3">
        <f ca="1"/>
        <v>558193207.67707205</v>
      </c>
    </row>
    <row r="138" spans="1:11" x14ac:dyDescent="0.3">
      <c r="A138" s="10">
        <f ca="1"/>
        <v>45874.229166666664</v>
      </c>
      <c r="B138" s="20">
        <f ca="1"/>
        <v>115055.03</v>
      </c>
      <c r="C138" s="20">
        <f ca="1"/>
        <v>115127.81</v>
      </c>
      <c r="D138" s="20">
        <f ca="1"/>
        <v>112650</v>
      </c>
      <c r="E138" s="20">
        <f ca="1"/>
        <v>114129.75</v>
      </c>
      <c r="F138" s="3">
        <f ca="1"/>
        <v>12042.790779999999</v>
      </c>
      <c r="G138" s="10">
        <f ca="1"/>
        <v>45875.229166655095</v>
      </c>
      <c r="H138" s="3">
        <f ca="1"/>
        <v>1371861747.1466167</v>
      </c>
      <c r="I138" s="3">
        <f ca="1"/>
        <v>2581052</v>
      </c>
      <c r="J138" s="3">
        <f ca="1"/>
        <v>5622.6675400000004</v>
      </c>
      <c r="K138" s="3">
        <f ca="1"/>
        <v>640570774.10106838</v>
      </c>
    </row>
    <row r="139" spans="1:11" x14ac:dyDescent="0.3">
      <c r="A139" s="10">
        <f ca="1"/>
        <v>45873.229166666664</v>
      </c>
      <c r="B139" s="20">
        <f ca="1"/>
        <v>114208.81</v>
      </c>
      <c r="C139" s="20">
        <f ca="1"/>
        <v>115720</v>
      </c>
      <c r="D139" s="20">
        <f ca="1"/>
        <v>114107.6</v>
      </c>
      <c r="E139" s="20">
        <f ca="1"/>
        <v>115055.03</v>
      </c>
      <c r="F139" s="3">
        <f ca="1"/>
        <v>9667.6791599999997</v>
      </c>
      <c r="G139" s="10">
        <f ca="1"/>
        <v>45874.229166655095</v>
      </c>
      <c r="H139" s="3">
        <f ca="1"/>
        <v>1109938874.0629709</v>
      </c>
      <c r="I139" s="3">
        <f ca="1"/>
        <v>1954230</v>
      </c>
      <c r="J139" s="3">
        <f ca="1"/>
        <v>4715.2935100000004</v>
      </c>
      <c r="K139" s="3">
        <f ca="1"/>
        <v>541443274.80937469</v>
      </c>
    </row>
    <row r="140" spans="1:11" x14ac:dyDescent="0.3">
      <c r="A140" s="10">
        <f ca="1"/>
        <v>45872.229166666664</v>
      </c>
      <c r="B140" s="20">
        <f ca="1"/>
        <v>112546.35</v>
      </c>
      <c r="C140" s="20">
        <f ca="1"/>
        <v>114799.97</v>
      </c>
      <c r="D140" s="20">
        <f ca="1"/>
        <v>111920</v>
      </c>
      <c r="E140" s="20">
        <f ca="1"/>
        <v>114208.8</v>
      </c>
      <c r="F140" s="3">
        <f ca="1"/>
        <v>7397.7604600000004</v>
      </c>
      <c r="G140" s="10">
        <f ca="1"/>
        <v>45873.229166655095</v>
      </c>
      <c r="H140" s="3">
        <f ca="1"/>
        <v>841090034.15425408</v>
      </c>
      <c r="I140" s="3">
        <f ca="1"/>
        <v>1419281</v>
      </c>
      <c r="J140" s="3">
        <f ca="1"/>
        <v>3738.1833099999999</v>
      </c>
      <c r="K140" s="3">
        <f ca="1"/>
        <v>425246221.29553038</v>
      </c>
    </row>
    <row r="141" spans="1:11" x14ac:dyDescent="0.3">
      <c r="A141" s="10">
        <f ca="1"/>
        <v>45871.229166666664</v>
      </c>
      <c r="B141" s="20">
        <f ca="1"/>
        <v>113297.92</v>
      </c>
      <c r="C141" s="20">
        <f ca="1"/>
        <v>114063.49</v>
      </c>
      <c r="D141" s="20">
        <f ca="1"/>
        <v>112003</v>
      </c>
      <c r="E141" s="20">
        <f ca="1"/>
        <v>112546.35</v>
      </c>
      <c r="F141" s="3">
        <f ca="1"/>
        <v>11507.334279999999</v>
      </c>
      <c r="G141" s="10">
        <f ca="1"/>
        <v>45872.229166655095</v>
      </c>
      <c r="H141" s="3">
        <f ca="1"/>
        <v>1301882737.3267219</v>
      </c>
      <c r="I141" s="3">
        <f ca="1"/>
        <v>2165714</v>
      </c>
      <c r="J141" s="3">
        <f ca="1"/>
        <v>5060.0083500000001</v>
      </c>
      <c r="K141" s="3">
        <f ca="1"/>
        <v>572586383.07173133</v>
      </c>
    </row>
    <row r="142" spans="1:11" x14ac:dyDescent="0.3">
      <c r="A142" s="10">
        <f ca="1"/>
        <v>45870.229166666664</v>
      </c>
      <c r="B142" s="20">
        <f ca="1"/>
        <v>115764.07</v>
      </c>
      <c r="C142" s="20">
        <f ca="1"/>
        <v>116052</v>
      </c>
      <c r="D142" s="20">
        <f ca="1"/>
        <v>112722.58</v>
      </c>
      <c r="E142" s="20">
        <f ca="1"/>
        <v>113297.93</v>
      </c>
      <c r="F142" s="3">
        <f ca="1"/>
        <v>24487.102060000001</v>
      </c>
      <c r="G142" s="10">
        <f ca="1"/>
        <v>45871.229166655095</v>
      </c>
      <c r="H142" s="3">
        <f ca="1"/>
        <v>2810268577.15137</v>
      </c>
      <c r="I142" s="3">
        <f ca="1"/>
        <v>4160829</v>
      </c>
      <c r="J142" s="3">
        <f ca="1"/>
        <v>11487.2212</v>
      </c>
      <c r="K142" s="3">
        <f ca="1"/>
        <v>1318593418.0612547</v>
      </c>
    </row>
    <row r="143" spans="1:11" x14ac:dyDescent="0.3">
      <c r="A143" s="10">
        <f ca="1"/>
        <v>45869.229166666664</v>
      </c>
      <c r="B143" s="20">
        <f ca="1"/>
        <v>117840.29</v>
      </c>
      <c r="C143" s="20">
        <f ca="1"/>
        <v>118922.45</v>
      </c>
      <c r="D143" s="20">
        <f ca="1"/>
        <v>115500</v>
      </c>
      <c r="E143" s="20">
        <f ca="1"/>
        <v>115764.08</v>
      </c>
      <c r="F143" s="3">
        <f ca="1"/>
        <v>17010.007300000001</v>
      </c>
      <c r="G143" s="10">
        <f ca="1"/>
        <v>45870.229166655095</v>
      </c>
      <c r="H143" s="3">
        <f ca="1"/>
        <v>2002870016.7022426</v>
      </c>
      <c r="I143" s="3">
        <f ca="1"/>
        <v>1859532</v>
      </c>
      <c r="J143" s="3">
        <f ca="1"/>
        <v>8313.5161599999992</v>
      </c>
      <c r="K143" s="3">
        <f ca="1"/>
        <v>979519362.06854236</v>
      </c>
    </row>
    <row r="144" spans="1:11" x14ac:dyDescent="0.3">
      <c r="A144" s="10">
        <f ca="1"/>
        <v>45868.229166666664</v>
      </c>
      <c r="B144" s="20">
        <f ca="1"/>
        <v>117950.75</v>
      </c>
      <c r="C144" s="20">
        <f ca="1"/>
        <v>118792</v>
      </c>
      <c r="D144" s="20">
        <f ca="1"/>
        <v>115796.23</v>
      </c>
      <c r="E144" s="20">
        <f ca="1"/>
        <v>117840.3</v>
      </c>
      <c r="F144" s="3">
        <f ca="1"/>
        <v>15586.73631</v>
      </c>
      <c r="G144" s="10">
        <f ca="1"/>
        <v>45869.229166655095</v>
      </c>
      <c r="H144" s="3">
        <f ca="1"/>
        <v>1832696878.222986</v>
      </c>
      <c r="I144" s="3">
        <f ca="1"/>
        <v>1997369</v>
      </c>
      <c r="J144" s="3">
        <f ca="1"/>
        <v>7803.6143400000001</v>
      </c>
      <c r="K144" s="3">
        <f ca="1"/>
        <v>917632890.23365259</v>
      </c>
    </row>
    <row r="145" spans="1:11" x14ac:dyDescent="0.3">
      <c r="A145" s="10">
        <f ca="1"/>
        <v>45867.229166666664</v>
      </c>
      <c r="B145" s="20">
        <f ca="1"/>
        <v>118062.32</v>
      </c>
      <c r="C145" s="20">
        <f ca="1"/>
        <v>119273.36</v>
      </c>
      <c r="D145" s="20">
        <f ca="1"/>
        <v>116950.75</v>
      </c>
      <c r="E145" s="20">
        <f ca="1"/>
        <v>117950.76</v>
      </c>
      <c r="F145" s="3">
        <f ca="1"/>
        <v>15137.934450000001</v>
      </c>
      <c r="G145" s="10">
        <f ca="1"/>
        <v>45868.229166655095</v>
      </c>
      <c r="H145" s="3">
        <f ca="1"/>
        <v>1788682083.6856463</v>
      </c>
      <c r="I145" s="3">
        <f ca="1"/>
        <v>1956694</v>
      </c>
      <c r="J145" s="3">
        <f ca="1"/>
        <v>7988.9373599999999</v>
      </c>
      <c r="K145" s="3">
        <f ca="1"/>
        <v>944162800.07458735</v>
      </c>
    </row>
    <row r="146" spans="1:11" x14ac:dyDescent="0.3">
      <c r="A146" s="10">
        <f ca="1"/>
        <v>45866.229166666664</v>
      </c>
      <c r="B146" s="20">
        <f ca="1"/>
        <v>119415.56</v>
      </c>
      <c r="C146" s="20">
        <f ca="1"/>
        <v>119800</v>
      </c>
      <c r="D146" s="20">
        <f ca="1"/>
        <v>117427.5</v>
      </c>
      <c r="E146" s="20">
        <f ca="1"/>
        <v>118062.32</v>
      </c>
      <c r="F146" s="3">
        <f ca="1"/>
        <v>13961.74754</v>
      </c>
      <c r="G146" s="10">
        <f ca="1"/>
        <v>45867.229166655095</v>
      </c>
      <c r="H146" s="3">
        <f ca="1"/>
        <v>1655882235.896518</v>
      </c>
      <c r="I146" s="3">
        <f ca="1"/>
        <v>1824777</v>
      </c>
      <c r="J146" s="3">
        <f ca="1"/>
        <v>7224.9177399999999</v>
      </c>
      <c r="K146" s="3">
        <f ca="1"/>
        <v>857128354.22340882</v>
      </c>
    </row>
    <row r="147" spans="1:11" x14ac:dyDescent="0.3">
      <c r="A147" s="10">
        <f ca="1"/>
        <v>45865.229166666664</v>
      </c>
      <c r="B147" s="20">
        <f ca="1"/>
        <v>117919.99</v>
      </c>
      <c r="C147" s="20">
        <f ca="1"/>
        <v>119766.65</v>
      </c>
      <c r="D147" s="20">
        <f ca="1"/>
        <v>117825.5</v>
      </c>
      <c r="E147" s="20">
        <f ca="1"/>
        <v>119415.55</v>
      </c>
      <c r="F147" s="3">
        <f ca="1"/>
        <v>9328.3091899999999</v>
      </c>
      <c r="G147" s="10">
        <f ca="1"/>
        <v>45866.229166655095</v>
      </c>
      <c r="H147" s="3">
        <f ca="1"/>
        <v>1107883542.1607983</v>
      </c>
      <c r="I147" s="3">
        <f ca="1"/>
        <v>1095080</v>
      </c>
      <c r="J147" s="3">
        <f ca="1"/>
        <v>5238.3035799999998</v>
      </c>
      <c r="K147" s="3">
        <f ca="1"/>
        <v>622261561.25072765</v>
      </c>
    </row>
    <row r="148" spans="1:11" x14ac:dyDescent="0.3">
      <c r="A148" s="10">
        <f ca="1"/>
        <v>45864.229166666664</v>
      </c>
      <c r="B148" s="20">
        <f ca="1"/>
        <v>117614.31</v>
      </c>
      <c r="C148" s="20">
        <f ca="1"/>
        <v>118297.35</v>
      </c>
      <c r="D148" s="20">
        <f ca="1"/>
        <v>117138.38</v>
      </c>
      <c r="E148" s="20">
        <f ca="1"/>
        <v>117919.99</v>
      </c>
      <c r="F148" s="3">
        <f ca="1"/>
        <v>6991.6720599999999</v>
      </c>
      <c r="G148" s="10">
        <f ca="1"/>
        <v>45865.229166655095</v>
      </c>
      <c r="H148" s="3">
        <f ca="1"/>
        <v>823629079.74931026</v>
      </c>
      <c r="I148" s="3">
        <f ca="1"/>
        <v>790372</v>
      </c>
      <c r="J148" s="3">
        <f ca="1"/>
        <v>3167.88355</v>
      </c>
      <c r="K148" s="3">
        <f ca="1"/>
        <v>373290310.21643519</v>
      </c>
    </row>
    <row r="149" spans="1:11" x14ac:dyDescent="0.3">
      <c r="A149" s="10">
        <f ca="1"/>
        <v>45863.229166666664</v>
      </c>
      <c r="B149" s="20">
        <f ca="1"/>
        <v>118340.98</v>
      </c>
      <c r="C149" s="20">
        <f ca="1"/>
        <v>118451.57</v>
      </c>
      <c r="D149" s="20">
        <f ca="1"/>
        <v>114723.16</v>
      </c>
      <c r="E149" s="20">
        <f ca="1"/>
        <v>117614.31</v>
      </c>
      <c r="F149" s="3">
        <f ca="1"/>
        <v>38406.348729999998</v>
      </c>
      <c r="G149" s="10">
        <f ca="1"/>
        <v>45864.229166655095</v>
      </c>
      <c r="H149" s="3">
        <f ca="1"/>
        <v>4456778786.6204939</v>
      </c>
      <c r="I149" s="3">
        <f ca="1"/>
        <v>3282355</v>
      </c>
      <c r="J149" s="3">
        <f ca="1"/>
        <v>17042.773550000002</v>
      </c>
      <c r="K149" s="3">
        <f ca="1"/>
        <v>1977873720.8964725</v>
      </c>
    </row>
    <row r="150" spans="1:11" x14ac:dyDescent="0.3">
      <c r="A150" s="10">
        <f ca="1"/>
        <v>45862.229166666664</v>
      </c>
      <c r="B150" s="20">
        <f ca="1"/>
        <v>118756</v>
      </c>
      <c r="C150" s="20">
        <f ca="1"/>
        <v>119450</v>
      </c>
      <c r="D150" s="20">
        <f ca="1"/>
        <v>117103.1</v>
      </c>
      <c r="E150" s="20">
        <f ca="1"/>
        <v>118340.99</v>
      </c>
      <c r="F150" s="3">
        <f ca="1"/>
        <v>15806.890429999999</v>
      </c>
      <c r="G150" s="10">
        <f ca="1"/>
        <v>45863.229166655095</v>
      </c>
      <c r="H150" s="3">
        <f ca="1"/>
        <v>1873181653.2018075</v>
      </c>
      <c r="I150" s="3">
        <f ca="1"/>
        <v>2081435</v>
      </c>
      <c r="J150" s="3">
        <f ca="1"/>
        <v>7651.73992</v>
      </c>
      <c r="K150" s="3">
        <f ca="1"/>
        <v>906619084.60359311</v>
      </c>
    </row>
    <row r="151" spans="1:11" x14ac:dyDescent="0.3">
      <c r="A151" s="10">
        <f ca="1"/>
        <v>45861.229166666664</v>
      </c>
      <c r="B151" s="20">
        <f ca="1"/>
        <v>119954.43</v>
      </c>
      <c r="C151" s="20">
        <f ca="1"/>
        <v>120090</v>
      </c>
      <c r="D151" s="20">
        <f ca="1"/>
        <v>117301</v>
      </c>
      <c r="E151" s="20">
        <f ca="1"/>
        <v>118755.99</v>
      </c>
      <c r="F151" s="3">
        <f ca="1"/>
        <v>14558.750830000001</v>
      </c>
      <c r="G151" s="10">
        <f ca="1"/>
        <v>45862.229166655095</v>
      </c>
      <c r="H151" s="3">
        <f ca="1"/>
        <v>1722126986.8866611</v>
      </c>
      <c r="I151" s="3">
        <f ca="1"/>
        <v>2101404</v>
      </c>
      <c r="J151" s="3">
        <f ca="1"/>
        <v>7070.0870100000002</v>
      </c>
      <c r="K151" s="3">
        <f ca="1"/>
        <v>836266328.74468315</v>
      </c>
    </row>
    <row r="152" spans="1:11" x14ac:dyDescent="0.3">
      <c r="A152" s="10">
        <f ca="1"/>
        <v>45860.229166666664</v>
      </c>
      <c r="B152" s="20">
        <f ca="1"/>
        <v>117380.36</v>
      </c>
      <c r="C152" s="20">
        <f ca="1"/>
        <v>120247.8</v>
      </c>
      <c r="D152" s="20">
        <f ca="1"/>
        <v>116128</v>
      </c>
      <c r="E152" s="20">
        <f ca="1"/>
        <v>119954.42</v>
      </c>
      <c r="F152" s="3">
        <f ca="1"/>
        <v>20959.129730000001</v>
      </c>
      <c r="G152" s="10">
        <f ca="1"/>
        <v>45861.229166655095</v>
      </c>
      <c r="H152" s="3">
        <f ca="1"/>
        <v>2481252763.6519108</v>
      </c>
      <c r="I152" s="3">
        <f ca="1"/>
        <v>2778733</v>
      </c>
      <c r="J152" s="3">
        <f ca="1"/>
        <v>10811.45507</v>
      </c>
      <c r="K152" s="3">
        <f ca="1"/>
        <v>1280627214.6285224</v>
      </c>
    </row>
    <row r="153" spans="1:11" x14ac:dyDescent="0.3">
      <c r="A153" s="10">
        <f ca="1"/>
        <v>45859.229166666664</v>
      </c>
      <c r="B153" s="20">
        <f ca="1"/>
        <v>117265.11</v>
      </c>
      <c r="C153" s="20">
        <f ca="1"/>
        <v>119676.73</v>
      </c>
      <c r="D153" s="20">
        <f ca="1"/>
        <v>116515</v>
      </c>
      <c r="E153" s="20">
        <f ca="1"/>
        <v>117380.36</v>
      </c>
      <c r="F153" s="3">
        <f ca="1"/>
        <v>17107.331279999999</v>
      </c>
      <c r="G153" s="10">
        <f ca="1"/>
        <v>45860.229166655095</v>
      </c>
      <c r="H153" s="3">
        <f ca="1"/>
        <v>2020783266.9633648</v>
      </c>
      <c r="I153" s="3">
        <f ca="1"/>
        <v>2509543</v>
      </c>
      <c r="J153" s="3">
        <f ca="1"/>
        <v>8426.3181199999999</v>
      </c>
      <c r="K153" s="3">
        <f ca="1"/>
        <v>995117241.66790938</v>
      </c>
    </row>
    <row r="154" spans="1:11" x14ac:dyDescent="0.3">
      <c r="A154" s="10">
        <f ca="1"/>
        <v>45858.229166666664</v>
      </c>
      <c r="B154" s="20">
        <f ca="1"/>
        <v>117840.01</v>
      </c>
      <c r="C154" s="20">
        <f ca="1"/>
        <v>118856.8</v>
      </c>
      <c r="D154" s="20">
        <f ca="1"/>
        <v>116467.02</v>
      </c>
      <c r="E154" s="20">
        <f ca="1"/>
        <v>117265.12</v>
      </c>
      <c r="F154" s="3">
        <f ca="1"/>
        <v>12962.928889999999</v>
      </c>
      <c r="G154" s="10">
        <f ca="1"/>
        <v>45859.229166655095</v>
      </c>
      <c r="H154" s="3">
        <f ca="1"/>
        <v>1528864683.816082</v>
      </c>
      <c r="I154" s="3">
        <f ca="1"/>
        <v>1615935</v>
      </c>
      <c r="J154" s="3">
        <f ca="1"/>
        <v>6581.3337099999999</v>
      </c>
      <c r="K154" s="3">
        <f ca="1"/>
        <v>776457462.98182535</v>
      </c>
    </row>
    <row r="155" spans="1:11" x14ac:dyDescent="0.3">
      <c r="A155" s="10">
        <f ca="1"/>
        <v>45857.229166666664</v>
      </c>
      <c r="B155" s="20">
        <f ca="1"/>
        <v>117924.84</v>
      </c>
      <c r="C155" s="20">
        <f ca="1"/>
        <v>118499.9</v>
      </c>
      <c r="D155" s="20">
        <f ca="1"/>
        <v>117277.34</v>
      </c>
      <c r="E155" s="20">
        <f ca="1"/>
        <v>117840</v>
      </c>
      <c r="F155" s="3">
        <f ca="1"/>
        <v>6635.8030600000002</v>
      </c>
      <c r="G155" s="10">
        <f ca="1"/>
        <v>45858.229166655095</v>
      </c>
      <c r="H155" s="3">
        <f ca="1"/>
        <v>783327898.49696958</v>
      </c>
      <c r="I155" s="3">
        <f ca="1"/>
        <v>1133382</v>
      </c>
      <c r="J155" s="3">
        <f ca="1"/>
        <v>2978.3832000000002</v>
      </c>
      <c r="K155" s="3">
        <f ca="1"/>
        <v>351626384.05029029</v>
      </c>
    </row>
    <row r="156" spans="1:11" x14ac:dyDescent="0.3">
      <c r="A156" s="10">
        <f ca="1"/>
        <v>45856.229166666664</v>
      </c>
      <c r="B156" s="20">
        <f ca="1"/>
        <v>119177.56</v>
      </c>
      <c r="C156" s="20">
        <f ca="1"/>
        <v>120820.71</v>
      </c>
      <c r="D156" s="20">
        <f ca="1"/>
        <v>116812.76</v>
      </c>
      <c r="E156" s="20">
        <f ca="1"/>
        <v>117924.84</v>
      </c>
      <c r="F156" s="3">
        <f ca="1"/>
        <v>19924.662660000002</v>
      </c>
      <c r="G156" s="10">
        <f ca="1"/>
        <v>45857.229166655095</v>
      </c>
      <c r="H156" s="3">
        <f ca="1"/>
        <v>2367355518.4703078</v>
      </c>
      <c r="I156" s="3">
        <f ca="1"/>
        <v>2805236</v>
      </c>
      <c r="J156" s="3">
        <f ca="1"/>
        <v>8951.3786299999992</v>
      </c>
      <c r="K156" s="3">
        <f ca="1"/>
        <v>1063782057.4785626</v>
      </c>
    </row>
    <row r="157" spans="1:11" x14ac:dyDescent="0.3">
      <c r="A157" s="10">
        <f ca="1"/>
        <v>45855.229166666664</v>
      </c>
      <c r="B157" s="20">
        <f ca="1"/>
        <v>118630.44</v>
      </c>
      <c r="C157" s="20">
        <f ca="1"/>
        <v>120998.71</v>
      </c>
      <c r="D157" s="20">
        <f ca="1"/>
        <v>117453.57</v>
      </c>
      <c r="E157" s="20">
        <f ca="1"/>
        <v>119177.56</v>
      </c>
      <c r="F157" s="3">
        <f ca="1"/>
        <v>15728.576510000001</v>
      </c>
      <c r="G157" s="10">
        <f ca="1"/>
        <v>45856.229166655095</v>
      </c>
      <c r="H157" s="3">
        <f ca="1"/>
        <v>1869114355.1231644</v>
      </c>
      <c r="I157" s="3">
        <f ca="1"/>
        <v>2347985</v>
      </c>
      <c r="J157" s="3">
        <f ca="1"/>
        <v>7696.1792699999996</v>
      </c>
      <c r="K157" s="3">
        <f ca="1"/>
        <v>914659207.57442784</v>
      </c>
    </row>
    <row r="158" spans="1:11" x14ac:dyDescent="0.3">
      <c r="A158" s="10">
        <f ca="1"/>
        <v>45854.229166666664</v>
      </c>
      <c r="B158" s="20">
        <f ca="1"/>
        <v>117758.08</v>
      </c>
      <c r="C158" s="20">
        <f ca="1"/>
        <v>120063.84</v>
      </c>
      <c r="D158" s="20">
        <f ca="1"/>
        <v>117017.29</v>
      </c>
      <c r="E158" s="20">
        <f ca="1"/>
        <v>118630.43</v>
      </c>
      <c r="F158" s="3">
        <f ca="1"/>
        <v>17039.908510000001</v>
      </c>
      <c r="G158" s="10">
        <f ca="1"/>
        <v>45855.229166655095</v>
      </c>
      <c r="H158" s="3">
        <f ca="1"/>
        <v>2023850383.7234874</v>
      </c>
      <c r="I158" s="3">
        <f ca="1"/>
        <v>2429625</v>
      </c>
      <c r="J158" s="3">
        <f ca="1"/>
        <v>8355.9688100000003</v>
      </c>
      <c r="K158" s="3">
        <f ca="1"/>
        <v>992430971.36759031</v>
      </c>
    </row>
    <row r="159" spans="1:11" x14ac:dyDescent="0.3">
      <c r="A159" s="10">
        <f ca="1"/>
        <v>45853.229166666664</v>
      </c>
      <c r="B159" s="20">
        <f ca="1"/>
        <v>119841.17</v>
      </c>
      <c r="C159" s="20">
        <f ca="1"/>
        <v>119940.83</v>
      </c>
      <c r="D159" s="20">
        <f ca="1"/>
        <v>115736.92</v>
      </c>
      <c r="E159" s="20">
        <f ca="1"/>
        <v>117758.09</v>
      </c>
      <c r="F159" s="3">
        <f ca="1"/>
        <v>32018.46083</v>
      </c>
      <c r="G159" s="10">
        <f ca="1"/>
        <v>45854.229166655095</v>
      </c>
      <c r="H159" s="3">
        <f ca="1"/>
        <v>3755258445.5532718</v>
      </c>
      <c r="I159" s="3">
        <f ca="1"/>
        <v>3805374</v>
      </c>
      <c r="J159" s="3">
        <f ca="1"/>
        <v>15667.30508</v>
      </c>
      <c r="K159" s="3">
        <f ca="1"/>
        <v>1837578524.9238648</v>
      </c>
    </row>
    <row r="160" spans="1:11" x14ac:dyDescent="0.3">
      <c r="A160" s="10">
        <f ca="1"/>
        <v>45852.229166666664</v>
      </c>
      <c r="B160" s="20">
        <f ca="1"/>
        <v>119086.65</v>
      </c>
      <c r="C160" s="20">
        <f ca="1"/>
        <v>123218</v>
      </c>
      <c r="D160" s="20">
        <f ca="1"/>
        <v>118905.18</v>
      </c>
      <c r="E160" s="20">
        <f ca="1"/>
        <v>119841.18</v>
      </c>
      <c r="F160" s="3">
        <f ca="1"/>
        <v>27269.348877</v>
      </c>
      <c r="G160" s="10">
        <f ca="1"/>
        <v>45853.229166655095</v>
      </c>
      <c r="H160" s="3">
        <f ca="1"/>
        <v>3299746181.0770736</v>
      </c>
      <c r="I160" s="3">
        <f ca="1"/>
        <v>4076133</v>
      </c>
      <c r="J160" s="3">
        <f ca="1"/>
        <v>14099.580747</v>
      </c>
      <c r="K160" s="3">
        <f ca="1"/>
        <v>1705505292.6647241</v>
      </c>
    </row>
    <row r="161" spans="1:11" x14ac:dyDescent="0.3">
      <c r="A161" s="10">
        <f ca="1"/>
        <v>45851.229166666664</v>
      </c>
      <c r="B161" s="20">
        <f ca="1"/>
        <v>117420</v>
      </c>
      <c r="C161" s="20">
        <f ca="1"/>
        <v>119488</v>
      </c>
      <c r="D161" s="20">
        <f ca="1"/>
        <v>117224.79</v>
      </c>
      <c r="E161" s="20">
        <f ca="1"/>
        <v>119086.64</v>
      </c>
      <c r="F161" s="3">
        <f ca="1"/>
        <v>9550.7929469999999</v>
      </c>
      <c r="G161" s="10">
        <f ca="1"/>
        <v>45852.229166655095</v>
      </c>
      <c r="H161" s="3">
        <f ca="1"/>
        <v>1132096857.0116916</v>
      </c>
      <c r="I161" s="3">
        <f ca="1"/>
        <v>1650283</v>
      </c>
      <c r="J161" s="3">
        <f ca="1"/>
        <v>4766.4743070000004</v>
      </c>
      <c r="K161" s="3">
        <f ca="1"/>
        <v>565024389.37239194</v>
      </c>
    </row>
    <row r="162" spans="1:11" x14ac:dyDescent="0.3">
      <c r="A162" s="10">
        <f ca="1"/>
        <v>45850.229166666664</v>
      </c>
      <c r="B162" s="20">
        <f ca="1"/>
        <v>117527.66</v>
      </c>
      <c r="C162" s="20">
        <f ca="1"/>
        <v>118200</v>
      </c>
      <c r="D162" s="20">
        <f ca="1"/>
        <v>116900.05</v>
      </c>
      <c r="E162" s="20">
        <f ca="1"/>
        <v>117420</v>
      </c>
      <c r="F162" s="3">
        <f ca="1"/>
        <v>8446.6043699999991</v>
      </c>
      <c r="G162" s="10">
        <f ca="1"/>
        <v>45851.229166655095</v>
      </c>
      <c r="H162" s="3">
        <f ca="1"/>
        <v>993093353.40689039</v>
      </c>
      <c r="I162" s="3">
        <f ca="1"/>
        <v>1441851</v>
      </c>
      <c r="J162" s="3">
        <f ca="1"/>
        <v>3784.5521899999999</v>
      </c>
      <c r="K162" s="3">
        <f ca="1"/>
        <v>444996040.90597868</v>
      </c>
    </row>
    <row r="163" spans="1:11" x14ac:dyDescent="0.3">
      <c r="A163" s="10">
        <f ca="1"/>
        <v>45849.229166666664</v>
      </c>
      <c r="B163" s="20">
        <f ca="1"/>
        <v>116010.01</v>
      </c>
      <c r="C163" s="20">
        <f ca="1"/>
        <v>118869.98</v>
      </c>
      <c r="D163" s="20">
        <f ca="1"/>
        <v>115222.22</v>
      </c>
      <c r="E163" s="20">
        <f ca="1"/>
        <v>117527.66</v>
      </c>
      <c r="F163" s="3">
        <f ca="1"/>
        <v>25873.521148</v>
      </c>
      <c r="G163" s="10">
        <f ca="1"/>
        <v>45850.229166655095</v>
      </c>
      <c r="H163" s="3">
        <f ca="1"/>
        <v>3039521803.027247</v>
      </c>
      <c r="I163" s="3">
        <f ca="1"/>
        <v>3708194</v>
      </c>
      <c r="J163" s="3">
        <f ca="1"/>
        <v>12502.931167999999</v>
      </c>
      <c r="K163" s="3">
        <f ca="1"/>
        <v>1468374333.9502122</v>
      </c>
    </row>
    <row r="164" spans="1:11" x14ac:dyDescent="0.3">
      <c r="A164" s="10">
        <f ca="1"/>
        <v>45848.229166666664</v>
      </c>
      <c r="B164" s="20">
        <f ca="1"/>
        <v>111234</v>
      </c>
      <c r="C164" s="20">
        <f ca="1"/>
        <v>116868</v>
      </c>
      <c r="D164" s="20">
        <f ca="1"/>
        <v>110500</v>
      </c>
      <c r="E164" s="20">
        <f ca="1"/>
        <v>116010</v>
      </c>
      <c r="F164" s="3">
        <f ca="1"/>
        <v>24883.450665</v>
      </c>
      <c r="G164" s="10">
        <f ca="1"/>
        <v>45849.229166655095</v>
      </c>
      <c r="H164" s="3">
        <f ca="1"/>
        <v>2826460280.4452233</v>
      </c>
      <c r="I164" s="3">
        <f ca="1"/>
        <v>3227017</v>
      </c>
      <c r="J164" s="3">
        <f ca="1"/>
        <v>12900.135467</v>
      </c>
      <c r="K164" s="3">
        <f ca="1"/>
        <v>1465777460.9410756</v>
      </c>
    </row>
    <row r="165" spans="1:11" x14ac:dyDescent="0.3">
      <c r="A165" s="10">
        <f ca="1"/>
        <v>45847.229166666664</v>
      </c>
      <c r="B165" s="20">
        <f ca="1"/>
        <v>108922.99</v>
      </c>
      <c r="C165" s="20">
        <f ca="1"/>
        <v>111999.79</v>
      </c>
      <c r="D165" s="20">
        <f ca="1"/>
        <v>108324.53</v>
      </c>
      <c r="E165" s="20">
        <f ca="1"/>
        <v>111233.99</v>
      </c>
      <c r="F165" s="3">
        <f ca="1"/>
        <v>17282.286499999998</v>
      </c>
      <c r="G165" s="10">
        <f ca="1"/>
        <v>45848.229166655095</v>
      </c>
      <c r="H165" s="3">
        <f ca="1"/>
        <v>1902054744.1949241</v>
      </c>
      <c r="I165" s="3">
        <f ca="1"/>
        <v>2328484</v>
      </c>
      <c r="J165" s="3">
        <f ca="1"/>
        <v>8935.70327</v>
      </c>
      <c r="K165" s="3">
        <f ca="1"/>
        <v>983405508.74821377</v>
      </c>
    </row>
    <row r="166" spans="1:11" x14ac:dyDescent="0.3">
      <c r="A166" s="10">
        <f ca="1"/>
        <v>45846.229166666664</v>
      </c>
      <c r="B166" s="20">
        <f ca="1"/>
        <v>108262.94</v>
      </c>
      <c r="C166" s="20">
        <f ca="1"/>
        <v>109216.56</v>
      </c>
      <c r="D166" s="20">
        <f ca="1"/>
        <v>107429.57</v>
      </c>
      <c r="E166" s="20">
        <f ca="1"/>
        <v>108922.98</v>
      </c>
      <c r="F166" s="3">
        <f ca="1"/>
        <v>9216.0208000000002</v>
      </c>
      <c r="G166" s="10">
        <f ca="1"/>
        <v>45847.229166655095</v>
      </c>
      <c r="H166" s="3">
        <f ca="1"/>
        <v>1000112813.4398943</v>
      </c>
      <c r="I166" s="3">
        <f ca="1"/>
        <v>1723244</v>
      </c>
      <c r="J166" s="3">
        <f ca="1"/>
        <v>4371.98866</v>
      </c>
      <c r="K166" s="3">
        <f ca="1"/>
        <v>474674358.99748993</v>
      </c>
    </row>
    <row r="167" spans="1:11" x14ac:dyDescent="0.3">
      <c r="A167" s="10">
        <f ca="1"/>
        <v>45845.229166666664</v>
      </c>
      <c r="B167" s="20">
        <f ca="1"/>
        <v>109203.85</v>
      </c>
      <c r="C167" s="20">
        <f ca="1"/>
        <v>109700</v>
      </c>
      <c r="D167" s="20">
        <f ca="1"/>
        <v>107513.2</v>
      </c>
      <c r="E167" s="20">
        <f ca="1"/>
        <v>108262.94</v>
      </c>
      <c r="F167" s="3">
        <f ca="1"/>
        <v>9405.37601</v>
      </c>
      <c r="G167" s="10">
        <f ca="1"/>
        <v>45846.229166655095</v>
      </c>
      <c r="H167" s="3">
        <f ca="1"/>
        <v>1020848316.0537041</v>
      </c>
      <c r="I167" s="3">
        <f ca="1"/>
        <v>1961940</v>
      </c>
      <c r="J167" s="3">
        <f ca="1"/>
        <v>3920.92229</v>
      </c>
      <c r="K167" s="3">
        <f ca="1"/>
        <v>425664101.8022387</v>
      </c>
    </row>
    <row r="168" spans="1:11" x14ac:dyDescent="0.3">
      <c r="A168" s="10">
        <f ca="1"/>
        <v>45844.229166666664</v>
      </c>
      <c r="B168" s="20">
        <f ca="1"/>
        <v>108198.12</v>
      </c>
      <c r="C168" s="20">
        <f ca="1"/>
        <v>109700</v>
      </c>
      <c r="D168" s="20">
        <f ca="1"/>
        <v>107800.01</v>
      </c>
      <c r="E168" s="20">
        <f ca="1"/>
        <v>109203.84</v>
      </c>
      <c r="F168" s="3">
        <f ca="1"/>
        <v>6447.607</v>
      </c>
      <c r="G168" s="10">
        <f ca="1"/>
        <v>45845.229166655095</v>
      </c>
      <c r="H168" s="3">
        <f ca="1"/>
        <v>700733299.51121986</v>
      </c>
      <c r="I168" s="3">
        <f ca="1"/>
        <v>1256591</v>
      </c>
      <c r="J168" s="3">
        <f ca="1"/>
        <v>3209.3590199999999</v>
      </c>
      <c r="K168" s="3">
        <f ca="1"/>
        <v>348780644.23317403</v>
      </c>
    </row>
    <row r="169" spans="1:11" x14ac:dyDescent="0.3">
      <c r="A169" s="10">
        <f ca="1"/>
        <v>45843.229166666664</v>
      </c>
      <c r="B169" s="20">
        <f ca="1"/>
        <v>107984.25</v>
      </c>
      <c r="C169" s="20">
        <f ca="1"/>
        <v>108420.56</v>
      </c>
      <c r="D169" s="20">
        <f ca="1"/>
        <v>107756.31</v>
      </c>
      <c r="E169" s="20">
        <f ca="1"/>
        <v>108198.12</v>
      </c>
      <c r="F169" s="3">
        <f ca="1"/>
        <v>3736.9757</v>
      </c>
      <c r="G169" s="10">
        <f ca="1"/>
        <v>45844.229166655095</v>
      </c>
      <c r="H169" s="3">
        <f ca="1"/>
        <v>403928702.1967476</v>
      </c>
      <c r="I169" s="3">
        <f ca="1"/>
        <v>710020</v>
      </c>
      <c r="J169" s="3">
        <f ca="1"/>
        <v>1803.6852799999999</v>
      </c>
      <c r="K169" s="3">
        <f ca="1"/>
        <v>194976807.3633011</v>
      </c>
    </row>
    <row r="170" spans="1:11" x14ac:dyDescent="0.3">
      <c r="A170" s="10">
        <f ca="1"/>
        <v>45842.229166666664</v>
      </c>
      <c r="B170" s="20">
        <f ca="1"/>
        <v>109584.77</v>
      </c>
      <c r="C170" s="20">
        <f ca="1"/>
        <v>109767.59</v>
      </c>
      <c r="D170" s="20">
        <f ca="1"/>
        <v>107245</v>
      </c>
      <c r="E170" s="20">
        <f ca="1"/>
        <v>107984.24</v>
      </c>
      <c r="F170" s="3">
        <f ca="1"/>
        <v>11793.86615</v>
      </c>
      <c r="G170" s="10">
        <f ca="1"/>
        <v>45843.229166655095</v>
      </c>
      <c r="H170" s="3">
        <f ca="1"/>
        <v>1276215111.6683652</v>
      </c>
      <c r="I170" s="3">
        <f ca="1"/>
        <v>1975212</v>
      </c>
      <c r="J170" s="3">
        <f ca="1"/>
        <v>4787.7982199999997</v>
      </c>
      <c r="K170" s="3">
        <f ca="1"/>
        <v>518313226.96675599</v>
      </c>
    </row>
    <row r="171" spans="1:11" x14ac:dyDescent="0.3">
      <c r="A171" s="10">
        <f ca="1"/>
        <v>45841.229166666664</v>
      </c>
      <c r="B171" s="20">
        <f ca="1"/>
        <v>108849.59</v>
      </c>
      <c r="C171" s="20">
        <f ca="1"/>
        <v>110529.18</v>
      </c>
      <c r="D171" s="20">
        <f ca="1"/>
        <v>108530.4</v>
      </c>
      <c r="E171" s="20">
        <f ca="1"/>
        <v>109584.78</v>
      </c>
      <c r="F171" s="3">
        <f ca="1"/>
        <v>13047.082249999999</v>
      </c>
      <c r="G171" s="10">
        <f ca="1"/>
        <v>45842.229166655095</v>
      </c>
      <c r="H171" s="3">
        <f ca="1"/>
        <v>1429459048.6383262</v>
      </c>
      <c r="I171" s="3">
        <f ca="1"/>
        <v>2568944</v>
      </c>
      <c r="J171" s="3">
        <f ca="1"/>
        <v>6961.8968599999998</v>
      </c>
      <c r="K171" s="3">
        <f ca="1"/>
        <v>763022147.911677</v>
      </c>
    </row>
    <row r="172" spans="1:11" x14ac:dyDescent="0.3">
      <c r="A172" s="10">
        <f ca="1"/>
        <v>45840.229166666664</v>
      </c>
      <c r="B172" s="20">
        <f ca="1"/>
        <v>105681.13</v>
      </c>
      <c r="C172" s="20">
        <f ca="1"/>
        <v>109730</v>
      </c>
      <c r="D172" s="20">
        <f ca="1"/>
        <v>105100.19</v>
      </c>
      <c r="E172" s="20">
        <f ca="1"/>
        <v>108849.60000000001</v>
      </c>
      <c r="F172" s="3">
        <f ca="1"/>
        <v>17691.895919999999</v>
      </c>
      <c r="G172" s="10">
        <f ca="1"/>
        <v>45841.229166655095</v>
      </c>
      <c r="H172" s="3">
        <f ca="1"/>
        <v>1915699005.8772898</v>
      </c>
      <c r="I172" s="3">
        <f ca="1"/>
        <v>2444708</v>
      </c>
      <c r="J172" s="3">
        <f ca="1"/>
        <v>9248.4302900000002</v>
      </c>
      <c r="K172" s="3">
        <f ca="1"/>
        <v>1002261738.2088752</v>
      </c>
    </row>
    <row r="173" spans="1:11" x14ac:dyDescent="0.3">
      <c r="A173" s="10">
        <f ca="1"/>
        <v>45839.229166666664</v>
      </c>
      <c r="B173" s="20">
        <f ca="1"/>
        <v>107146.51</v>
      </c>
      <c r="C173" s="20">
        <f ca="1"/>
        <v>107540</v>
      </c>
      <c r="D173" s="20">
        <f ca="1"/>
        <v>105250.85</v>
      </c>
      <c r="E173" s="20">
        <f ca="1"/>
        <v>105681.14</v>
      </c>
      <c r="F173" s="3">
        <f ca="1"/>
        <v>10505.62437</v>
      </c>
      <c r="G173" s="10">
        <f ca="1"/>
        <v>45840.229166655095</v>
      </c>
      <c r="H173" s="3">
        <f ca="1"/>
        <v>1117432945.8926365</v>
      </c>
      <c r="I173" s="3">
        <f ca="1"/>
        <v>2013289</v>
      </c>
      <c r="J173" s="3">
        <f ca="1"/>
        <v>4648.9172699999999</v>
      </c>
      <c r="K173" s="3">
        <f ca="1"/>
        <v>494549276.18377852</v>
      </c>
    </row>
    <row r="174" spans="1:11" x14ac:dyDescent="0.3">
      <c r="A174" s="10">
        <f ca="1"/>
        <v>45838.229166666664</v>
      </c>
      <c r="B174" s="20">
        <f ca="1"/>
        <v>108356.93</v>
      </c>
      <c r="C174" s="20">
        <f ca="1"/>
        <v>108789.99</v>
      </c>
      <c r="D174" s="20">
        <f ca="1"/>
        <v>106733.33</v>
      </c>
      <c r="E174" s="20">
        <f ca="1"/>
        <v>107146.5</v>
      </c>
      <c r="F174" s="3">
        <f ca="1"/>
        <v>9754.1249100000005</v>
      </c>
      <c r="G174" s="10">
        <f ca="1"/>
        <v>45839.229166655095</v>
      </c>
      <c r="H174" s="3">
        <f ca="1"/>
        <v>1050407152.345058</v>
      </c>
      <c r="I174" s="3">
        <f ca="1"/>
        <v>1773485</v>
      </c>
      <c r="J174" s="3">
        <f ca="1"/>
        <v>4331.3813</v>
      </c>
      <c r="K174" s="3">
        <f ca="1"/>
        <v>466474537.78821218</v>
      </c>
    </row>
    <row r="175" spans="1:11" x14ac:dyDescent="0.3">
      <c r="A175" s="10">
        <f ca="1"/>
        <v>45837.229166666664</v>
      </c>
      <c r="B175" s="20">
        <f ca="1"/>
        <v>107296.79</v>
      </c>
      <c r="C175" s="20">
        <f ca="1"/>
        <v>108528.5</v>
      </c>
      <c r="D175" s="20">
        <f ca="1"/>
        <v>107172.52</v>
      </c>
      <c r="E175" s="20">
        <f ca="1"/>
        <v>108356.93</v>
      </c>
      <c r="F175" s="3">
        <f ca="1"/>
        <v>6831.7363999999998</v>
      </c>
      <c r="G175" s="10">
        <f ca="1"/>
        <v>45838.229166655095</v>
      </c>
      <c r="H175" s="3">
        <f ca="1"/>
        <v>736708189.94956839</v>
      </c>
      <c r="I175" s="3">
        <f ca="1"/>
        <v>1223202</v>
      </c>
      <c r="J175" s="3">
        <f ca="1"/>
        <v>3771.1089499999998</v>
      </c>
      <c r="K175" s="3">
        <f ca="1"/>
        <v>406653127.09208041</v>
      </c>
    </row>
    <row r="176" spans="1:11" x14ac:dyDescent="0.3">
      <c r="A176" s="10">
        <f ca="1"/>
        <v>45836.229166666664</v>
      </c>
      <c r="B176" s="20">
        <f ca="1"/>
        <v>107047.58</v>
      </c>
      <c r="C176" s="20">
        <f ca="1"/>
        <v>107577.75</v>
      </c>
      <c r="D176" s="20">
        <f ca="1"/>
        <v>106811.51</v>
      </c>
      <c r="E176" s="20">
        <f ca="1"/>
        <v>107296.79</v>
      </c>
      <c r="F176" s="3">
        <f ca="1"/>
        <v>3282.1735199999998</v>
      </c>
      <c r="G176" s="10">
        <f ca="1"/>
        <v>45837.229166655095</v>
      </c>
      <c r="H176" s="3">
        <f ca="1"/>
        <v>352025390.60311347</v>
      </c>
      <c r="I176" s="3">
        <f ca="1"/>
        <v>653305</v>
      </c>
      <c r="J176" s="3">
        <f ca="1"/>
        <v>1514.41959</v>
      </c>
      <c r="K176" s="3">
        <f ca="1"/>
        <v>162441164.01323959</v>
      </c>
    </row>
    <row r="177" spans="1:11" x14ac:dyDescent="0.3">
      <c r="A177" s="10">
        <f ca="1"/>
        <v>45835.229166666664</v>
      </c>
      <c r="B177" s="20">
        <f ca="1"/>
        <v>106947.06</v>
      </c>
      <c r="C177" s="20">
        <f ca="1"/>
        <v>107735.34</v>
      </c>
      <c r="D177" s="20">
        <f ca="1"/>
        <v>106356.76</v>
      </c>
      <c r="E177" s="20">
        <f ca="1"/>
        <v>107047.59</v>
      </c>
      <c r="F177" s="3">
        <f ca="1"/>
        <v>12232.440420000001</v>
      </c>
      <c r="G177" s="10">
        <f ca="1"/>
        <v>45836.229166655095</v>
      </c>
      <c r="H177" s="3">
        <f ca="1"/>
        <v>1308420348.9100094</v>
      </c>
      <c r="I177" s="3">
        <f ca="1"/>
        <v>2304499</v>
      </c>
      <c r="J177" s="3">
        <f ca="1"/>
        <v>4862.2800999999999</v>
      </c>
      <c r="K177" s="3">
        <f ca="1"/>
        <v>520251258.37876642</v>
      </c>
    </row>
    <row r="178" spans="1:11" x14ac:dyDescent="0.3">
      <c r="A178" s="10">
        <f ca="1"/>
        <v>45834.229166666664</v>
      </c>
      <c r="B178" s="20">
        <f ca="1"/>
        <v>107340.59</v>
      </c>
      <c r="C178" s="20">
        <f ca="1"/>
        <v>108272.45</v>
      </c>
      <c r="D178" s="20">
        <f ca="1"/>
        <v>106562.5</v>
      </c>
      <c r="E178" s="20">
        <f ca="1"/>
        <v>106947.06</v>
      </c>
      <c r="F178" s="3">
        <f ca="1"/>
        <v>10573.272790000001</v>
      </c>
      <c r="G178" s="10">
        <f ca="1"/>
        <v>45835.229166655095</v>
      </c>
      <c r="H178" s="3">
        <f ca="1"/>
        <v>1136093974.6816013</v>
      </c>
      <c r="I178" s="3">
        <f ca="1"/>
        <v>2597742</v>
      </c>
      <c r="J178" s="3">
        <f ca="1"/>
        <v>4983.0899799999997</v>
      </c>
      <c r="K178" s="3">
        <f ca="1"/>
        <v>535471528.1944927</v>
      </c>
    </row>
    <row r="179" spans="1:11" x14ac:dyDescent="0.3">
      <c r="A179" s="10">
        <f ca="1"/>
        <v>45833.229166666664</v>
      </c>
      <c r="B179" s="20">
        <f ca="1"/>
        <v>106083</v>
      </c>
      <c r="C179" s="20">
        <f ca="1"/>
        <v>108135.3</v>
      </c>
      <c r="D179" s="20">
        <f ca="1"/>
        <v>105808.03</v>
      </c>
      <c r="E179" s="20">
        <f ca="1"/>
        <v>107340.58</v>
      </c>
      <c r="F179" s="3">
        <f ca="1"/>
        <v>16701.155510000001</v>
      </c>
      <c r="G179" s="10">
        <f ca="1"/>
        <v>45834.229166655095</v>
      </c>
      <c r="H179" s="3">
        <f ca="1"/>
        <v>1789545470.94629</v>
      </c>
      <c r="I179" s="3">
        <f ca="1"/>
        <v>2988892</v>
      </c>
      <c r="J179" s="3">
        <f ca="1"/>
        <v>8576.1370900000002</v>
      </c>
      <c r="K179" s="3">
        <f ca="1"/>
        <v>919352853.80641198</v>
      </c>
    </row>
    <row r="180" spans="1:11" x14ac:dyDescent="0.3">
      <c r="A180" s="10">
        <f ca="1"/>
        <v>45832.229166666664</v>
      </c>
      <c r="B180" s="20">
        <f ca="1"/>
        <v>105333.94</v>
      </c>
      <c r="C180" s="20">
        <f ca="1"/>
        <v>106290</v>
      </c>
      <c r="D180" s="20">
        <f ca="1"/>
        <v>104622.02</v>
      </c>
      <c r="E180" s="20">
        <f ca="1"/>
        <v>106083</v>
      </c>
      <c r="F180" s="3">
        <f ca="1"/>
        <v>14651.69335</v>
      </c>
      <c r="G180" s="10">
        <f ca="1"/>
        <v>45833.229166655095</v>
      </c>
      <c r="H180" s="3">
        <f ca="1"/>
        <v>1543451113.4563613</v>
      </c>
      <c r="I180" s="3">
        <f ca="1"/>
        <v>2973481</v>
      </c>
      <c r="J180" s="3">
        <f ca="1"/>
        <v>6848.3215799999998</v>
      </c>
      <c r="K180" s="3">
        <f ca="1"/>
        <v>721631005.28932643</v>
      </c>
    </row>
    <row r="181" spans="1:11" x14ac:dyDescent="0.3">
      <c r="A181" s="10">
        <f ca="1"/>
        <v>45831.229166666664</v>
      </c>
      <c r="B181" s="20">
        <f ca="1"/>
        <v>100963.87</v>
      </c>
      <c r="C181" s="20">
        <f ca="1"/>
        <v>106074.2</v>
      </c>
      <c r="D181" s="20">
        <f ca="1"/>
        <v>99613.33</v>
      </c>
      <c r="E181" s="20">
        <f ca="1"/>
        <v>105333.93</v>
      </c>
      <c r="F181" s="3">
        <f ca="1"/>
        <v>27666.506089999999</v>
      </c>
      <c r="G181" s="10">
        <f ca="1"/>
        <v>45832.229166655095</v>
      </c>
      <c r="H181" s="3">
        <f ca="1"/>
        <v>2836166831.0444489</v>
      </c>
      <c r="I181" s="3">
        <f ca="1"/>
        <v>4944207</v>
      </c>
      <c r="J181" s="3">
        <f ca="1"/>
        <v>13408.20163</v>
      </c>
      <c r="K181" s="3">
        <f ca="1"/>
        <v>1375654853.258466</v>
      </c>
    </row>
    <row r="182" spans="1:11" x14ac:dyDescent="0.3">
      <c r="A182" s="10">
        <f ca="1"/>
        <v>45830.229166666664</v>
      </c>
      <c r="B182" s="20">
        <f ca="1"/>
        <v>102120.02</v>
      </c>
      <c r="C182" s="20">
        <f ca="1"/>
        <v>103399.62</v>
      </c>
      <c r="D182" s="20">
        <f ca="1"/>
        <v>98200</v>
      </c>
      <c r="E182" s="20">
        <f ca="1"/>
        <v>100963.87</v>
      </c>
      <c r="F182" s="3">
        <f ca="1"/>
        <v>28746.41072</v>
      </c>
      <c r="G182" s="10">
        <f ca="1"/>
        <v>45831.229166655095</v>
      </c>
      <c r="H182" s="3">
        <f ca="1"/>
        <v>2892695407.8086877</v>
      </c>
      <c r="I182" s="3">
        <f ca="1"/>
        <v>5121309</v>
      </c>
      <c r="J182" s="3">
        <f ca="1"/>
        <v>13142.02965</v>
      </c>
      <c r="K182" s="3">
        <f ca="1"/>
        <v>1322387353.3166401</v>
      </c>
    </row>
    <row r="183" spans="1:11" x14ac:dyDescent="0.3">
      <c r="A183" s="10">
        <f ca="1"/>
        <v>45829.229166666664</v>
      </c>
      <c r="B183" s="20">
        <f ca="1"/>
        <v>103297.98</v>
      </c>
      <c r="C183" s="20">
        <f ca="1"/>
        <v>103982.64</v>
      </c>
      <c r="D183" s="20">
        <f ca="1"/>
        <v>100837.9</v>
      </c>
      <c r="E183" s="20">
        <f ca="1"/>
        <v>102120.01</v>
      </c>
      <c r="F183" s="3">
        <f ca="1"/>
        <v>11154.213320000001</v>
      </c>
      <c r="G183" s="10">
        <f ca="1"/>
        <v>45830.229166655095</v>
      </c>
      <c r="H183" s="3">
        <f ca="1"/>
        <v>1144829784.7306418</v>
      </c>
      <c r="I183" s="3">
        <f ca="1"/>
        <v>2172578</v>
      </c>
      <c r="J183" s="3">
        <f ca="1"/>
        <v>4632.93703</v>
      </c>
      <c r="K183" s="3">
        <f ca="1"/>
        <v>475270667.42267621</v>
      </c>
    </row>
    <row r="184" spans="1:11" x14ac:dyDescent="0.3">
      <c r="A184" s="10">
        <f ca="1"/>
        <v>45828.229166666664</v>
      </c>
      <c r="B184" s="20">
        <f ca="1"/>
        <v>104658.59</v>
      </c>
      <c r="C184" s="20">
        <f ca="1"/>
        <v>106524.65</v>
      </c>
      <c r="D184" s="20">
        <f ca="1"/>
        <v>102345</v>
      </c>
      <c r="E184" s="20">
        <f ca="1"/>
        <v>103297.99</v>
      </c>
      <c r="F184" s="3">
        <f ca="1"/>
        <v>16419.062829999999</v>
      </c>
      <c r="G184" s="10">
        <f ca="1"/>
        <v>45829.229166655095</v>
      </c>
      <c r="H184" s="3">
        <f ca="1"/>
        <v>1714411911.0114017</v>
      </c>
      <c r="I184" s="3">
        <f ca="1"/>
        <v>3029404</v>
      </c>
      <c r="J184" s="3">
        <f ca="1"/>
        <v>7113.9703900000004</v>
      </c>
      <c r="K184" s="3">
        <f ca="1"/>
        <v>743649283.08002114</v>
      </c>
    </row>
    <row r="185" spans="1:11" x14ac:dyDescent="0.3">
      <c r="A185" s="10">
        <f ca="1"/>
        <v>45827.229166666664</v>
      </c>
      <c r="B185" s="20">
        <f ca="1"/>
        <v>104886.79</v>
      </c>
      <c r="C185" s="20">
        <f ca="1"/>
        <v>105226.17</v>
      </c>
      <c r="D185" s="20">
        <f ca="1"/>
        <v>103929.27</v>
      </c>
      <c r="E185" s="20">
        <f ca="1"/>
        <v>104658.59</v>
      </c>
      <c r="F185" s="3">
        <f ca="1"/>
        <v>7678.6073699999997</v>
      </c>
      <c r="G185" s="10">
        <f ca="1"/>
        <v>45828.229166655095</v>
      </c>
      <c r="H185" s="3">
        <f ca="1"/>
        <v>803402575.96204495</v>
      </c>
      <c r="I185" s="3">
        <f ca="1"/>
        <v>1718045</v>
      </c>
      <c r="J185" s="3">
        <f ca="1"/>
        <v>3583.1973600000001</v>
      </c>
      <c r="K185" s="3">
        <f ca="1"/>
        <v>374871407.4107334</v>
      </c>
    </row>
    <row r="186" spans="1:11" x14ac:dyDescent="0.3">
      <c r="A186" s="10">
        <f ca="1"/>
        <v>45826.229166666664</v>
      </c>
      <c r="B186" s="20">
        <f ca="1"/>
        <v>104551.17</v>
      </c>
      <c r="C186" s="20">
        <f ca="1"/>
        <v>105550.27</v>
      </c>
      <c r="D186" s="20">
        <f ca="1"/>
        <v>103500</v>
      </c>
      <c r="E186" s="20">
        <f ca="1"/>
        <v>104886.78</v>
      </c>
      <c r="F186" s="3">
        <f ca="1"/>
        <v>13968.641670000001</v>
      </c>
      <c r="G186" s="10">
        <f ca="1"/>
        <v>45827.229166655095</v>
      </c>
      <c r="H186" s="3">
        <f ca="1"/>
        <v>1461383024.3622093</v>
      </c>
      <c r="I186" s="3">
        <f ca="1"/>
        <v>3468170</v>
      </c>
      <c r="J186" s="3">
        <f ca="1"/>
        <v>6656.3147399999998</v>
      </c>
      <c r="K186" s="3">
        <f ca="1"/>
        <v>696386846.69042957</v>
      </c>
    </row>
    <row r="187" spans="1:11" x14ac:dyDescent="0.3">
      <c r="A187" s="10">
        <f ca="1"/>
        <v>45825.229166666664</v>
      </c>
      <c r="B187" s="20">
        <f ca="1"/>
        <v>106794.53</v>
      </c>
      <c r="C187" s="20">
        <f ca="1"/>
        <v>107771.34</v>
      </c>
      <c r="D187" s="20">
        <f ca="1"/>
        <v>103371.02</v>
      </c>
      <c r="E187" s="20">
        <f ca="1"/>
        <v>104551.17</v>
      </c>
      <c r="F187" s="3">
        <f ca="1"/>
        <v>17866.330249999999</v>
      </c>
      <c r="G187" s="10">
        <f ca="1"/>
        <v>45826.229166655095</v>
      </c>
      <c r="H187" s="3">
        <f ca="1"/>
        <v>1883173484.8990998</v>
      </c>
      <c r="I187" s="3">
        <f ca="1"/>
        <v>3723010</v>
      </c>
      <c r="J187" s="3">
        <f ca="1"/>
        <v>8082.6529</v>
      </c>
      <c r="K187" s="3">
        <f ca="1"/>
        <v>852365443.21135604</v>
      </c>
    </row>
    <row r="188" spans="1:11" x14ac:dyDescent="0.3">
      <c r="A188" s="10">
        <f ca="1"/>
        <v>45824.229166666664</v>
      </c>
      <c r="B188" s="20">
        <f ca="1"/>
        <v>105594.02</v>
      </c>
      <c r="C188" s="20">
        <f ca="1"/>
        <v>108952.38</v>
      </c>
      <c r="D188" s="20">
        <f ca="1"/>
        <v>104980.37</v>
      </c>
      <c r="E188" s="20">
        <f ca="1"/>
        <v>106794.53</v>
      </c>
      <c r="F188" s="3">
        <f ca="1"/>
        <v>14922.6654</v>
      </c>
      <c r="G188" s="10">
        <f ca="1"/>
        <v>45825.229166655095</v>
      </c>
      <c r="H188" s="3">
        <f ca="1"/>
        <v>1599849840.7325244</v>
      </c>
      <c r="I188" s="3">
        <f ca="1"/>
        <v>2928998</v>
      </c>
      <c r="J188" s="3">
        <f ca="1"/>
        <v>7442.3492100000003</v>
      </c>
      <c r="K188" s="3">
        <f ca="1"/>
        <v>797865030.13661778</v>
      </c>
    </row>
    <row r="189" spans="1:11" x14ac:dyDescent="0.3">
      <c r="A189" s="10">
        <f ca="1"/>
        <v>45823.229166666664</v>
      </c>
      <c r="B189" s="20">
        <f ca="1"/>
        <v>105414.63</v>
      </c>
      <c r="C189" s="20">
        <f ca="1"/>
        <v>106128.57</v>
      </c>
      <c r="D189" s="20">
        <f ca="1"/>
        <v>104494.53</v>
      </c>
      <c r="E189" s="20">
        <f ca="1"/>
        <v>105594.01</v>
      </c>
      <c r="F189" s="3">
        <f ca="1"/>
        <v>7164.2004699999998</v>
      </c>
      <c r="G189" s="10">
        <f ca="1"/>
        <v>45824.229166655095</v>
      </c>
      <c r="H189" s="3">
        <f ca="1"/>
        <v>754596887.87480044</v>
      </c>
      <c r="I189" s="3">
        <f ca="1"/>
        <v>1564768</v>
      </c>
      <c r="J189" s="3">
        <f ca="1"/>
        <v>3356.4691200000002</v>
      </c>
      <c r="K189" s="3">
        <f ca="1"/>
        <v>353608577.68537742</v>
      </c>
    </row>
    <row r="190" spans="1:11" x14ac:dyDescent="0.3">
      <c r="A190" s="10">
        <f ca="1"/>
        <v>45822.229166666664</v>
      </c>
      <c r="B190" s="20">
        <f ca="1"/>
        <v>106066.59</v>
      </c>
      <c r="C190" s="20">
        <f ca="1"/>
        <v>106252</v>
      </c>
      <c r="D190" s="20">
        <f ca="1"/>
        <v>104300</v>
      </c>
      <c r="E190" s="20">
        <f ca="1"/>
        <v>105414.64</v>
      </c>
      <c r="F190" s="3">
        <f ca="1"/>
        <v>8798.9396899999992</v>
      </c>
      <c r="G190" s="10">
        <f ca="1"/>
        <v>45823.229166655095</v>
      </c>
      <c r="H190" s="3">
        <f ca="1"/>
        <v>925568614.17840648</v>
      </c>
      <c r="I190" s="3">
        <f ca="1"/>
        <v>1521776</v>
      </c>
      <c r="J190" s="3">
        <f ca="1"/>
        <v>3848.5549799999999</v>
      </c>
      <c r="K190" s="3">
        <f ca="1"/>
        <v>405001275.92627162</v>
      </c>
    </row>
    <row r="191" spans="1:11" x14ac:dyDescent="0.3">
      <c r="A191" s="10">
        <f ca="1"/>
        <v>45821.229166666664</v>
      </c>
      <c r="B191" s="20">
        <f ca="1"/>
        <v>105671.74</v>
      </c>
      <c r="C191" s="20">
        <f ca="1"/>
        <v>106179.53</v>
      </c>
      <c r="D191" s="20">
        <f ca="1"/>
        <v>102664.31</v>
      </c>
      <c r="E191" s="20">
        <f ca="1"/>
        <v>106066.59</v>
      </c>
      <c r="F191" s="3">
        <f ca="1"/>
        <v>26180.817340000001</v>
      </c>
      <c r="G191" s="10">
        <f ca="1"/>
        <v>45822.229166655095</v>
      </c>
      <c r="H191" s="3">
        <f ca="1"/>
        <v>2735461890.6929703</v>
      </c>
      <c r="I191" s="3">
        <f ca="1"/>
        <v>5452577</v>
      </c>
      <c r="J191" s="3">
        <f ca="1"/>
        <v>12793.707050000001</v>
      </c>
      <c r="K191" s="3">
        <f ca="1"/>
        <v>1337300355.9952192</v>
      </c>
    </row>
    <row r="192" spans="1:11" x14ac:dyDescent="0.3">
      <c r="A192" s="10">
        <f ca="1"/>
        <v>45820.229166666664</v>
      </c>
      <c r="B192" s="20">
        <f ca="1"/>
        <v>108645.13</v>
      </c>
      <c r="C192" s="20">
        <f ca="1"/>
        <v>108813.55</v>
      </c>
      <c r="D192" s="20">
        <f ca="1"/>
        <v>105671.72</v>
      </c>
      <c r="E192" s="20">
        <f ca="1"/>
        <v>105671.73</v>
      </c>
      <c r="F192" s="3">
        <f ca="1"/>
        <v>17778.672180000001</v>
      </c>
      <c r="G192" s="10">
        <f ca="1"/>
        <v>45821.229166655095</v>
      </c>
      <c r="H192" s="3">
        <f ca="1"/>
        <v>1908309274.0868344</v>
      </c>
      <c r="I192" s="3">
        <f ca="1"/>
        <v>3517420</v>
      </c>
      <c r="J192" s="3">
        <f ca="1"/>
        <v>8291.2264799999994</v>
      </c>
      <c r="K192" s="3">
        <f ca="1"/>
        <v>890420511.47044146</v>
      </c>
    </row>
    <row r="193" spans="1:11" x14ac:dyDescent="0.3">
      <c r="A193" s="10">
        <f ca="1"/>
        <v>45819.229166666664</v>
      </c>
      <c r="B193" s="20">
        <f ca="1"/>
        <v>110274.39</v>
      </c>
      <c r="C193" s="20">
        <f ca="1"/>
        <v>110392.01</v>
      </c>
      <c r="D193" s="20">
        <f ca="1"/>
        <v>108064</v>
      </c>
      <c r="E193" s="20">
        <f ca="1"/>
        <v>108645.12</v>
      </c>
      <c r="F193" s="3">
        <f ca="1"/>
        <v>13115.916380000001</v>
      </c>
      <c r="G193" s="10">
        <f ca="1"/>
        <v>45820.229166655095</v>
      </c>
      <c r="H193" s="3">
        <f ca="1"/>
        <v>1434884639.7506304</v>
      </c>
      <c r="I193" s="3">
        <f ca="1"/>
        <v>2667014</v>
      </c>
      <c r="J193" s="3">
        <f ca="1"/>
        <v>6030.9686700000002</v>
      </c>
      <c r="K193" s="3">
        <f ca="1"/>
        <v>659947218.00338686</v>
      </c>
    </row>
    <row r="194" spans="1:11" x14ac:dyDescent="0.3">
      <c r="A194" s="10">
        <f ca="1"/>
        <v>45818.229166666664</v>
      </c>
      <c r="B194" s="20">
        <f ca="1"/>
        <v>110263.02</v>
      </c>
      <c r="C194" s="20">
        <f ca="1"/>
        <v>110400</v>
      </c>
      <c r="D194" s="20">
        <f ca="1"/>
        <v>108331.03</v>
      </c>
      <c r="E194" s="20">
        <f ca="1"/>
        <v>110274.39</v>
      </c>
      <c r="F194" s="3">
        <f ca="1"/>
        <v>17071.828389999999</v>
      </c>
      <c r="G194" s="10">
        <f ca="1"/>
        <v>45819.229166655095</v>
      </c>
      <c r="H194" s="3">
        <f ca="1"/>
        <v>1867620550.192173</v>
      </c>
      <c r="I194" s="3">
        <f ca="1"/>
        <v>3003420</v>
      </c>
      <c r="J194" s="3">
        <f ca="1"/>
        <v>8009.2958099999996</v>
      </c>
      <c r="K194" s="3">
        <f ca="1"/>
        <v>876411274.39694881</v>
      </c>
    </row>
    <row r="195" spans="1:11" x14ac:dyDescent="0.3">
      <c r="A195" s="10">
        <f ca="1"/>
        <v>45817.229166666664</v>
      </c>
      <c r="B195" s="20">
        <f ca="1"/>
        <v>105734.01</v>
      </c>
      <c r="C195" s="20">
        <f ca="1"/>
        <v>110530.17</v>
      </c>
      <c r="D195" s="20">
        <f ca="1"/>
        <v>105318.37</v>
      </c>
      <c r="E195" s="20">
        <f ca="1"/>
        <v>110263.02</v>
      </c>
      <c r="F195" s="3">
        <f ca="1"/>
        <v>19975.374510000001</v>
      </c>
      <c r="G195" s="10">
        <f ca="1"/>
        <v>45818.229166655095</v>
      </c>
      <c r="H195" s="3">
        <f ca="1"/>
        <v>2154922022.2211728</v>
      </c>
      <c r="I195" s="3">
        <f ca="1"/>
        <v>2839846</v>
      </c>
      <c r="J195" s="3">
        <f ca="1"/>
        <v>10623.882170000001</v>
      </c>
      <c r="K195" s="3">
        <f ca="1"/>
        <v>1146790065.5135615</v>
      </c>
    </row>
    <row r="196" spans="1:11" x14ac:dyDescent="0.3">
      <c r="A196" s="10">
        <f ca="1"/>
        <v>45816.229166666664</v>
      </c>
      <c r="B196" s="20">
        <f ca="1"/>
        <v>105552.15</v>
      </c>
      <c r="C196" s="20">
        <f ca="1"/>
        <v>106488.14</v>
      </c>
      <c r="D196" s="20">
        <f ca="1"/>
        <v>104964.14</v>
      </c>
      <c r="E196" s="20">
        <f ca="1"/>
        <v>105734</v>
      </c>
      <c r="F196" s="3">
        <f ca="1"/>
        <v>8048.0630499999997</v>
      </c>
      <c r="G196" s="10">
        <f ca="1"/>
        <v>45817.229166655095</v>
      </c>
      <c r="H196" s="3">
        <f ca="1"/>
        <v>850887129.42829764</v>
      </c>
      <c r="I196" s="3">
        <f ca="1"/>
        <v>1295154</v>
      </c>
      <c r="J196" s="3">
        <f ca="1"/>
        <v>4361.4226600000002</v>
      </c>
      <c r="K196" s="3">
        <f ca="1"/>
        <v>461098506.08832401</v>
      </c>
    </row>
    <row r="197" spans="1:11" x14ac:dyDescent="0.3">
      <c r="A197" s="10">
        <f ca="1"/>
        <v>45815.229166666664</v>
      </c>
      <c r="B197" s="20">
        <f ca="1"/>
        <v>104288.43</v>
      </c>
      <c r="C197" s="20">
        <f ca="1"/>
        <v>105900</v>
      </c>
      <c r="D197" s="20">
        <f ca="1"/>
        <v>103871.09</v>
      </c>
      <c r="E197" s="20">
        <f ca="1"/>
        <v>105552.15</v>
      </c>
      <c r="F197" s="3">
        <f ca="1"/>
        <v>8344.9320599999992</v>
      </c>
      <c r="G197" s="10">
        <f ca="1"/>
        <v>45816.229166655095</v>
      </c>
      <c r="H197" s="3">
        <f ca="1"/>
        <v>877915380.95482314</v>
      </c>
      <c r="I197" s="3">
        <f ca="1"/>
        <v>1402494</v>
      </c>
      <c r="J197" s="3">
        <f ca="1"/>
        <v>3970.0191199999999</v>
      </c>
      <c r="K197" s="3">
        <f ca="1"/>
        <v>417664199.19127119</v>
      </c>
    </row>
    <row r="198" spans="1:11" x14ac:dyDescent="0.3">
      <c r="A198" s="10">
        <f ca="1"/>
        <v>45814.229166666664</v>
      </c>
      <c r="B198" s="20">
        <f ca="1"/>
        <v>101508.69</v>
      </c>
      <c r="C198" s="20">
        <f ca="1"/>
        <v>105333</v>
      </c>
      <c r="D198" s="20">
        <f ca="1"/>
        <v>101095.8</v>
      </c>
      <c r="E198" s="20">
        <f ca="1"/>
        <v>104288.44</v>
      </c>
      <c r="F198" s="3">
        <f ca="1"/>
        <v>15839.073850000001</v>
      </c>
      <c r="G198" s="10">
        <f ca="1"/>
        <v>45815.229166655095</v>
      </c>
      <c r="H198" s="3">
        <f ca="1"/>
        <v>1642382404.9355752</v>
      </c>
      <c r="I198" s="3">
        <f ca="1"/>
        <v>2709327</v>
      </c>
      <c r="J198" s="3">
        <f ca="1"/>
        <v>7655.6067899999998</v>
      </c>
      <c r="K198" s="3">
        <f ca="1"/>
        <v>793575821.43579316</v>
      </c>
    </row>
    <row r="199" spans="1:11" x14ac:dyDescent="0.3">
      <c r="A199" s="10">
        <f ca="1"/>
        <v>45813.229166666664</v>
      </c>
      <c r="B199" s="20">
        <f ca="1"/>
        <v>104696.86</v>
      </c>
      <c r="C199" s="20">
        <f ca="1"/>
        <v>105909.71</v>
      </c>
      <c r="D199" s="20">
        <f ca="1"/>
        <v>100372.26</v>
      </c>
      <c r="E199" s="20">
        <f ca="1"/>
        <v>101508.68</v>
      </c>
      <c r="F199" s="3">
        <f ca="1"/>
        <v>22321.501540000001</v>
      </c>
      <c r="G199" s="10">
        <f ca="1"/>
        <v>45814.229166655095</v>
      </c>
      <c r="H199" s="3">
        <f ca="1"/>
        <v>2301567892.5305448</v>
      </c>
      <c r="I199" s="3">
        <f ca="1"/>
        <v>3963295</v>
      </c>
      <c r="J199" s="3">
        <f ca="1"/>
        <v>10005.360189999999</v>
      </c>
      <c r="K199" s="3">
        <f ca="1"/>
        <v>1031668517.0427111</v>
      </c>
    </row>
    <row r="200" spans="1:11" x14ac:dyDescent="0.3">
      <c r="A200" s="10">
        <f ca="1"/>
        <v>45812.229166666664</v>
      </c>
      <c r="B200" s="20">
        <f ca="1"/>
        <v>105376.9</v>
      </c>
      <c r="C200" s="20">
        <f ca="1"/>
        <v>106000</v>
      </c>
      <c r="D200" s="20">
        <f ca="1"/>
        <v>104179</v>
      </c>
      <c r="E200" s="20">
        <f ca="1"/>
        <v>104696.86</v>
      </c>
      <c r="F200" s="3">
        <f ca="1"/>
        <v>14034.89482</v>
      </c>
      <c r="G200" s="10">
        <f ca="1"/>
        <v>45813.229166655095</v>
      </c>
      <c r="H200" s="3">
        <f ca="1"/>
        <v>1476928482.3688781</v>
      </c>
      <c r="I200" s="3">
        <f ca="1"/>
        <v>2274464</v>
      </c>
      <c r="J200" s="3">
        <f ca="1"/>
        <v>6979.9490999999998</v>
      </c>
      <c r="K200" s="3">
        <f ca="1"/>
        <v>734803757.41858375</v>
      </c>
    </row>
    <row r="201" spans="1:11" x14ac:dyDescent="0.3">
      <c r="A201" s="10">
        <f ca="1"/>
        <v>45811.229166666664</v>
      </c>
      <c r="B201" s="20">
        <f ca="1"/>
        <v>105858</v>
      </c>
      <c r="C201" s="20">
        <f ca="1"/>
        <v>106794.67</v>
      </c>
      <c r="D201" s="20">
        <f ca="1"/>
        <v>104872.5</v>
      </c>
      <c r="E201" s="20">
        <f ca="1"/>
        <v>105376.89</v>
      </c>
      <c r="F201" s="3">
        <f ca="1"/>
        <v>13259.52634</v>
      </c>
      <c r="G201" s="10">
        <f ca="1"/>
        <v>45812.229166655095</v>
      </c>
      <c r="H201" s="3">
        <f ca="1"/>
        <v>1402493746.5993218</v>
      </c>
      <c r="I201" s="3">
        <f ca="1"/>
        <v>2470698</v>
      </c>
      <c r="J201" s="3">
        <f ca="1"/>
        <v>6260.2243600000002</v>
      </c>
      <c r="K201" s="3">
        <f ca="1"/>
        <v>662160926.82412255</v>
      </c>
    </row>
    <row r="202" spans="1:11" x14ac:dyDescent="0.3">
      <c r="A202" s="10">
        <f ca="1"/>
        <v>45810.229166666664</v>
      </c>
      <c r="B202" s="20">
        <f ca="1"/>
        <v>105642.93</v>
      </c>
      <c r="C202" s="20">
        <f ca="1"/>
        <v>105935.63</v>
      </c>
      <c r="D202" s="20">
        <f ca="1"/>
        <v>103659.88</v>
      </c>
      <c r="E202" s="20">
        <f ca="1"/>
        <v>105857.99</v>
      </c>
      <c r="F202" s="3">
        <f ca="1"/>
        <v>13453.98813</v>
      </c>
      <c r="G202" s="10">
        <f ca="1"/>
        <v>45811.229166655095</v>
      </c>
      <c r="H202" s="3">
        <f ca="1"/>
        <v>1409004206.9863732</v>
      </c>
      <c r="I202" s="3">
        <f ca="1"/>
        <v>2997656</v>
      </c>
      <c r="J202" s="3">
        <f ca="1"/>
        <v>6494.6549699999996</v>
      </c>
      <c r="K202" s="3">
        <f ca="1"/>
        <v>680177826.6144172</v>
      </c>
    </row>
    <row r="203" spans="1:11" x14ac:dyDescent="0.3">
      <c r="A203" s="10">
        <f ca="1"/>
        <v>45809.229166666664</v>
      </c>
      <c r="B203" s="20">
        <f ca="1"/>
        <v>104591.88</v>
      </c>
      <c r="C203" s="20">
        <f ca="1"/>
        <v>105866.91</v>
      </c>
      <c r="D203" s="20">
        <f ca="1"/>
        <v>103752.49</v>
      </c>
      <c r="E203" s="20">
        <f ca="1"/>
        <v>105642.93</v>
      </c>
      <c r="F203" s="3">
        <f ca="1"/>
        <v>9709.7000599999992</v>
      </c>
      <c r="G203" s="10">
        <f ca="1"/>
        <v>45810.229166655095</v>
      </c>
      <c r="H203" s="3">
        <f ca="1"/>
        <v>1016188486.9505996</v>
      </c>
      <c r="I203" s="3">
        <f ca="1"/>
        <v>1939359</v>
      </c>
      <c r="J203" s="3">
        <f ca="1"/>
        <v>4640.3507</v>
      </c>
      <c r="K203" s="3">
        <f ca="1"/>
        <v>485683466.93478429</v>
      </c>
    </row>
    <row r="204" spans="1:11" x14ac:dyDescent="0.3">
      <c r="A204" s="10">
        <f ca="1"/>
        <v>45808.229166666664</v>
      </c>
      <c r="B204" s="20">
        <f ca="1"/>
        <v>103985.47</v>
      </c>
      <c r="C204" s="20">
        <f ca="1"/>
        <v>104900</v>
      </c>
      <c r="D204" s="20">
        <f ca="1"/>
        <v>103068.55</v>
      </c>
      <c r="E204" s="20">
        <f ca="1"/>
        <v>104591.88</v>
      </c>
      <c r="F204" s="3">
        <f ca="1"/>
        <v>11289.35922</v>
      </c>
      <c r="G204" s="10">
        <f ca="1"/>
        <v>45809.229166655095</v>
      </c>
      <c r="H204" s="3">
        <f ca="1"/>
        <v>1174000801.5070379</v>
      </c>
      <c r="I204" s="3">
        <f ca="1"/>
        <v>2343787</v>
      </c>
      <c r="J204" s="3">
        <f ca="1"/>
        <v>5278.9517500000002</v>
      </c>
      <c r="K204" s="3">
        <f ca="1"/>
        <v>548980630.84935784</v>
      </c>
    </row>
    <row r="205" spans="1:11" x14ac:dyDescent="0.3">
      <c r="A205" s="10">
        <f ca="1"/>
        <v>45807.229166666664</v>
      </c>
      <c r="B205" s="20">
        <f ca="1"/>
        <v>105589.75</v>
      </c>
      <c r="C205" s="20">
        <f ca="1"/>
        <v>106313.12</v>
      </c>
      <c r="D205" s="20">
        <f ca="1"/>
        <v>103621</v>
      </c>
      <c r="E205" s="20">
        <f ca="1"/>
        <v>103985.48</v>
      </c>
      <c r="F205" s="3">
        <f ca="1"/>
        <v>23706.49799</v>
      </c>
      <c r="G205" s="10">
        <f ca="1"/>
        <v>45808.229166655095</v>
      </c>
      <c r="H205" s="3">
        <f ca="1"/>
        <v>2493078549.5918608</v>
      </c>
      <c r="I205" s="3">
        <f ca="1"/>
        <v>4307572</v>
      </c>
      <c r="J205" s="3">
        <f ca="1"/>
        <v>11070.98746</v>
      </c>
      <c r="K205" s="3">
        <f ca="1"/>
        <v>1164158558.6435854</v>
      </c>
    </row>
    <row r="206" spans="1:11" x14ac:dyDescent="0.3">
      <c r="A206" s="10">
        <f ca="1"/>
        <v>45806.229166666664</v>
      </c>
      <c r="B206" s="20">
        <f ca="1"/>
        <v>107781.78</v>
      </c>
      <c r="C206" s="20">
        <f ca="1"/>
        <v>108891.91</v>
      </c>
      <c r="D206" s="20">
        <f ca="1"/>
        <v>105322.86</v>
      </c>
      <c r="E206" s="20">
        <f ca="1"/>
        <v>105589.75</v>
      </c>
      <c r="F206" s="3">
        <f ca="1"/>
        <v>19834.701160000001</v>
      </c>
      <c r="G206" s="10">
        <f ca="1"/>
        <v>45807.229166655095</v>
      </c>
      <c r="H206" s="3">
        <f ca="1"/>
        <v>2128639017.5081618</v>
      </c>
      <c r="I206" s="3">
        <f ca="1"/>
        <v>3774926</v>
      </c>
      <c r="J206" s="3">
        <f ca="1"/>
        <v>9457.4935600000008</v>
      </c>
      <c r="K206" s="3">
        <f ca="1"/>
        <v>1015173771.5489898</v>
      </c>
    </row>
    <row r="207" spans="1:11" x14ac:dyDescent="0.3">
      <c r="A207" s="10">
        <f ca="1"/>
        <v>45805.229166666664</v>
      </c>
      <c r="B207" s="20">
        <f ca="1"/>
        <v>108938.17</v>
      </c>
      <c r="C207" s="20">
        <f ca="1"/>
        <v>109284.7</v>
      </c>
      <c r="D207" s="20">
        <f ca="1"/>
        <v>106769.43</v>
      </c>
      <c r="E207" s="20">
        <f ca="1"/>
        <v>107781.78</v>
      </c>
      <c r="F207" s="3">
        <f ca="1"/>
        <v>15633.78829</v>
      </c>
      <c r="G207" s="10">
        <f ca="1"/>
        <v>45806.229166655095</v>
      </c>
      <c r="H207" s="3">
        <f ca="1"/>
        <v>1689136748.5130312</v>
      </c>
      <c r="I207" s="3">
        <f ca="1"/>
        <v>2933262</v>
      </c>
      <c r="J207" s="3">
        <f ca="1"/>
        <v>6877.2734099999998</v>
      </c>
      <c r="K207" s="3">
        <f ca="1"/>
        <v>743282966.72071958</v>
      </c>
    </row>
    <row r="208" spans="1:11" x14ac:dyDescent="0.3">
      <c r="A208" s="10">
        <f ca="1"/>
        <v>45804.229166666664</v>
      </c>
      <c r="B208" s="20">
        <f ca="1"/>
        <v>109434.78</v>
      </c>
      <c r="C208" s="20">
        <f ca="1"/>
        <v>110718</v>
      </c>
      <c r="D208" s="20">
        <f ca="1"/>
        <v>107516.57</v>
      </c>
      <c r="E208" s="20">
        <f ca="1"/>
        <v>108938.17</v>
      </c>
      <c r="F208" s="3">
        <f ca="1"/>
        <v>21276.656350000001</v>
      </c>
      <c r="G208" s="10">
        <f ca="1"/>
        <v>45805.229166655095</v>
      </c>
      <c r="H208" s="3">
        <f ca="1"/>
        <v>2327603851.1192651</v>
      </c>
      <c r="I208" s="3">
        <f ca="1"/>
        <v>3735509</v>
      </c>
      <c r="J208" s="3">
        <f ca="1"/>
        <v>9969.8927100000001</v>
      </c>
      <c r="K208" s="3">
        <f ca="1"/>
        <v>1090553624.4615991</v>
      </c>
    </row>
    <row r="209" spans="1:11" x14ac:dyDescent="0.3">
      <c r="A209" s="10">
        <f ca="1"/>
        <v>45803.229166666664</v>
      </c>
      <c r="B209" s="20">
        <f ca="1"/>
        <v>109004.2</v>
      </c>
      <c r="C209" s="20">
        <f ca="1"/>
        <v>110422.22</v>
      </c>
      <c r="D209" s="20">
        <f ca="1"/>
        <v>108670.58</v>
      </c>
      <c r="E209" s="20">
        <f ca="1"/>
        <v>109434.79</v>
      </c>
      <c r="F209" s="3">
        <f ca="1"/>
        <v>14649.11593</v>
      </c>
      <c r="G209" s="10">
        <f ca="1"/>
        <v>45804.229166655095</v>
      </c>
      <c r="H209" s="3">
        <f ca="1"/>
        <v>1605578282.107903</v>
      </c>
      <c r="I209" s="3">
        <f ca="1"/>
        <v>2887863</v>
      </c>
      <c r="J209" s="3">
        <f ca="1"/>
        <v>7301.1128799999997</v>
      </c>
      <c r="K209" s="3">
        <f ca="1"/>
        <v>800269021.1922797</v>
      </c>
    </row>
    <row r="210" spans="1:11" x14ac:dyDescent="0.3">
      <c r="A210" s="10">
        <f ca="1"/>
        <v>45802.229166666664</v>
      </c>
      <c r="B210" s="20">
        <f ca="1"/>
        <v>107761.9</v>
      </c>
      <c r="C210" s="20">
        <f ca="1"/>
        <v>109299.99</v>
      </c>
      <c r="D210" s="20">
        <f ca="1"/>
        <v>106600.64</v>
      </c>
      <c r="E210" s="20">
        <f ca="1"/>
        <v>109004.19</v>
      </c>
      <c r="F210" s="3">
        <f ca="1"/>
        <v>17710.04695</v>
      </c>
      <c r="G210" s="10">
        <f ca="1"/>
        <v>45803.229166655095</v>
      </c>
      <c r="H210" s="3">
        <f ca="1"/>
        <v>1904366455.425858</v>
      </c>
      <c r="I210" s="3">
        <f ca="1"/>
        <v>3151168</v>
      </c>
      <c r="J210" s="3">
        <f ca="1"/>
        <v>7867.1671200000001</v>
      </c>
      <c r="K210" s="3">
        <f ca="1"/>
        <v>846688135.00971365</v>
      </c>
    </row>
    <row r="211" spans="1:11" x14ac:dyDescent="0.3">
      <c r="A211" s="10">
        <f ca="1"/>
        <v>45801.229166666664</v>
      </c>
      <c r="B211" s="20">
        <f ca="1"/>
        <v>107318.3</v>
      </c>
      <c r="C211" s="20">
        <f ca="1"/>
        <v>109506.03</v>
      </c>
      <c r="D211" s="20">
        <f ca="1"/>
        <v>106875.41</v>
      </c>
      <c r="E211" s="20">
        <f ca="1"/>
        <v>107761.91</v>
      </c>
      <c r="F211" s="3">
        <f ca="1"/>
        <v>16782.531289999999</v>
      </c>
      <c r="G211" s="10">
        <f ca="1"/>
        <v>45802.229166655095</v>
      </c>
      <c r="H211" s="3">
        <f ca="1"/>
        <v>1819958819.7748587</v>
      </c>
      <c r="I211" s="3">
        <f ca="1"/>
        <v>2805418</v>
      </c>
      <c r="J211" s="3">
        <f ca="1"/>
        <v>8786.9074700000001</v>
      </c>
      <c r="K211" s="3">
        <f ca="1"/>
        <v>953683093.32165694</v>
      </c>
    </row>
    <row r="212" spans="1:11" x14ac:dyDescent="0.3">
      <c r="A212" s="10">
        <f ca="1"/>
        <v>45800.229166666664</v>
      </c>
      <c r="B212" s="20">
        <f ca="1"/>
        <v>111696.22</v>
      </c>
      <c r="C212" s="20">
        <f ca="1"/>
        <v>111800</v>
      </c>
      <c r="D212" s="20">
        <f ca="1"/>
        <v>106800</v>
      </c>
      <c r="E212" s="20">
        <f ca="1"/>
        <v>107318.3</v>
      </c>
      <c r="F212" s="3">
        <f ca="1"/>
        <v>31737.72309</v>
      </c>
      <c r="G212" s="10">
        <f ca="1"/>
        <v>45801.229166655095</v>
      </c>
      <c r="H212" s="3">
        <f ca="1"/>
        <v>3469704446.3904047</v>
      </c>
      <c r="I212" s="3">
        <f ca="1"/>
        <v>5251192</v>
      </c>
      <c r="J212" s="3">
        <f ca="1"/>
        <v>14309.31652</v>
      </c>
      <c r="K212" s="3">
        <f ca="1"/>
        <v>1565622441.1875169</v>
      </c>
    </row>
    <row r="213" spans="1:11" x14ac:dyDescent="0.3">
      <c r="A213" s="10">
        <f ca="1"/>
        <v>45799.229166666664</v>
      </c>
      <c r="B213" s="20">
        <f ca="1"/>
        <v>109643.99</v>
      </c>
      <c r="C213" s="20">
        <f ca="1"/>
        <v>111980</v>
      </c>
      <c r="D213" s="20">
        <f ca="1"/>
        <v>109177.37</v>
      </c>
      <c r="E213" s="20">
        <f ca="1"/>
        <v>111696.21</v>
      </c>
      <c r="F213" s="3">
        <f ca="1"/>
        <v>31630.773130000001</v>
      </c>
      <c r="G213" s="10">
        <f ca="1"/>
        <v>45800.229166655095</v>
      </c>
      <c r="H213" s="3">
        <f ca="1"/>
        <v>3509432834.5734172</v>
      </c>
      <c r="I213" s="3">
        <f ca="1"/>
        <v>5794216</v>
      </c>
      <c r="J213" s="3">
        <f ca="1"/>
        <v>16584.56293</v>
      </c>
      <c r="K213" s="3">
        <f ca="1"/>
        <v>1840083098.5827858</v>
      </c>
    </row>
    <row r="214" spans="1:11" x14ac:dyDescent="0.3">
      <c r="A214" s="10">
        <f ca="1"/>
        <v>45798.229166666664</v>
      </c>
      <c r="B214" s="20">
        <f ca="1"/>
        <v>106850</v>
      </c>
      <c r="C214" s="20">
        <f ca="1"/>
        <v>110797.38</v>
      </c>
      <c r="D214" s="20">
        <f ca="1"/>
        <v>106100.01</v>
      </c>
      <c r="E214" s="20">
        <f ca="1"/>
        <v>109643.99</v>
      </c>
      <c r="F214" s="3">
        <f ca="1"/>
        <v>45531.040345000001</v>
      </c>
      <c r="G214" s="10">
        <f ca="1"/>
        <v>45799.229166655095</v>
      </c>
      <c r="H214" s="3">
        <f ca="1"/>
        <v>4914709514.3200264</v>
      </c>
      <c r="I214" s="3">
        <f ca="1"/>
        <v>6835279</v>
      </c>
      <c r="J214" s="3">
        <f ca="1"/>
        <v>23661.649395</v>
      </c>
      <c r="K214" s="3">
        <f ca="1"/>
        <v>2555528481.0987258</v>
      </c>
    </row>
    <row r="215" spans="1:11" x14ac:dyDescent="0.3">
      <c r="A215" s="10">
        <f ca="1"/>
        <v>45797.229166666664</v>
      </c>
      <c r="B215" s="20">
        <f ca="1"/>
        <v>105573.73</v>
      </c>
      <c r="C215" s="20">
        <f ca="1"/>
        <v>107320</v>
      </c>
      <c r="D215" s="20">
        <f ca="1"/>
        <v>104184.72</v>
      </c>
      <c r="E215" s="20">
        <f ca="1"/>
        <v>106849.99</v>
      </c>
      <c r="F215" s="3">
        <f ca="1"/>
        <v>23705.482749999999</v>
      </c>
      <c r="G215" s="10">
        <f ca="1"/>
        <v>45798.229166655095</v>
      </c>
      <c r="H215" s="3">
        <f ca="1"/>
        <v>2509102444.6695981</v>
      </c>
      <c r="I215" s="3">
        <f ca="1"/>
        <v>3878351</v>
      </c>
      <c r="J215" s="3">
        <f ca="1"/>
        <v>12350.462750000001</v>
      </c>
      <c r="K215" s="3">
        <f ca="1"/>
        <v>1307273652.3895233</v>
      </c>
    </row>
    <row r="216" spans="1:11" x14ac:dyDescent="0.3">
      <c r="A216" s="10">
        <f ca="1"/>
        <v>45796.229166666664</v>
      </c>
      <c r="B216" s="20">
        <f ca="1"/>
        <v>106454.27</v>
      </c>
      <c r="C216" s="20">
        <f ca="1"/>
        <v>107108.62</v>
      </c>
      <c r="D216" s="20">
        <f ca="1"/>
        <v>102000</v>
      </c>
      <c r="E216" s="20">
        <f ca="1"/>
        <v>105573.74</v>
      </c>
      <c r="F216" s="3">
        <f ca="1"/>
        <v>30260.035240000001</v>
      </c>
      <c r="G216" s="10">
        <f ca="1"/>
        <v>45797.229166655095</v>
      </c>
      <c r="H216" s="3">
        <f ca="1"/>
        <v>3150324504.5954514</v>
      </c>
      <c r="I216" s="3">
        <f ca="1"/>
        <v>4881371</v>
      </c>
      <c r="J216" s="3">
        <f ca="1"/>
        <v>14208.308999999999</v>
      </c>
      <c r="K216" s="3">
        <f ca="1"/>
        <v>1480452895.0841563</v>
      </c>
    </row>
    <row r="217" spans="1:11" x14ac:dyDescent="0.3">
      <c r="A217" s="10">
        <f ca="1"/>
        <v>45795.229166666664</v>
      </c>
      <c r="B217" s="20">
        <f ca="1"/>
        <v>103126.65</v>
      </c>
      <c r="C217" s="20">
        <f ca="1"/>
        <v>106660</v>
      </c>
      <c r="D217" s="20">
        <f ca="1"/>
        <v>103105.09</v>
      </c>
      <c r="E217" s="20">
        <f ca="1"/>
        <v>106454.26</v>
      </c>
      <c r="F217" s="3">
        <f ca="1"/>
        <v>21599.987260000002</v>
      </c>
      <c r="G217" s="10">
        <f ca="1"/>
        <v>45796.229166655095</v>
      </c>
      <c r="H217" s="3">
        <f ca="1"/>
        <v>2262214972.0749383</v>
      </c>
      <c r="I217" s="3">
        <f ca="1"/>
        <v>3193300</v>
      </c>
      <c r="J217" s="3">
        <f ca="1"/>
        <v>11664.89904</v>
      </c>
      <c r="K217" s="3">
        <f ca="1"/>
        <v>1221914552.0552013</v>
      </c>
    </row>
    <row r="218" spans="1:11" x14ac:dyDescent="0.3">
      <c r="A218" s="10">
        <f ca="1"/>
        <v>45794.229166666664</v>
      </c>
      <c r="B218" s="20">
        <f ca="1"/>
        <v>103463.9</v>
      </c>
      <c r="C218" s="20">
        <f ca="1"/>
        <v>103709.86</v>
      </c>
      <c r="D218" s="20">
        <f ca="1"/>
        <v>102612.5</v>
      </c>
      <c r="E218" s="20">
        <f ca="1"/>
        <v>103126.65</v>
      </c>
      <c r="F218" s="3">
        <f ca="1"/>
        <v>11250.896220000001</v>
      </c>
      <c r="G218" s="10">
        <f ca="1"/>
        <v>45795.229166655095</v>
      </c>
      <c r="H218" s="3">
        <f ca="1"/>
        <v>1160418362.950618</v>
      </c>
      <c r="I218" s="3">
        <f ca="1"/>
        <v>2568597</v>
      </c>
      <c r="J218" s="3">
        <f ca="1"/>
        <v>5335.1152499999998</v>
      </c>
      <c r="K218" s="3">
        <f ca="1"/>
        <v>550379728.73385012</v>
      </c>
    </row>
    <row r="219" spans="1:11" x14ac:dyDescent="0.3">
      <c r="A219" s="10">
        <f ca="1"/>
        <v>45793.229166666664</v>
      </c>
      <c r="B219" s="20">
        <f ca="1"/>
        <v>103763.71</v>
      </c>
      <c r="C219" s="20">
        <f ca="1"/>
        <v>104550.33</v>
      </c>
      <c r="D219" s="20">
        <f ca="1"/>
        <v>103100.49</v>
      </c>
      <c r="E219" s="20">
        <f ca="1"/>
        <v>103463.9</v>
      </c>
      <c r="F219" s="3">
        <f ca="1"/>
        <v>15683.88024</v>
      </c>
      <c r="G219" s="10">
        <f ca="1"/>
        <v>45794.229166655095</v>
      </c>
      <c r="H219" s="3">
        <f ca="1"/>
        <v>1628832372.3241482</v>
      </c>
      <c r="I219" s="3">
        <f ca="1"/>
        <v>3237442</v>
      </c>
      <c r="J219" s="3">
        <f ca="1"/>
        <v>7555.1580100000001</v>
      </c>
      <c r="K219" s="3">
        <f ca="1"/>
        <v>784850382.19427466</v>
      </c>
    </row>
    <row r="220" spans="1:11" x14ac:dyDescent="0.3">
      <c r="A220" s="10">
        <f ca="1"/>
        <v>45792.229166666664</v>
      </c>
      <c r="B220" s="20">
        <f ca="1"/>
        <v>103507.83</v>
      </c>
      <c r="C220" s="20">
        <f ca="1"/>
        <v>104192.7</v>
      </c>
      <c r="D220" s="20">
        <f ca="1"/>
        <v>101383.07</v>
      </c>
      <c r="E220" s="20">
        <f ca="1"/>
        <v>103763.71</v>
      </c>
      <c r="F220" s="3">
        <f ca="1"/>
        <v>17998.98604</v>
      </c>
      <c r="G220" s="10">
        <f ca="1"/>
        <v>45793.229166655095</v>
      </c>
      <c r="H220" s="3">
        <f ca="1"/>
        <v>1850183474.5292037</v>
      </c>
      <c r="I220" s="3">
        <f ca="1"/>
        <v>4139477</v>
      </c>
      <c r="J220" s="3">
        <f ca="1"/>
        <v>8475.1803600000003</v>
      </c>
      <c r="K220" s="3">
        <f ca="1"/>
        <v>871244345.56413603</v>
      </c>
    </row>
    <row r="221" spans="1:11" x14ac:dyDescent="0.3">
      <c r="A221" s="10">
        <f ca="1"/>
        <v>45791.229166666664</v>
      </c>
      <c r="B221" s="20">
        <f ca="1"/>
        <v>104103.72</v>
      </c>
      <c r="C221" s="20">
        <f ca="1"/>
        <v>104356.95</v>
      </c>
      <c r="D221" s="20">
        <f ca="1"/>
        <v>102602.05</v>
      </c>
      <c r="E221" s="20">
        <f ca="1"/>
        <v>103507.82</v>
      </c>
      <c r="F221" s="3">
        <f ca="1"/>
        <v>16452.908100000001</v>
      </c>
      <c r="G221" s="10">
        <f ca="1"/>
        <v>45792.229166655095</v>
      </c>
      <c r="H221" s="3">
        <f ca="1"/>
        <v>1704708279.3884108</v>
      </c>
      <c r="I221" s="3">
        <f ca="1"/>
        <v>3025221</v>
      </c>
      <c r="J221" s="3">
        <f ca="1"/>
        <v>8026.0333300000002</v>
      </c>
      <c r="K221" s="3">
        <f ca="1"/>
        <v>831783471.65436101</v>
      </c>
    </row>
    <row r="222" spans="1:11" x14ac:dyDescent="0.3">
      <c r="A222" s="10">
        <f ca="1"/>
        <v>45790.229166666664</v>
      </c>
      <c r="B222" s="20">
        <f ca="1"/>
        <v>102791.32</v>
      </c>
      <c r="C222" s="20">
        <f ca="1"/>
        <v>104976.25</v>
      </c>
      <c r="D222" s="20">
        <f ca="1"/>
        <v>101429.7</v>
      </c>
      <c r="E222" s="20">
        <f ca="1"/>
        <v>104103.72</v>
      </c>
      <c r="F222" s="3">
        <f ca="1"/>
        <v>21253.42409</v>
      </c>
      <c r="G222" s="10">
        <f ca="1"/>
        <v>45791.229166655095</v>
      </c>
      <c r="H222" s="3">
        <f ca="1"/>
        <v>2197244118.1523671</v>
      </c>
      <c r="I222" s="3">
        <f ca="1"/>
        <v>3703531</v>
      </c>
      <c r="J222" s="3">
        <f ca="1"/>
        <v>10705.978450000001</v>
      </c>
      <c r="K222" s="3">
        <f ca="1"/>
        <v>1106609664.7077949</v>
      </c>
    </row>
    <row r="223" spans="1:11" x14ac:dyDescent="0.3">
      <c r="A223" s="10">
        <f ca="1"/>
        <v>45789.229166666664</v>
      </c>
      <c r="B223" s="20">
        <f ca="1"/>
        <v>104118</v>
      </c>
      <c r="C223" s="20">
        <f ca="1"/>
        <v>105819.45</v>
      </c>
      <c r="D223" s="20">
        <f ca="1"/>
        <v>100718.37</v>
      </c>
      <c r="E223" s="20">
        <f ca="1"/>
        <v>102791.32</v>
      </c>
      <c r="F223" s="3">
        <f ca="1"/>
        <v>31272.77792</v>
      </c>
      <c r="G223" s="10">
        <f ca="1"/>
        <v>45790.229166655095</v>
      </c>
      <c r="H223" s="3">
        <f ca="1"/>
        <v>3242348937.383069</v>
      </c>
      <c r="I223" s="3">
        <f ca="1"/>
        <v>5298407</v>
      </c>
      <c r="J223" s="3">
        <f ca="1"/>
        <v>16455.99797</v>
      </c>
      <c r="K223" s="3">
        <f ca="1"/>
        <v>1707457796.5881395</v>
      </c>
    </row>
    <row r="224" spans="1:11" x14ac:dyDescent="0.3">
      <c r="A224" s="10">
        <f ca="1"/>
        <v>45788.229166666664</v>
      </c>
      <c r="B224" s="20">
        <f ca="1"/>
        <v>104809.53</v>
      </c>
      <c r="C224" s="20">
        <f ca="1"/>
        <v>104972</v>
      </c>
      <c r="D224" s="20">
        <f ca="1"/>
        <v>103345.06</v>
      </c>
      <c r="E224" s="20">
        <f ca="1"/>
        <v>104118</v>
      </c>
      <c r="F224" s="3">
        <f ca="1"/>
        <v>17987.12197</v>
      </c>
      <c r="G224" s="10">
        <f ca="1"/>
        <v>45789.229166655095</v>
      </c>
      <c r="H224" s="3">
        <f ca="1"/>
        <v>1873381777.2124255</v>
      </c>
      <c r="I224" s="3">
        <f ca="1"/>
        <v>3100176</v>
      </c>
      <c r="J224" s="3">
        <f ca="1"/>
        <v>9071.9557800000002</v>
      </c>
      <c r="K224" s="3">
        <f ca="1"/>
        <v>944903285.10730803</v>
      </c>
    </row>
    <row r="225" spans="1:11" x14ac:dyDescent="0.3">
      <c r="A225" s="10">
        <f ca="1"/>
        <v>45787.229166666664</v>
      </c>
      <c r="B225" s="20">
        <f ca="1"/>
        <v>102971.99</v>
      </c>
      <c r="C225" s="20">
        <f ca="1"/>
        <v>104984.57</v>
      </c>
      <c r="D225" s="20">
        <f ca="1"/>
        <v>102818.76</v>
      </c>
      <c r="E225" s="20">
        <f ca="1"/>
        <v>104809.53</v>
      </c>
      <c r="F225" s="3">
        <f ca="1"/>
        <v>15324.786109999999</v>
      </c>
      <c r="G225" s="10">
        <f ca="1"/>
        <v>45788.229166655095</v>
      </c>
      <c r="H225" s="3">
        <f ca="1"/>
        <v>1588386278.5024149</v>
      </c>
      <c r="I225" s="3">
        <f ca="1"/>
        <v>2227845</v>
      </c>
      <c r="J225" s="3">
        <f ca="1"/>
        <v>8258.2347800000007</v>
      </c>
      <c r="K225" s="3">
        <f ca="1"/>
        <v>856095289.52166462</v>
      </c>
    </row>
    <row r="226" spans="1:11" x14ac:dyDescent="0.3">
      <c r="A226" s="10">
        <f ca="1"/>
        <v>45786.229166666664</v>
      </c>
      <c r="B226" s="20">
        <f ca="1"/>
        <v>103261.61</v>
      </c>
      <c r="C226" s="20">
        <f ca="1"/>
        <v>104361.3</v>
      </c>
      <c r="D226" s="20">
        <f ca="1"/>
        <v>102315.14</v>
      </c>
      <c r="E226" s="20">
        <f ca="1"/>
        <v>102971.99</v>
      </c>
      <c r="F226" s="3">
        <f ca="1"/>
        <v>27617.399069999999</v>
      </c>
      <c r="G226" s="10">
        <f ca="1"/>
        <v>45787.229166655095</v>
      </c>
      <c r="H226" s="3">
        <f ca="1"/>
        <v>2847518447.981513</v>
      </c>
      <c r="I226" s="3">
        <f ca="1"/>
        <v>4406929</v>
      </c>
      <c r="J226" s="3">
        <f ca="1"/>
        <v>14525.203810000001</v>
      </c>
      <c r="K226" s="3">
        <f ca="1"/>
        <v>1497826622.3261881</v>
      </c>
    </row>
    <row r="227" spans="1:11" x14ac:dyDescent="0.3">
      <c r="A227" s="10">
        <f ca="1"/>
        <v>45785.229166666664</v>
      </c>
      <c r="B227" s="20">
        <f ca="1"/>
        <v>97030.5</v>
      </c>
      <c r="C227" s="20">
        <f ca="1"/>
        <v>104145.76</v>
      </c>
      <c r="D227" s="20">
        <f ca="1"/>
        <v>96876.29</v>
      </c>
      <c r="E227" s="20">
        <f ca="1"/>
        <v>103261.6</v>
      </c>
      <c r="F227" s="3">
        <f ca="1"/>
        <v>34962.028469999997</v>
      </c>
      <c r="G227" s="10">
        <f ca="1"/>
        <v>45786.229166655095</v>
      </c>
      <c r="H227" s="3">
        <f ca="1"/>
        <v>3508645830.5650144</v>
      </c>
      <c r="I227" s="3">
        <f ca="1"/>
        <v>4991147</v>
      </c>
      <c r="J227" s="3">
        <f ca="1"/>
        <v>18547.230090000001</v>
      </c>
      <c r="K227" s="3">
        <f ca="1"/>
        <v>1861334478.3644271</v>
      </c>
    </row>
    <row r="228" spans="1:11" x14ac:dyDescent="0.3">
      <c r="A228" s="10">
        <f ca="1"/>
        <v>45784.229166666664</v>
      </c>
      <c r="B228" s="20">
        <f ca="1"/>
        <v>96834.02</v>
      </c>
      <c r="C228" s="20">
        <f ca="1"/>
        <v>97732</v>
      </c>
      <c r="D228" s="20">
        <f ca="1"/>
        <v>95784.61</v>
      </c>
      <c r="E228" s="20">
        <f ca="1"/>
        <v>97030.5</v>
      </c>
      <c r="F228" s="3">
        <f ca="1"/>
        <v>16644.838540000001</v>
      </c>
      <c r="G228" s="10">
        <f ca="1"/>
        <v>45785.229166655095</v>
      </c>
      <c r="H228" s="3">
        <f ca="1"/>
        <v>1611730124.5924542</v>
      </c>
      <c r="I228" s="3">
        <f ca="1"/>
        <v>2849139</v>
      </c>
      <c r="J228" s="3">
        <f ca="1"/>
        <v>8316.7447100000009</v>
      </c>
      <c r="K228" s="3">
        <f ca="1"/>
        <v>805430612.40553546</v>
      </c>
    </row>
    <row r="229" spans="1:11" x14ac:dyDescent="0.3">
      <c r="A229" s="10">
        <f ca="1"/>
        <v>45783.229166666664</v>
      </c>
      <c r="B229" s="20">
        <f ca="1"/>
        <v>94733.68</v>
      </c>
      <c r="C229" s="20">
        <f ca="1"/>
        <v>96920.65</v>
      </c>
      <c r="D229" s="20">
        <f ca="1"/>
        <v>93377</v>
      </c>
      <c r="E229" s="20">
        <f ca="1"/>
        <v>96834.02</v>
      </c>
      <c r="F229" s="3">
        <f ca="1"/>
        <v>16122.645130000001</v>
      </c>
      <c r="G229" s="10">
        <f ca="1"/>
        <v>45784.229166655095</v>
      </c>
      <c r="H229" s="3">
        <f ca="1"/>
        <v>1526847764.5636683</v>
      </c>
      <c r="I229" s="3">
        <f ca="1"/>
        <v>2512960</v>
      </c>
      <c r="J229" s="3">
        <f ca="1"/>
        <v>7505.9573399999999</v>
      </c>
      <c r="K229" s="3">
        <f ca="1"/>
        <v>711372483.61171353</v>
      </c>
    </row>
    <row r="230" spans="1:11" x14ac:dyDescent="0.3">
      <c r="A230" s="10">
        <f ca="1"/>
        <v>45782.229166666664</v>
      </c>
      <c r="B230" s="20">
        <f ca="1"/>
        <v>94277.61</v>
      </c>
      <c r="C230" s="20">
        <f ca="1"/>
        <v>95199</v>
      </c>
      <c r="D230" s="20">
        <f ca="1"/>
        <v>93514.1</v>
      </c>
      <c r="E230" s="20">
        <f ca="1"/>
        <v>94733.68</v>
      </c>
      <c r="F230" s="3">
        <f ca="1"/>
        <v>17251.18189</v>
      </c>
      <c r="G230" s="10">
        <f ca="1"/>
        <v>45783.229166655095</v>
      </c>
      <c r="H230" s="3">
        <f ca="1"/>
        <v>1626999380.1759968</v>
      </c>
      <c r="I230" s="3">
        <f ca="1"/>
        <v>2623300</v>
      </c>
      <c r="J230" s="3">
        <f ca="1"/>
        <v>8399.6485499999999</v>
      </c>
      <c r="K230" s="3">
        <f ca="1"/>
        <v>792299650.33952022</v>
      </c>
    </row>
    <row r="231" spans="1:11" x14ac:dyDescent="0.3">
      <c r="A231" s="10">
        <f ca="1"/>
        <v>45781.229166666664</v>
      </c>
      <c r="B231" s="20">
        <f ca="1"/>
        <v>95856.42</v>
      </c>
      <c r="C231" s="20">
        <f ca="1"/>
        <v>96304.48</v>
      </c>
      <c r="D231" s="20">
        <f ca="1"/>
        <v>94151.38</v>
      </c>
      <c r="E231" s="20">
        <f ca="1"/>
        <v>94277.62</v>
      </c>
      <c r="F231" s="3">
        <f ca="1"/>
        <v>11036.38342</v>
      </c>
      <c r="G231" s="10">
        <f ca="1"/>
        <v>45782.229166655095</v>
      </c>
      <c r="H231" s="3">
        <f ca="1"/>
        <v>1053542403.8531588</v>
      </c>
      <c r="I231" s="3">
        <f ca="1"/>
        <v>1674726</v>
      </c>
      <c r="J231" s="3">
        <f ca="1"/>
        <v>4385.3348599999999</v>
      </c>
      <c r="K231" s="3">
        <f ca="1"/>
        <v>418573470.85696232</v>
      </c>
    </row>
    <row r="232" spans="1:11" x14ac:dyDescent="0.3">
      <c r="A232" s="10">
        <f ca="1"/>
        <v>45780.229166666664</v>
      </c>
      <c r="B232" s="20">
        <f ca="1"/>
        <v>96887.13</v>
      </c>
      <c r="C232" s="20">
        <f ca="1"/>
        <v>96935.67</v>
      </c>
      <c r="D232" s="20">
        <f ca="1"/>
        <v>95753.01</v>
      </c>
      <c r="E232" s="20">
        <f ca="1"/>
        <v>95856.42</v>
      </c>
      <c r="F232" s="3">
        <f ca="1"/>
        <v>9723.3483799999995</v>
      </c>
      <c r="G232" s="10">
        <f ca="1"/>
        <v>45781.229166655095</v>
      </c>
      <c r="H232" s="3">
        <f ca="1"/>
        <v>935906144.96514976</v>
      </c>
      <c r="I232" s="3">
        <f ca="1"/>
        <v>1181239</v>
      </c>
      <c r="J232" s="3">
        <f ca="1"/>
        <v>3929.4049</v>
      </c>
      <c r="K232" s="3">
        <f ca="1"/>
        <v>378271292.44431448</v>
      </c>
    </row>
    <row r="233" spans="1:11" x14ac:dyDescent="0.3">
      <c r="A233" s="10">
        <f ca="1"/>
        <v>45779.229166666664</v>
      </c>
      <c r="B233" s="20">
        <f ca="1"/>
        <v>96489.9</v>
      </c>
      <c r="C233" s="20">
        <f ca="1"/>
        <v>97895.679999999993</v>
      </c>
      <c r="D233" s="20">
        <f ca="1"/>
        <v>96350</v>
      </c>
      <c r="E233" s="20">
        <f ca="1"/>
        <v>96887.14</v>
      </c>
      <c r="F233" s="3">
        <f ca="1"/>
        <v>14905.74811</v>
      </c>
      <c r="G233" s="10">
        <f ca="1"/>
        <v>45780.229166655095</v>
      </c>
      <c r="H233" s="3">
        <f ca="1"/>
        <v>1446387651.5840576</v>
      </c>
      <c r="I233" s="3">
        <f ca="1"/>
        <v>2698263</v>
      </c>
      <c r="J233" s="3">
        <f ca="1"/>
        <v>7440.3353100000004</v>
      </c>
      <c r="K233" s="3">
        <f ca="1"/>
        <v>722022817.22461987</v>
      </c>
    </row>
    <row r="234" spans="1:11" x14ac:dyDescent="0.3">
      <c r="A234" s="10">
        <f ca="1"/>
        <v>45778.229166666664</v>
      </c>
      <c r="B234" s="20">
        <f ca="1"/>
        <v>94172</v>
      </c>
      <c r="C234" s="20">
        <f ca="1"/>
        <v>97424.02</v>
      </c>
      <c r="D234" s="20">
        <f ca="1"/>
        <v>94130.43</v>
      </c>
      <c r="E234" s="20">
        <f ca="1"/>
        <v>96489.91</v>
      </c>
      <c r="F234" s="3">
        <f ca="1"/>
        <v>21380.453430000001</v>
      </c>
      <c r="G234" s="10">
        <f ca="1"/>
        <v>45779.229166655095</v>
      </c>
      <c r="H234" s="3">
        <f ca="1"/>
        <v>2053857614.2732673</v>
      </c>
      <c r="I234" s="3">
        <f ca="1"/>
        <v>2925716</v>
      </c>
      <c r="J234" s="3">
        <f ca="1"/>
        <v>10925.873079999999</v>
      </c>
      <c r="K234" s="3">
        <f ca="1"/>
        <v>1049157198.8587635</v>
      </c>
    </row>
    <row r="235" spans="1:11" x14ac:dyDescent="0.3">
      <c r="A235" s="10">
        <f ca="1"/>
        <v>45777.229166666664</v>
      </c>
      <c r="B235" s="20">
        <f ca="1"/>
        <v>94256.82</v>
      </c>
      <c r="C235" s="20">
        <f ca="1"/>
        <v>95228.45</v>
      </c>
      <c r="D235" s="20">
        <f ca="1"/>
        <v>92910</v>
      </c>
      <c r="E235" s="20">
        <f ca="1"/>
        <v>94172</v>
      </c>
      <c r="F235" s="3">
        <f ca="1"/>
        <v>17661.275099999999</v>
      </c>
      <c r="G235" s="10">
        <f ca="1"/>
        <v>45778.229166655095</v>
      </c>
      <c r="H235" s="3">
        <f ca="1"/>
        <v>1664825670.9831252</v>
      </c>
      <c r="I235" s="3">
        <f ca="1"/>
        <v>3214149</v>
      </c>
      <c r="J235" s="3">
        <f ca="1"/>
        <v>8393.2162000000008</v>
      </c>
      <c r="K235" s="3">
        <f ca="1"/>
        <v>791272380.03124475</v>
      </c>
    </row>
    <row r="236" spans="1:11" x14ac:dyDescent="0.3">
      <c r="A236" s="10">
        <f ca="1"/>
        <v>45776.229166666664</v>
      </c>
      <c r="B236" s="20">
        <f ca="1"/>
        <v>95011.18</v>
      </c>
      <c r="C236" s="20">
        <f ca="1"/>
        <v>95461.53</v>
      </c>
      <c r="D236" s="20">
        <f ca="1"/>
        <v>93742.54</v>
      </c>
      <c r="E236" s="20">
        <f ca="1"/>
        <v>94256.82</v>
      </c>
      <c r="F236" s="3">
        <f ca="1"/>
        <v>16955.340199999999</v>
      </c>
      <c r="G236" s="10">
        <f ca="1"/>
        <v>45777.229166655095</v>
      </c>
      <c r="H236" s="3">
        <f ca="1"/>
        <v>1607154803.4675477</v>
      </c>
      <c r="I236" s="3">
        <f ca="1"/>
        <v>3020875</v>
      </c>
      <c r="J236" s="3">
        <f ca="1"/>
        <v>7112.68469</v>
      </c>
      <c r="K236" s="3">
        <f ca="1"/>
        <v>674688527.81306601</v>
      </c>
    </row>
    <row r="237" spans="1:11" x14ac:dyDescent="0.3">
      <c r="A237" s="10">
        <f ca="1"/>
        <v>45775.229166666664</v>
      </c>
      <c r="B237" s="20">
        <f ca="1"/>
        <v>93749.29</v>
      </c>
      <c r="C237" s="20">
        <f ca="1"/>
        <v>95630</v>
      </c>
      <c r="D237" s="20">
        <f ca="1"/>
        <v>92800.01</v>
      </c>
      <c r="E237" s="20">
        <f ca="1"/>
        <v>95011.18</v>
      </c>
      <c r="F237" s="3">
        <f ca="1"/>
        <v>22157.533510000001</v>
      </c>
      <c r="G237" s="10">
        <f ca="1"/>
        <v>45776.229166655095</v>
      </c>
      <c r="H237" s="3">
        <f ca="1"/>
        <v>2092532996.5551717</v>
      </c>
      <c r="I237" s="3">
        <f ca="1"/>
        <v>3424740</v>
      </c>
      <c r="J237" s="3">
        <f ca="1"/>
        <v>11626.77592</v>
      </c>
      <c r="K237" s="3">
        <f ca="1"/>
        <v>1098667305.2399979</v>
      </c>
    </row>
    <row r="238" spans="1:11" x14ac:dyDescent="0.3">
      <c r="A238" s="10">
        <f ca="1"/>
        <v>45774.229166666664</v>
      </c>
      <c r="B238" s="20">
        <f ca="1"/>
        <v>94628</v>
      </c>
      <c r="C238" s="20">
        <f ca="1"/>
        <v>95369</v>
      </c>
      <c r="D238" s="20">
        <f ca="1"/>
        <v>93602.58</v>
      </c>
      <c r="E238" s="20">
        <f ca="1"/>
        <v>93749.3</v>
      </c>
      <c r="F238" s="3">
        <f ca="1"/>
        <v>11162.841</v>
      </c>
      <c r="G238" s="10">
        <f ca="1"/>
        <v>45775.229166655095</v>
      </c>
      <c r="H238" s="3">
        <f ca="1"/>
        <v>1052334792.1866189</v>
      </c>
      <c r="I238" s="3">
        <f ca="1"/>
        <v>1918160</v>
      </c>
      <c r="J238" s="3">
        <f ca="1"/>
        <v>5250.0871900000002</v>
      </c>
      <c r="K238" s="3">
        <f ca="1"/>
        <v>495112239.10816967</v>
      </c>
    </row>
    <row r="239" spans="1:11" x14ac:dyDescent="0.3">
      <c r="A239" s="10">
        <f ca="1"/>
        <v>45773.229166666664</v>
      </c>
      <c r="B239" s="20">
        <f ca="1"/>
        <v>94638.68</v>
      </c>
      <c r="C239" s="20">
        <f ca="1"/>
        <v>95199</v>
      </c>
      <c r="D239" s="20">
        <f ca="1"/>
        <v>93870.69</v>
      </c>
      <c r="E239" s="20">
        <f ca="1"/>
        <v>94628</v>
      </c>
      <c r="F239" s="3">
        <f ca="1"/>
        <v>9415.0687500000004</v>
      </c>
      <c r="G239" s="10">
        <f ca="1"/>
        <v>45774.229166655095</v>
      </c>
      <c r="H239" s="3">
        <f ca="1"/>
        <v>889627361.84144473</v>
      </c>
      <c r="I239" s="3">
        <f ca="1"/>
        <v>1475983</v>
      </c>
      <c r="J239" s="3">
        <f ca="1"/>
        <v>4156.2246299999997</v>
      </c>
      <c r="K239" s="3">
        <f ca="1"/>
        <v>392757114.43835789</v>
      </c>
    </row>
    <row r="240" spans="1:11" x14ac:dyDescent="0.3">
      <c r="A240" s="10">
        <f ca="1"/>
        <v>45772.229166666664</v>
      </c>
      <c r="B240" s="20">
        <f ca="1"/>
        <v>93980.47</v>
      </c>
      <c r="C240" s="20">
        <f ca="1"/>
        <v>95758.04</v>
      </c>
      <c r="D240" s="20">
        <f ca="1"/>
        <v>92855.96</v>
      </c>
      <c r="E240" s="20">
        <f ca="1"/>
        <v>94638.68</v>
      </c>
      <c r="F240" s="3">
        <f ca="1"/>
        <v>27500.66648</v>
      </c>
      <c r="G240" s="10">
        <f ca="1"/>
        <v>45773.229166655095</v>
      </c>
      <c r="H240" s="3">
        <f ca="1"/>
        <v>2596877713.640173</v>
      </c>
      <c r="I240" s="3">
        <f ca="1"/>
        <v>3331828</v>
      </c>
      <c r="J240" s="3">
        <f ca="1"/>
        <v>13072.22136</v>
      </c>
      <c r="K240" s="3">
        <f ca="1"/>
        <v>1234153095.7292683</v>
      </c>
    </row>
    <row r="241" spans="1:11" x14ac:dyDescent="0.3">
      <c r="A241" s="10">
        <f ca="1"/>
        <v>45771.229166666664</v>
      </c>
      <c r="B241" s="20">
        <f ca="1"/>
        <v>93691.07</v>
      </c>
      <c r="C241" s="20">
        <f ca="1"/>
        <v>94005</v>
      </c>
      <c r="D241" s="20">
        <f ca="1"/>
        <v>91660.01</v>
      </c>
      <c r="E241" s="20">
        <f ca="1"/>
        <v>93980.47</v>
      </c>
      <c r="F241" s="3">
        <f ca="1"/>
        <v>19497.060710000002</v>
      </c>
      <c r="G241" s="10">
        <f ca="1"/>
        <v>45772.229166655095</v>
      </c>
      <c r="H241" s="3">
        <f ca="1"/>
        <v>1811120137.3146787</v>
      </c>
      <c r="I241" s="3">
        <f ca="1"/>
        <v>2797383</v>
      </c>
      <c r="J241" s="3">
        <f ca="1"/>
        <v>8565.1812800000007</v>
      </c>
      <c r="K241" s="3">
        <f ca="1"/>
        <v>795787487.36089814</v>
      </c>
    </row>
    <row r="242" spans="1:11" x14ac:dyDescent="0.3">
      <c r="A242" s="10">
        <f ca="1"/>
        <v>45770.229166666664</v>
      </c>
      <c r="B242" s="20">
        <f ca="1"/>
        <v>93442.99</v>
      </c>
      <c r="C242" s="20">
        <f ca="1"/>
        <v>94696.05</v>
      </c>
      <c r="D242" s="20">
        <f ca="1"/>
        <v>91935.41</v>
      </c>
      <c r="E242" s="20">
        <f ca="1"/>
        <v>93691.08</v>
      </c>
      <c r="F242" s="3">
        <f ca="1"/>
        <v>27404.168079999999</v>
      </c>
      <c r="G242" s="10">
        <f ca="1"/>
        <v>45771.229166655095</v>
      </c>
      <c r="H242" s="3">
        <f ca="1"/>
        <v>2560279933.9479518</v>
      </c>
      <c r="I242" s="3">
        <f ca="1"/>
        <v>3016536</v>
      </c>
      <c r="J242" s="3">
        <f ca="1"/>
        <v>13128.05774</v>
      </c>
      <c r="K242" s="3">
        <f ca="1"/>
        <v>1226992558.5765462</v>
      </c>
    </row>
    <row r="243" spans="1:11" x14ac:dyDescent="0.3">
      <c r="A243" s="10">
        <f ca="1"/>
        <v>45769.229166666664</v>
      </c>
      <c r="B243" s="20">
        <f ca="1"/>
        <v>87516.22</v>
      </c>
      <c r="C243" s="20">
        <f ca="1"/>
        <v>93888</v>
      </c>
      <c r="D243" s="20">
        <f ca="1"/>
        <v>87076.03</v>
      </c>
      <c r="E243" s="20">
        <f ca="1"/>
        <v>93442.99</v>
      </c>
      <c r="F243" s="3">
        <f ca="1"/>
        <v>43872.747049999998</v>
      </c>
      <c r="G243" s="10">
        <f ca="1"/>
        <v>45770.229166655095</v>
      </c>
      <c r="H243" s="3">
        <f ca="1"/>
        <v>3967785064.12817</v>
      </c>
      <c r="I243" s="3">
        <f ca="1"/>
        <v>3268475</v>
      </c>
      <c r="J243" s="3">
        <f ca="1"/>
        <v>22777.770469999999</v>
      </c>
      <c r="K243" s="3">
        <f ca="1"/>
        <v>2062639579.2030854</v>
      </c>
    </row>
    <row r="244" spans="1:11" x14ac:dyDescent="0.3">
      <c r="A244" s="10">
        <f ca="1"/>
        <v>45768.229166666664</v>
      </c>
      <c r="B244" s="20">
        <f ca="1"/>
        <v>85179.24</v>
      </c>
      <c r="C244" s="20">
        <f ca="1"/>
        <v>88465.99</v>
      </c>
      <c r="D244" s="20">
        <f ca="1"/>
        <v>85144.76</v>
      </c>
      <c r="E244" s="20">
        <f ca="1"/>
        <v>87516.23</v>
      </c>
      <c r="F244" s="3">
        <f ca="1"/>
        <v>31773.372619999998</v>
      </c>
      <c r="G244" s="10">
        <f ca="1"/>
        <v>45769.229166655095</v>
      </c>
      <c r="H244" s="3">
        <f ca="1"/>
        <v>2773299591.4670658</v>
      </c>
      <c r="I244" s="3">
        <f ca="1"/>
        <v>3041395</v>
      </c>
      <c r="J244" s="3">
        <f ca="1"/>
        <v>17216.39877</v>
      </c>
      <c r="K244" s="3">
        <f ca="1"/>
        <v>1502705225.134135</v>
      </c>
    </row>
    <row r="245" spans="1:11" x14ac:dyDescent="0.3">
      <c r="A245" s="10">
        <f ca="1"/>
        <v>45767.229166666664</v>
      </c>
      <c r="B245" s="20">
        <f ca="1"/>
        <v>85077</v>
      </c>
      <c r="C245" s="20">
        <f ca="1"/>
        <v>85320.76</v>
      </c>
      <c r="D245" s="20">
        <f ca="1"/>
        <v>83949.52</v>
      </c>
      <c r="E245" s="20">
        <f ca="1"/>
        <v>85179.24</v>
      </c>
      <c r="F245" s="3">
        <f ca="1"/>
        <v>8091.6772499999997</v>
      </c>
      <c r="G245" s="10">
        <f ca="1"/>
        <v>45768.229166655095</v>
      </c>
      <c r="H245" s="3">
        <f ca="1"/>
        <v>685253644.89183617</v>
      </c>
      <c r="I245" s="3">
        <f ca="1"/>
        <v>944130</v>
      </c>
      <c r="J245" s="3">
        <f ca="1"/>
        <v>3843.4831399999998</v>
      </c>
      <c r="K245" s="3">
        <f ca="1"/>
        <v>325482835.7378329</v>
      </c>
    </row>
    <row r="246" spans="1:11" x14ac:dyDescent="0.3">
      <c r="A246" s="10">
        <f ca="1"/>
        <v>45766.229166666664</v>
      </c>
      <c r="B246" s="20">
        <f ca="1"/>
        <v>84474.7</v>
      </c>
      <c r="C246" s="20">
        <f ca="1"/>
        <v>85677.99</v>
      </c>
      <c r="D246" s="20">
        <f ca="1"/>
        <v>84364.45</v>
      </c>
      <c r="E246" s="20">
        <f ca="1"/>
        <v>85077.01</v>
      </c>
      <c r="F246" s="3">
        <f ca="1"/>
        <v>9666.5815299999995</v>
      </c>
      <c r="G246" s="10">
        <f ca="1"/>
        <v>45767.229166655095</v>
      </c>
      <c r="H246" s="3">
        <f ca="1"/>
        <v>823222752.28424931</v>
      </c>
      <c r="I246" s="3">
        <f ca="1"/>
        <v>875226</v>
      </c>
      <c r="J246" s="3">
        <f ca="1"/>
        <v>5416.30087</v>
      </c>
      <c r="K246" s="3">
        <f ca="1"/>
        <v>461342923.99908203</v>
      </c>
    </row>
    <row r="247" spans="1:11" x14ac:dyDescent="0.3">
      <c r="A247" s="10">
        <f ca="1"/>
        <v>45765.229166666664</v>
      </c>
      <c r="B247" s="20">
        <f ca="1"/>
        <v>84947.92</v>
      </c>
      <c r="C247" s="20">
        <f ca="1"/>
        <v>85132.08</v>
      </c>
      <c r="D247" s="20">
        <f ca="1"/>
        <v>84303.96</v>
      </c>
      <c r="E247" s="20">
        <f ca="1"/>
        <v>84474.69</v>
      </c>
      <c r="F247" s="3">
        <f ca="1"/>
        <v>6529.9631499999996</v>
      </c>
      <c r="G247" s="10">
        <f ca="1"/>
        <v>45766.229166655095</v>
      </c>
      <c r="H247" s="3">
        <f ca="1"/>
        <v>552648483.64748704</v>
      </c>
      <c r="I247" s="3">
        <f ca="1"/>
        <v>840009</v>
      </c>
      <c r="J247" s="3">
        <f ca="1"/>
        <v>2911.78856</v>
      </c>
      <c r="K247" s="3">
        <f ca="1"/>
        <v>246467088.26214659</v>
      </c>
    </row>
    <row r="248" spans="1:11" x14ac:dyDescent="0.3">
      <c r="A248" s="10">
        <f ca="1"/>
        <v>45764.229166666664</v>
      </c>
      <c r="B248" s="20">
        <f ca="1"/>
        <v>84030.38</v>
      </c>
      <c r="C248" s="20">
        <f ca="1"/>
        <v>85470.01</v>
      </c>
      <c r="D248" s="20">
        <f ca="1"/>
        <v>83736.259999999995</v>
      </c>
      <c r="E248" s="20">
        <f ca="1"/>
        <v>84947.91</v>
      </c>
      <c r="F248" s="3">
        <f ca="1"/>
        <v>13728.84772</v>
      </c>
      <c r="G248" s="10">
        <f ca="1"/>
        <v>45765.229166655095</v>
      </c>
      <c r="H248" s="3">
        <f ca="1"/>
        <v>1161659427.3862629</v>
      </c>
      <c r="I248" s="3">
        <f ca="1"/>
        <v>2003405</v>
      </c>
      <c r="J248" s="3">
        <f ca="1"/>
        <v>6424.4156499999999</v>
      </c>
      <c r="K248" s="3">
        <f ca="1"/>
        <v>543726754.41870165</v>
      </c>
    </row>
    <row r="249" spans="1:11" x14ac:dyDescent="0.3">
      <c r="A249" s="10">
        <f ca="1"/>
        <v>45763.229166666664</v>
      </c>
      <c r="B249" s="20">
        <f ca="1"/>
        <v>83643.990000000005</v>
      </c>
      <c r="C249" s="20">
        <f ca="1"/>
        <v>85500</v>
      </c>
      <c r="D249" s="20">
        <f ca="1"/>
        <v>83111.64</v>
      </c>
      <c r="E249" s="20">
        <f ca="1"/>
        <v>84030.38</v>
      </c>
      <c r="F249" s="3">
        <f ca="1"/>
        <v>20867.245190000001</v>
      </c>
      <c r="G249" s="10">
        <f ca="1"/>
        <v>45764.229166655095</v>
      </c>
      <c r="H249" s="3">
        <f ca="1"/>
        <v>1753910031.2009242</v>
      </c>
      <c r="I249" s="3">
        <f ca="1"/>
        <v>3264730</v>
      </c>
      <c r="J249" s="3">
        <f ca="1"/>
        <v>10456.769</v>
      </c>
      <c r="K249" s="3">
        <f ca="1"/>
        <v>878939829.48483682</v>
      </c>
    </row>
    <row r="250" spans="1:11" x14ac:dyDescent="0.3">
      <c r="A250" s="10">
        <f ca="1"/>
        <v>45762.229166666664</v>
      </c>
      <c r="B250" s="20">
        <f ca="1"/>
        <v>84591.58</v>
      </c>
      <c r="C250" s="20">
        <f ca="1"/>
        <v>86496.42</v>
      </c>
      <c r="D250" s="20">
        <f ca="1"/>
        <v>83600</v>
      </c>
      <c r="E250" s="20">
        <f ca="1"/>
        <v>83643.990000000005</v>
      </c>
      <c r="F250" s="3">
        <f ca="1"/>
        <v>20910.995279999999</v>
      </c>
      <c r="G250" s="10">
        <f ca="1"/>
        <v>45763.229166655095</v>
      </c>
      <c r="H250" s="3">
        <f ca="1"/>
        <v>1780972414.3956008</v>
      </c>
      <c r="I250" s="3">
        <f ca="1"/>
        <v>2910533</v>
      </c>
      <c r="J250" s="3">
        <f ca="1"/>
        <v>10439.360720000001</v>
      </c>
      <c r="K250" s="3">
        <f ca="1"/>
        <v>889895753.16736507</v>
      </c>
    </row>
    <row r="251" spans="1:11" x14ac:dyDescent="0.3">
      <c r="A251" s="10">
        <f ca="1"/>
        <v>45761.229166666664</v>
      </c>
      <c r="B251" s="20">
        <f ca="1"/>
        <v>83760</v>
      </c>
      <c r="C251" s="20">
        <f ca="1"/>
        <v>85799.99</v>
      </c>
      <c r="D251" s="20">
        <f ca="1"/>
        <v>83678</v>
      </c>
      <c r="E251" s="20">
        <f ca="1"/>
        <v>84591.58</v>
      </c>
      <c r="F251" s="3">
        <f ca="1"/>
        <v>28659.09348</v>
      </c>
      <c r="G251" s="10">
        <f ca="1"/>
        <v>45762.229166655095</v>
      </c>
      <c r="H251" s="3">
        <f ca="1"/>
        <v>2429132805.0815287</v>
      </c>
      <c r="I251" s="3">
        <f ca="1"/>
        <v>3921522</v>
      </c>
      <c r="J251" s="3">
        <f ca="1"/>
        <v>15196.58929</v>
      </c>
      <c r="K251" s="3">
        <f ca="1"/>
        <v>1288815999.1406174</v>
      </c>
    </row>
    <row r="252" spans="1:11" x14ac:dyDescent="0.3">
      <c r="A252" s="10">
        <f ca="1"/>
        <v>45760.229166666664</v>
      </c>
      <c r="B252" s="20">
        <f ca="1"/>
        <v>85276.91</v>
      </c>
      <c r="C252" s="20">
        <f ca="1"/>
        <v>86100</v>
      </c>
      <c r="D252" s="20">
        <f ca="1"/>
        <v>83034.23</v>
      </c>
      <c r="E252" s="20">
        <f ca="1"/>
        <v>83760</v>
      </c>
      <c r="F252" s="3">
        <f ca="1"/>
        <v>24680.041809999999</v>
      </c>
      <c r="G252" s="10">
        <f ca="1"/>
        <v>45761.229166655095</v>
      </c>
      <c r="H252" s="3">
        <f ca="1"/>
        <v>2086106375.4392555</v>
      </c>
      <c r="I252" s="3">
        <f ca="1"/>
        <v>3275879</v>
      </c>
      <c r="J252" s="3">
        <f ca="1"/>
        <v>11658.67909</v>
      </c>
      <c r="K252" s="3">
        <f ca="1"/>
        <v>986303246.09318364</v>
      </c>
    </row>
    <row r="253" spans="1:11" x14ac:dyDescent="0.3">
      <c r="A253" s="10">
        <f ca="1"/>
        <v>45759.229166666664</v>
      </c>
      <c r="B253" s="20">
        <f ca="1"/>
        <v>83423.83</v>
      </c>
      <c r="C253" s="20">
        <f ca="1"/>
        <v>85905</v>
      </c>
      <c r="D253" s="20">
        <f ca="1"/>
        <v>82792.95</v>
      </c>
      <c r="E253" s="20">
        <f ca="1"/>
        <v>85276.9</v>
      </c>
      <c r="F253" s="3">
        <f ca="1"/>
        <v>18470.74437</v>
      </c>
      <c r="G253" s="10">
        <f ca="1"/>
        <v>45760.229166655095</v>
      </c>
      <c r="H253" s="3">
        <f ca="1"/>
        <v>1557403252.9267516</v>
      </c>
      <c r="I253" s="3">
        <f ca="1"/>
        <v>2501196</v>
      </c>
      <c r="J253" s="3">
        <f ca="1"/>
        <v>9526.7264400000004</v>
      </c>
      <c r="K253" s="3">
        <f ca="1"/>
        <v>803747272.78346801</v>
      </c>
    </row>
    <row r="254" spans="1:11" x14ac:dyDescent="0.3">
      <c r="A254" s="10">
        <f ca="1"/>
        <v>45758.229166666664</v>
      </c>
      <c r="B254" s="20">
        <f ca="1"/>
        <v>79607.3</v>
      </c>
      <c r="C254" s="20">
        <f ca="1"/>
        <v>84300</v>
      </c>
      <c r="D254" s="20">
        <f ca="1"/>
        <v>78969.58</v>
      </c>
      <c r="E254" s="20">
        <f ca="1"/>
        <v>83423.839999999997</v>
      </c>
      <c r="F254" s="3">
        <f ca="1"/>
        <v>34435.437969999999</v>
      </c>
      <c r="G254" s="10">
        <f ca="1"/>
        <v>45759.229166655095</v>
      </c>
      <c r="H254" s="3">
        <f ca="1"/>
        <v>2830363945.1787524</v>
      </c>
      <c r="I254" s="3">
        <f ca="1"/>
        <v>4423157</v>
      </c>
      <c r="J254" s="3">
        <f ca="1"/>
        <v>18019.58367</v>
      </c>
      <c r="K254" s="3">
        <f ca="1"/>
        <v>1482515278.9177043</v>
      </c>
    </row>
    <row r="255" spans="1:11" x14ac:dyDescent="0.3">
      <c r="A255" s="10">
        <f ca="1"/>
        <v>45757.229166666664</v>
      </c>
      <c r="B255" s="20">
        <f ca="1"/>
        <v>82615.22</v>
      </c>
      <c r="C255" s="20">
        <f ca="1"/>
        <v>82753.210000000006</v>
      </c>
      <c r="D255" s="20">
        <f ca="1"/>
        <v>78464.36</v>
      </c>
      <c r="E255" s="20">
        <f ca="1"/>
        <v>79607.3</v>
      </c>
      <c r="F255" s="3">
        <f ca="1"/>
        <v>33284.807180000003</v>
      </c>
      <c r="G255" s="10">
        <f ca="1"/>
        <v>45758.229166655095</v>
      </c>
      <c r="H255" s="3">
        <f ca="1"/>
        <v>2690294353.8478427</v>
      </c>
      <c r="I255" s="3">
        <f ca="1"/>
        <v>4529545</v>
      </c>
      <c r="J255" s="3">
        <f ca="1"/>
        <v>16339.919099999999</v>
      </c>
      <c r="K255" s="3">
        <f ca="1"/>
        <v>1321475356.0200849</v>
      </c>
    </row>
    <row r="256" spans="1:11" x14ac:dyDescent="0.3">
      <c r="A256" s="10">
        <f ca="1"/>
        <v>45756.229166666664</v>
      </c>
      <c r="B256" s="20">
        <f ca="1"/>
        <v>76322.42</v>
      </c>
      <c r="C256" s="20">
        <f ca="1"/>
        <v>83588</v>
      </c>
      <c r="D256" s="20">
        <f ca="1"/>
        <v>74620</v>
      </c>
      <c r="E256" s="20">
        <f ca="1"/>
        <v>82615.22</v>
      </c>
      <c r="F256" s="3">
        <f ca="1"/>
        <v>75488.287719999993</v>
      </c>
      <c r="G256" s="10">
        <f ca="1"/>
        <v>45757.229166655095</v>
      </c>
      <c r="H256" s="3">
        <f ca="1"/>
        <v>5980231256.222496</v>
      </c>
      <c r="I256" s="3">
        <f ca="1"/>
        <v>7741252</v>
      </c>
      <c r="J256" s="3">
        <f ca="1"/>
        <v>39491.629580000001</v>
      </c>
      <c r="K256" s="3">
        <f ca="1"/>
        <v>3137004042.9592609</v>
      </c>
    </row>
    <row r="257" spans="1:11" x14ac:dyDescent="0.3">
      <c r="A257" s="10">
        <f ca="1"/>
        <v>45755.229166666664</v>
      </c>
      <c r="B257" s="20">
        <f ca="1"/>
        <v>79163.240000000005</v>
      </c>
      <c r="C257" s="20">
        <f ca="1"/>
        <v>80867.990000000005</v>
      </c>
      <c r="D257" s="20">
        <f ca="1"/>
        <v>76239.899999999994</v>
      </c>
      <c r="E257" s="20">
        <f ca="1"/>
        <v>76322.42</v>
      </c>
      <c r="F257" s="3">
        <f ca="1"/>
        <v>35317.320630000002</v>
      </c>
      <c r="G257" s="10">
        <f ca="1"/>
        <v>45756.229166655095</v>
      </c>
      <c r="H257" s="3">
        <f ca="1"/>
        <v>2775277777.1024609</v>
      </c>
      <c r="I257" s="3">
        <f ca="1"/>
        <v>5512751</v>
      </c>
      <c r="J257" s="3">
        <f ca="1"/>
        <v>15704.730310000001</v>
      </c>
      <c r="K257" s="3">
        <f ca="1"/>
        <v>1235370767.1153502</v>
      </c>
    </row>
    <row r="258" spans="1:11" x14ac:dyDescent="0.3">
      <c r="A258" s="10">
        <f ca="1"/>
        <v>45754.229166666664</v>
      </c>
      <c r="B258" s="20">
        <f ca="1"/>
        <v>78430</v>
      </c>
      <c r="C258" s="20">
        <f ca="1"/>
        <v>81243.58</v>
      </c>
      <c r="D258" s="20">
        <f ca="1"/>
        <v>74508</v>
      </c>
      <c r="E258" s="20">
        <f ca="1"/>
        <v>79163.240000000005</v>
      </c>
      <c r="F258" s="3">
        <f ca="1"/>
        <v>78387.530889999995</v>
      </c>
      <c r="G258" s="10">
        <f ca="1"/>
        <v>45755.229166655095</v>
      </c>
      <c r="H258" s="3">
        <f ca="1"/>
        <v>6084614024.1506472</v>
      </c>
      <c r="I258" s="3">
        <f ca="1"/>
        <v>9736596</v>
      </c>
      <c r="J258" s="3">
        <f ca="1"/>
        <v>39075.84274</v>
      </c>
      <c r="K258" s="3">
        <f ca="1"/>
        <v>3034375055.6843963</v>
      </c>
    </row>
    <row r="259" spans="1:11" x14ac:dyDescent="0.3">
      <c r="A259" s="10">
        <f ca="1"/>
        <v>45753.229166666664</v>
      </c>
      <c r="B259" s="20">
        <f ca="1"/>
        <v>83537.990000000005</v>
      </c>
      <c r="C259" s="20">
        <f ca="1"/>
        <v>83817.63</v>
      </c>
      <c r="D259" s="20">
        <f ca="1"/>
        <v>77153.83</v>
      </c>
      <c r="E259" s="20">
        <f ca="1"/>
        <v>78430</v>
      </c>
      <c r="F259" s="3">
        <f ca="1"/>
        <v>27942.714360000002</v>
      </c>
      <c r="G259" s="10">
        <f ca="1"/>
        <v>45754.229166655095</v>
      </c>
      <c r="H259" s="3">
        <f ca="1"/>
        <v>2239085051.1529646</v>
      </c>
      <c r="I259" s="3">
        <f ca="1"/>
        <v>3948493</v>
      </c>
      <c r="J259" s="3">
        <f ca="1"/>
        <v>12493.8449</v>
      </c>
      <c r="K259" s="3">
        <f ca="1"/>
        <v>1001459573.4944661</v>
      </c>
    </row>
    <row r="260" spans="1:11" x14ac:dyDescent="0.3">
      <c r="A260" s="10">
        <f ca="1"/>
        <v>45752.229166666664</v>
      </c>
      <c r="B260" s="20">
        <f ca="1"/>
        <v>83889.87</v>
      </c>
      <c r="C260" s="20">
        <f ca="1"/>
        <v>84266</v>
      </c>
      <c r="D260" s="20">
        <f ca="1"/>
        <v>82379.95</v>
      </c>
      <c r="E260" s="20">
        <f ca="1"/>
        <v>83537.990000000005</v>
      </c>
      <c r="F260" s="3">
        <f ca="1"/>
        <v>9360.4046799999996</v>
      </c>
      <c r="G260" s="10">
        <f ca="1"/>
        <v>45753.229166655095</v>
      </c>
      <c r="H260" s="3">
        <f ca="1"/>
        <v>779626577.90134358</v>
      </c>
      <c r="I260" s="3">
        <f ca="1"/>
        <v>1575750</v>
      </c>
      <c r="J260" s="3">
        <f ca="1"/>
        <v>4029.6465800000001</v>
      </c>
      <c r="K260" s="3">
        <f ca="1"/>
        <v>335654613.72771841</v>
      </c>
    </row>
    <row r="261" spans="1:11" x14ac:dyDescent="0.3">
      <c r="A261" s="10">
        <f ca="1"/>
        <v>45751.229166666664</v>
      </c>
      <c r="B261" s="20">
        <f ca="1"/>
        <v>83213.09</v>
      </c>
      <c r="C261" s="20">
        <f ca="1"/>
        <v>84720</v>
      </c>
      <c r="D261" s="20">
        <f ca="1"/>
        <v>81659</v>
      </c>
      <c r="E261" s="20">
        <f ca="1"/>
        <v>83889.87</v>
      </c>
      <c r="F261" s="3">
        <f ca="1"/>
        <v>32915.53976</v>
      </c>
      <c r="G261" s="10">
        <f ca="1"/>
        <v>45752.229166655095</v>
      </c>
      <c r="H261" s="3">
        <f ca="1"/>
        <v>2739842666.4267368</v>
      </c>
      <c r="I261" s="3">
        <f ca="1"/>
        <v>4992586</v>
      </c>
      <c r="J261" s="3">
        <f ca="1"/>
        <v>15896.18779</v>
      </c>
      <c r="K261" s="3">
        <f ca="1"/>
        <v>1323832046.264688</v>
      </c>
    </row>
    <row r="262" spans="1:11" x14ac:dyDescent="0.3">
      <c r="A262" s="10">
        <f ca="1"/>
        <v>45750.229166666664</v>
      </c>
      <c r="B262" s="20">
        <f ca="1"/>
        <v>82516.28</v>
      </c>
      <c r="C262" s="20">
        <f ca="1"/>
        <v>83998.02</v>
      </c>
      <c r="D262" s="20">
        <f ca="1"/>
        <v>81211.240000000005</v>
      </c>
      <c r="E262" s="20">
        <f ca="1"/>
        <v>83213.09</v>
      </c>
      <c r="F262" s="3">
        <f ca="1"/>
        <v>27337.841349999999</v>
      </c>
      <c r="G262" s="10">
        <f ca="1"/>
        <v>45751.229166655095</v>
      </c>
      <c r="H262" s="3">
        <f ca="1"/>
        <v>2259299724.8643928</v>
      </c>
      <c r="I262" s="3">
        <f ca="1"/>
        <v>4117486</v>
      </c>
      <c r="J262" s="3">
        <f ca="1"/>
        <v>13951.52792</v>
      </c>
      <c r="K262" s="3">
        <f ca="1"/>
        <v>1153439398.6198013</v>
      </c>
    </row>
    <row r="263" spans="1:11" x14ac:dyDescent="0.3">
      <c r="A263" s="10">
        <f ca="1"/>
        <v>45749.229166666664</v>
      </c>
      <c r="B263" s="20">
        <f ca="1"/>
        <v>85158.35</v>
      </c>
      <c r="C263" s="20">
        <f ca="1"/>
        <v>88500</v>
      </c>
      <c r="D263" s="20">
        <f ca="1"/>
        <v>82320</v>
      </c>
      <c r="E263" s="20">
        <f ca="1"/>
        <v>82516.289999999994</v>
      </c>
      <c r="F263" s="3">
        <f ca="1"/>
        <v>39931.457000000002</v>
      </c>
      <c r="G263" s="10">
        <f ca="1"/>
        <v>45750.229166655095</v>
      </c>
      <c r="H263" s="3">
        <f ca="1"/>
        <v>3417279759.8307638</v>
      </c>
      <c r="I263" s="3">
        <f ca="1"/>
        <v>5338238</v>
      </c>
      <c r="J263" s="3">
        <f ca="1"/>
        <v>20739.678090000001</v>
      </c>
      <c r="K263" s="3">
        <f ca="1"/>
        <v>1777735583.8407478</v>
      </c>
    </row>
    <row r="264" spans="1:11" x14ac:dyDescent="0.3">
      <c r="A264" s="10">
        <f ca="1"/>
        <v>45748.229166666664</v>
      </c>
      <c r="B264" s="20">
        <f ca="1"/>
        <v>82550</v>
      </c>
      <c r="C264" s="20">
        <f ca="1"/>
        <v>85579.46</v>
      </c>
      <c r="D264" s="20">
        <f ca="1"/>
        <v>82432.740000000005</v>
      </c>
      <c r="E264" s="20">
        <f ca="1"/>
        <v>85158.34</v>
      </c>
      <c r="F264" s="3">
        <f ca="1"/>
        <v>20190.396970000002</v>
      </c>
      <c r="G264" s="10">
        <f ca="1"/>
        <v>45749.229166655095</v>
      </c>
      <c r="H264" s="3">
        <f ca="1"/>
        <v>1698895702.5754683</v>
      </c>
      <c r="I264" s="3">
        <f ca="1"/>
        <v>3328693</v>
      </c>
      <c r="J264" s="3">
        <f ca="1"/>
        <v>10246.42648</v>
      </c>
      <c r="K264" s="3">
        <f ca="1"/>
        <v>862302772.43308628</v>
      </c>
    </row>
    <row r="265" spans="1:11" x14ac:dyDescent="0.3">
      <c r="A265" s="10">
        <f ca="1"/>
        <v>45747.229166666664</v>
      </c>
      <c r="B265" s="20">
        <f ca="1"/>
        <v>82390</v>
      </c>
      <c r="C265" s="20">
        <f ca="1"/>
        <v>83943.08</v>
      </c>
      <c r="D265" s="20">
        <f ca="1"/>
        <v>81278.52</v>
      </c>
      <c r="E265" s="20">
        <f ca="1"/>
        <v>82550.009999999995</v>
      </c>
      <c r="F265" s="3">
        <f ca="1"/>
        <v>20569.138849999999</v>
      </c>
      <c r="G265" s="10">
        <f ca="1"/>
        <v>45748.229166655095</v>
      </c>
      <c r="H265" s="3">
        <f ca="1"/>
        <v>1696009191.0809648</v>
      </c>
      <c r="I265" s="3">
        <f ca="1"/>
        <v>3964358</v>
      </c>
      <c r="J265" s="3">
        <f ca="1"/>
        <v>9912.88184</v>
      </c>
      <c r="K265" s="3">
        <f ca="1"/>
        <v>817875871.11074126</v>
      </c>
    </row>
    <row r="266" spans="1:11" x14ac:dyDescent="0.3">
      <c r="A266" s="10">
        <f ca="1"/>
        <v>45746.229166666664</v>
      </c>
      <c r="B266" s="20">
        <f ca="1"/>
        <v>82648.53</v>
      </c>
      <c r="C266" s="20">
        <f ca="1"/>
        <v>83534.64</v>
      </c>
      <c r="D266" s="20">
        <f ca="1"/>
        <v>81565</v>
      </c>
      <c r="E266" s="20">
        <f ca="1"/>
        <v>82389.990000000005</v>
      </c>
      <c r="F266" s="3">
        <f ca="1"/>
        <v>9864.4950800000006</v>
      </c>
      <c r="G266" s="10">
        <f ca="1"/>
        <v>45747.229166655095</v>
      </c>
      <c r="H266" s="3">
        <f ca="1"/>
        <v>816584795.52881265</v>
      </c>
      <c r="I266" s="3">
        <f ca="1"/>
        <v>1907663</v>
      </c>
      <c r="J266" s="3">
        <f ca="1"/>
        <v>4725.0710499999996</v>
      </c>
      <c r="K266" s="3">
        <f ca="1"/>
        <v>391214080.11011612</v>
      </c>
    </row>
    <row r="267" spans="1:11" x14ac:dyDescent="0.3">
      <c r="A267" s="10">
        <f ca="1"/>
        <v>45745.229166666664</v>
      </c>
      <c r="B267" s="20">
        <f ca="1"/>
        <v>84424.38</v>
      </c>
      <c r="C267" s="20">
        <f ca="1"/>
        <v>84624.73</v>
      </c>
      <c r="D267" s="20">
        <f ca="1"/>
        <v>81644.81</v>
      </c>
      <c r="E267" s="20">
        <f ca="1"/>
        <v>82648.539999999994</v>
      </c>
      <c r="F267" s="3">
        <f ca="1"/>
        <v>11696.398639999999</v>
      </c>
      <c r="G267" s="10">
        <f ca="1"/>
        <v>45746.229166655095</v>
      </c>
      <c r="H267" s="3">
        <f ca="1"/>
        <v>970199917.9868716</v>
      </c>
      <c r="I267" s="3">
        <f ca="1"/>
        <v>2172387</v>
      </c>
      <c r="J267" s="3">
        <f ca="1"/>
        <v>5621.6048499999997</v>
      </c>
      <c r="K267" s="3">
        <f ca="1"/>
        <v>466215575.48490691</v>
      </c>
    </row>
    <row r="268" spans="1:11" x14ac:dyDescent="0.3">
      <c r="A268" s="10">
        <f ca="1"/>
        <v>45744.229166666664</v>
      </c>
      <c r="B268" s="20">
        <f ca="1"/>
        <v>87232.01</v>
      </c>
      <c r="C268" s="20">
        <f ca="1"/>
        <v>87515.67</v>
      </c>
      <c r="D268" s="20">
        <f ca="1"/>
        <v>83585</v>
      </c>
      <c r="E268" s="20">
        <f ca="1"/>
        <v>84424.38</v>
      </c>
      <c r="F268" s="3">
        <f ca="1"/>
        <v>27182.731690000001</v>
      </c>
      <c r="G268" s="10">
        <f ca="1"/>
        <v>45745.229166655095</v>
      </c>
      <c r="H268" s="3">
        <f ca="1"/>
        <v>2309946560.664114</v>
      </c>
      <c r="I268" s="3">
        <f ca="1"/>
        <v>3236085</v>
      </c>
      <c r="J268" s="3">
        <f ca="1"/>
        <v>11274.83736</v>
      </c>
      <c r="K268" s="3">
        <f ca="1"/>
        <v>958523321.8112731</v>
      </c>
    </row>
    <row r="269" spans="1:11" x14ac:dyDescent="0.3">
      <c r="A269" s="10">
        <f ca="1"/>
        <v>45743.229166666664</v>
      </c>
      <c r="B269" s="20">
        <f ca="1"/>
        <v>86909.17</v>
      </c>
      <c r="C269" s="20">
        <f ca="1"/>
        <v>87756.39</v>
      </c>
      <c r="D269" s="20">
        <f ca="1"/>
        <v>85800</v>
      </c>
      <c r="E269" s="20">
        <f ca="1"/>
        <v>87232.01</v>
      </c>
      <c r="F269" s="3">
        <f ca="1"/>
        <v>17098.038970000001</v>
      </c>
      <c r="G269" s="10">
        <f ca="1"/>
        <v>45744.229166655095</v>
      </c>
      <c r="H269" s="3">
        <f ca="1"/>
        <v>1487968807.7079022</v>
      </c>
      <c r="I269" s="3">
        <f ca="1"/>
        <v>2376381</v>
      </c>
      <c r="J269" s="3">
        <f ca="1"/>
        <v>8185.0551699999996</v>
      </c>
      <c r="K269" s="3">
        <f ca="1"/>
        <v>712324893.28891683</v>
      </c>
    </row>
    <row r="270" spans="1:11" x14ac:dyDescent="0.3">
      <c r="A270" s="10">
        <f ca="1"/>
        <v>45742.229166666664</v>
      </c>
      <c r="B270" s="20">
        <f ca="1"/>
        <v>87392.88</v>
      </c>
      <c r="C270" s="20">
        <f ca="1"/>
        <v>88275</v>
      </c>
      <c r="D270" s="20">
        <f ca="1"/>
        <v>85860</v>
      </c>
      <c r="E270" s="20">
        <f ca="1"/>
        <v>86909.17</v>
      </c>
      <c r="F270" s="3">
        <f ca="1"/>
        <v>18408.78485</v>
      </c>
      <c r="G270" s="10">
        <f ca="1"/>
        <v>45743.229166655095</v>
      </c>
      <c r="H270" s="3">
        <f ca="1"/>
        <v>1606406955.5864632</v>
      </c>
      <c r="I270" s="3">
        <f ca="1"/>
        <v>2380154</v>
      </c>
      <c r="J270" s="3">
        <f ca="1"/>
        <v>8590.9775300000001</v>
      </c>
      <c r="K270" s="3">
        <f ca="1"/>
        <v>749604853.29681349</v>
      </c>
    </row>
    <row r="271" spans="1:11" x14ac:dyDescent="0.3">
      <c r="A271" s="10">
        <f ca="1"/>
        <v>45741.229166666664</v>
      </c>
      <c r="B271" s="20">
        <f ca="1"/>
        <v>87498.16</v>
      </c>
      <c r="C271" s="20">
        <f ca="1"/>
        <v>88539.63</v>
      </c>
      <c r="D271" s="20">
        <f ca="1"/>
        <v>86310</v>
      </c>
      <c r="E271" s="20">
        <f ca="1"/>
        <v>87392.87</v>
      </c>
      <c r="F271" s="3">
        <f ca="1"/>
        <v>22643.252479999999</v>
      </c>
      <c r="G271" s="10">
        <f ca="1"/>
        <v>45742.229166655095</v>
      </c>
      <c r="H271" s="3">
        <f ca="1"/>
        <v>1979571590.8982937</v>
      </c>
      <c r="I271" s="3">
        <f ca="1"/>
        <v>2802815</v>
      </c>
      <c r="J271" s="3">
        <f ca="1"/>
        <v>9440.5629399999998</v>
      </c>
      <c r="K271" s="3">
        <f ca="1"/>
        <v>825308072.63378143</v>
      </c>
    </row>
    <row r="272" spans="1:11" x14ac:dyDescent="0.3">
      <c r="A272" s="10">
        <f ca="1"/>
        <v>45740.229166666664</v>
      </c>
      <c r="B272" s="20">
        <f ca="1"/>
        <v>86082.5</v>
      </c>
      <c r="C272" s="20">
        <f ca="1"/>
        <v>88765.43</v>
      </c>
      <c r="D272" s="20">
        <f ca="1"/>
        <v>85519.09</v>
      </c>
      <c r="E272" s="20">
        <f ca="1"/>
        <v>87498.16</v>
      </c>
      <c r="F272" s="3">
        <f ca="1"/>
        <v>30115.62111</v>
      </c>
      <c r="G272" s="10">
        <f ca="1"/>
        <v>45741.229166655095</v>
      </c>
      <c r="H272" s="3">
        <f ca="1"/>
        <v>2636765917.9518433</v>
      </c>
      <c r="I272" s="3">
        <f ca="1"/>
        <v>2916713</v>
      </c>
      <c r="J272" s="3">
        <f ca="1"/>
        <v>14379.95578</v>
      </c>
      <c r="K272" s="3">
        <f ca="1"/>
        <v>1258638667.1129041</v>
      </c>
    </row>
    <row r="273" spans="1:11" x14ac:dyDescent="0.3">
      <c r="A273" s="10">
        <f ca="1"/>
        <v>45739.229166666664</v>
      </c>
      <c r="B273" s="20">
        <f ca="1"/>
        <v>83840.59</v>
      </c>
      <c r="C273" s="20">
        <f ca="1"/>
        <v>86129.64</v>
      </c>
      <c r="D273" s="20">
        <f ca="1"/>
        <v>83809.75</v>
      </c>
      <c r="E273" s="20">
        <f ca="1"/>
        <v>86082.5</v>
      </c>
      <c r="F273" s="3">
        <f ca="1"/>
        <v>8461.9781299999995</v>
      </c>
      <c r="G273" s="10">
        <f ca="1"/>
        <v>45740.229166655095</v>
      </c>
      <c r="H273" s="3">
        <f ca="1"/>
        <v>718692319.14990377</v>
      </c>
      <c r="I273" s="3">
        <f ca="1"/>
        <v>1206533</v>
      </c>
      <c r="J273" s="3">
        <f ca="1"/>
        <v>4424.8101299999998</v>
      </c>
      <c r="K273" s="3">
        <f ca="1"/>
        <v>376007261.52135968</v>
      </c>
    </row>
    <row r="274" spans="1:11" x14ac:dyDescent="0.3">
      <c r="A274" s="10">
        <f ca="1"/>
        <v>45738.229166666664</v>
      </c>
      <c r="B274" s="20">
        <f ca="1"/>
        <v>84088.79</v>
      </c>
      <c r="C274" s="20">
        <f ca="1"/>
        <v>84539.17</v>
      </c>
      <c r="D274" s="20">
        <f ca="1"/>
        <v>83625.100000000006</v>
      </c>
      <c r="E274" s="20">
        <f ca="1"/>
        <v>83840.59</v>
      </c>
      <c r="F274" s="3">
        <f ca="1"/>
        <v>5420.2211399999997</v>
      </c>
      <c r="G274" s="10">
        <f ca="1"/>
        <v>45739.229166655095</v>
      </c>
      <c r="H274" s="3">
        <f ca="1"/>
        <v>456235443.80165219</v>
      </c>
      <c r="I274" s="3">
        <f ca="1"/>
        <v>864481</v>
      </c>
      <c r="J274" s="3">
        <f ca="1"/>
        <v>2284.1917800000001</v>
      </c>
      <c r="K274" s="3">
        <f ca="1"/>
        <v>192291026.7874248</v>
      </c>
    </row>
    <row r="275" spans="1:11" x14ac:dyDescent="0.3">
      <c r="A275" s="10">
        <f ca="1"/>
        <v>45737.229166666664</v>
      </c>
      <c r="B275" s="20">
        <f ca="1"/>
        <v>84223.38</v>
      </c>
      <c r="C275" s="20">
        <f ca="1"/>
        <v>84850.33</v>
      </c>
      <c r="D275" s="20">
        <f ca="1"/>
        <v>83175.25</v>
      </c>
      <c r="E275" s="20">
        <f ca="1"/>
        <v>84088.79</v>
      </c>
      <c r="F275" s="3">
        <f ca="1"/>
        <v>11956.97443</v>
      </c>
      <c r="G275" s="10">
        <f ca="1"/>
        <v>45738.229166655095</v>
      </c>
      <c r="H275" s="3">
        <f ca="1"/>
        <v>1005135519.2560017</v>
      </c>
      <c r="I275" s="3">
        <f ca="1"/>
        <v>2360005</v>
      </c>
      <c r="J275" s="3">
        <f ca="1"/>
        <v>5466.4196099999999</v>
      </c>
      <c r="K275" s="3">
        <f ca="1"/>
        <v>459501348.08175832</v>
      </c>
    </row>
    <row r="276" spans="1:11" x14ac:dyDescent="0.3">
      <c r="A276" s="10">
        <f ca="1"/>
        <v>45736.229166666664</v>
      </c>
      <c r="B276" s="20">
        <f ca="1"/>
        <v>86845.93</v>
      </c>
      <c r="C276" s="20">
        <f ca="1"/>
        <v>87453.67</v>
      </c>
      <c r="D276" s="20">
        <f ca="1"/>
        <v>83655.23</v>
      </c>
      <c r="E276" s="20">
        <f ca="1"/>
        <v>84223.39</v>
      </c>
      <c r="F276" s="3">
        <f ca="1"/>
        <v>22090.304629999999</v>
      </c>
      <c r="G276" s="10">
        <f ca="1"/>
        <v>45737.229166655095</v>
      </c>
      <c r="H276" s="3">
        <f ca="1"/>
        <v>1885241921.1556518</v>
      </c>
      <c r="I276" s="3">
        <f ca="1"/>
        <v>3252595</v>
      </c>
      <c r="J276" s="3">
        <f ca="1"/>
        <v>10163.592619999999</v>
      </c>
      <c r="K276" s="3">
        <f ca="1"/>
        <v>867440339.29626071</v>
      </c>
    </row>
    <row r="277" spans="1:11" x14ac:dyDescent="0.3">
      <c r="A277" s="10">
        <f ca="1"/>
        <v>45735.229166666664</v>
      </c>
      <c r="B277" s="20">
        <f ca="1"/>
        <v>82715.03</v>
      </c>
      <c r="C277" s="20">
        <f ca="1"/>
        <v>87000</v>
      </c>
      <c r="D277" s="20">
        <f ca="1"/>
        <v>82547.16</v>
      </c>
      <c r="E277" s="20">
        <f ca="1"/>
        <v>86845.94</v>
      </c>
      <c r="F277" s="3">
        <f ca="1"/>
        <v>28151.053739999999</v>
      </c>
      <c r="G277" s="10">
        <f ca="1"/>
        <v>45736.229166655095</v>
      </c>
      <c r="H277" s="3">
        <f ca="1"/>
        <v>2375813941.9437623</v>
      </c>
      <c r="I277" s="3">
        <f ca="1"/>
        <v>3774761</v>
      </c>
      <c r="J277" s="3">
        <f ca="1"/>
        <v>13804.24847</v>
      </c>
      <c r="K277" s="3">
        <f ca="1"/>
        <v>1166238970.2811465</v>
      </c>
    </row>
    <row r="278" spans="1:11" x14ac:dyDescent="0.3">
      <c r="A278" s="10">
        <f ca="1"/>
        <v>45734.229166666664</v>
      </c>
      <c r="B278" s="20">
        <f ca="1"/>
        <v>84010.02</v>
      </c>
      <c r="C278" s="20">
        <f ca="1"/>
        <v>84021.74</v>
      </c>
      <c r="D278" s="20">
        <f ca="1"/>
        <v>81134.66</v>
      </c>
      <c r="E278" s="20">
        <f ca="1"/>
        <v>82715.03</v>
      </c>
      <c r="F278" s="3">
        <f ca="1"/>
        <v>17610.898829999998</v>
      </c>
      <c r="G278" s="10">
        <f ca="1"/>
        <v>45735.229166655095</v>
      </c>
      <c r="H278" s="3">
        <f ca="1"/>
        <v>1450813055.4797261</v>
      </c>
      <c r="I278" s="3">
        <f ca="1"/>
        <v>3126371</v>
      </c>
      <c r="J278" s="3">
        <f ca="1"/>
        <v>8047.2341800000004</v>
      </c>
      <c r="K278" s="3">
        <f ca="1"/>
        <v>662808749.3427887</v>
      </c>
    </row>
    <row r="279" spans="1:11" x14ac:dyDescent="0.3">
      <c r="A279" s="10">
        <f ca="1"/>
        <v>45733.229166666664</v>
      </c>
      <c r="B279" s="20">
        <f ca="1"/>
        <v>82574.52</v>
      </c>
      <c r="C279" s="20">
        <f ca="1"/>
        <v>84756.83</v>
      </c>
      <c r="D279" s="20">
        <f ca="1"/>
        <v>82456</v>
      </c>
      <c r="E279" s="20">
        <f ca="1"/>
        <v>84010.03</v>
      </c>
      <c r="F279" s="3">
        <f ca="1"/>
        <v>17214.743579999998</v>
      </c>
      <c r="G279" s="10">
        <f ca="1"/>
        <v>45734.229166655095</v>
      </c>
      <c r="H279" s="3">
        <f ca="1"/>
        <v>1437716814.0468738</v>
      </c>
      <c r="I279" s="3">
        <f ca="1"/>
        <v>3014756</v>
      </c>
      <c r="J279" s="3">
        <f ca="1"/>
        <v>8387.8911100000005</v>
      </c>
      <c r="K279" s="3">
        <f ca="1"/>
        <v>700505421.78772938</v>
      </c>
    </row>
    <row r="280" spans="1:11" x14ac:dyDescent="0.3">
      <c r="A280" s="10">
        <f ca="1"/>
        <v>45732.229166666664</v>
      </c>
      <c r="B280" s="20">
        <f ca="1"/>
        <v>84338.44</v>
      </c>
      <c r="C280" s="20">
        <f ca="1"/>
        <v>85117.04</v>
      </c>
      <c r="D280" s="20">
        <f ca="1"/>
        <v>81981.119999999995</v>
      </c>
      <c r="E280" s="20">
        <f ca="1"/>
        <v>82574.53</v>
      </c>
      <c r="F280" s="3">
        <f ca="1"/>
        <v>17596.125309999999</v>
      </c>
      <c r="G280" s="10">
        <f ca="1"/>
        <v>45733.229166655095</v>
      </c>
      <c r="H280" s="3">
        <f ca="1"/>
        <v>1468056556.2967227</v>
      </c>
      <c r="I280" s="3">
        <f ca="1"/>
        <v>2767947</v>
      </c>
      <c r="J280" s="3">
        <f ca="1"/>
        <v>8505.9531700000007</v>
      </c>
      <c r="K280" s="3">
        <f ca="1"/>
        <v>710037465.07574797</v>
      </c>
    </row>
    <row r="281" spans="1:11" x14ac:dyDescent="0.3">
      <c r="A281" s="10">
        <f ca="1"/>
        <v>45731.229166666664</v>
      </c>
      <c r="B281" s="20">
        <f ca="1"/>
        <v>83983.19</v>
      </c>
      <c r="C281" s="20">
        <f ca="1"/>
        <v>84676.28</v>
      </c>
      <c r="D281" s="20">
        <f ca="1"/>
        <v>83618</v>
      </c>
      <c r="E281" s="20">
        <f ca="1"/>
        <v>84338.44</v>
      </c>
      <c r="F281" s="3">
        <f ca="1"/>
        <v>11324.733200000001</v>
      </c>
      <c r="G281" s="10">
        <f ca="1"/>
        <v>45732.229166655095</v>
      </c>
      <c r="H281" s="3">
        <f ca="1"/>
        <v>953445671.83375049</v>
      </c>
      <c r="I281" s="3">
        <f ca="1"/>
        <v>1329670</v>
      </c>
      <c r="J281" s="3">
        <f ca="1"/>
        <v>5195.2912800000004</v>
      </c>
      <c r="K281" s="3">
        <f ca="1"/>
        <v>437551330.25316602</v>
      </c>
    </row>
    <row r="282" spans="1:11" x14ac:dyDescent="0.3">
      <c r="A282" s="10">
        <f ca="1"/>
        <v>45730.229166666664</v>
      </c>
      <c r="B282" s="20">
        <f ca="1"/>
        <v>81115.78</v>
      </c>
      <c r="C282" s="20">
        <f ca="1"/>
        <v>85309.71</v>
      </c>
      <c r="D282" s="20">
        <f ca="1"/>
        <v>80818.84</v>
      </c>
      <c r="E282" s="20">
        <f ca="1"/>
        <v>83983.2</v>
      </c>
      <c r="F282" s="3">
        <f ca="1"/>
        <v>26858.527549999999</v>
      </c>
      <c r="G282" s="10">
        <f ca="1"/>
        <v>45731.229166655095</v>
      </c>
      <c r="H282" s="3">
        <f ca="1"/>
        <v>2244729595.5411716</v>
      </c>
      <c r="I282" s="3">
        <f ca="1"/>
        <v>3290987</v>
      </c>
      <c r="J282" s="3">
        <f ca="1"/>
        <v>14082.88688</v>
      </c>
      <c r="K282" s="3">
        <f ca="1"/>
        <v>1177807467.0181799</v>
      </c>
    </row>
    <row r="283" spans="1:11" x14ac:dyDescent="0.3">
      <c r="A283" s="10">
        <f ca="1"/>
        <v>45729.229166666664</v>
      </c>
      <c r="B283" s="20">
        <f ca="1"/>
        <v>83680.12</v>
      </c>
      <c r="C283" s="20">
        <f ca="1"/>
        <v>84336.33</v>
      </c>
      <c r="D283" s="20">
        <f ca="1"/>
        <v>79939.899999999994</v>
      </c>
      <c r="E283" s="20">
        <f ca="1"/>
        <v>81115.78</v>
      </c>
      <c r="F283" s="3">
        <f ca="1"/>
        <v>27546.274119999998</v>
      </c>
      <c r="G283" s="10">
        <f ca="1"/>
        <v>45730.229166655095</v>
      </c>
      <c r="H283" s="3">
        <f ca="1"/>
        <v>2260870111.2393894</v>
      </c>
      <c r="I283" s="3">
        <f ca="1"/>
        <v>4367093</v>
      </c>
      <c r="J283" s="3">
        <f ca="1"/>
        <v>13013.181350000001</v>
      </c>
      <c r="K283" s="3">
        <f ca="1"/>
        <v>1067945431.1219469</v>
      </c>
    </row>
    <row r="284" spans="1:11" x14ac:dyDescent="0.3">
      <c r="A284" s="10">
        <f ca="1"/>
        <v>45728.229166666664</v>
      </c>
      <c r="B284" s="20">
        <f ca="1"/>
        <v>82932.990000000005</v>
      </c>
      <c r="C284" s="20">
        <f ca="1"/>
        <v>84539.85</v>
      </c>
      <c r="D284" s="20">
        <f ca="1"/>
        <v>80607.649999999994</v>
      </c>
      <c r="E284" s="20">
        <f ca="1"/>
        <v>83680.12</v>
      </c>
      <c r="F284" s="3">
        <f ca="1"/>
        <v>31933.986000000001</v>
      </c>
      <c r="G284" s="10">
        <f ca="1"/>
        <v>45729.229166655095</v>
      </c>
      <c r="H284" s="3">
        <f ca="1"/>
        <v>2638600996.8253961</v>
      </c>
      <c r="I284" s="3">
        <f ca="1"/>
        <v>5253577</v>
      </c>
      <c r="J284" s="3">
        <f ca="1"/>
        <v>15749.417020000001</v>
      </c>
      <c r="K284" s="3">
        <f ca="1"/>
        <v>1301890518.499408</v>
      </c>
    </row>
    <row r="285" spans="1:11" x14ac:dyDescent="0.3">
      <c r="A285" s="10">
        <f ca="1"/>
        <v>45727.229166666664</v>
      </c>
      <c r="B285" s="20">
        <f ca="1"/>
        <v>78595.86</v>
      </c>
      <c r="C285" s="20">
        <f ca="1"/>
        <v>83617.399999999994</v>
      </c>
      <c r="D285" s="20">
        <f ca="1"/>
        <v>76606</v>
      </c>
      <c r="E285" s="20">
        <f ca="1"/>
        <v>82932.990000000005</v>
      </c>
      <c r="F285" s="3">
        <f ca="1"/>
        <v>48770.068529999997</v>
      </c>
      <c r="G285" s="10">
        <f ca="1"/>
        <v>45728.229166655095</v>
      </c>
      <c r="H285" s="3">
        <f ca="1"/>
        <v>3927000827.1107917</v>
      </c>
      <c r="I285" s="3">
        <f ca="1"/>
        <v>6983310</v>
      </c>
      <c r="J285" s="3">
        <f ca="1"/>
        <v>24029.167700000002</v>
      </c>
      <c r="K285" s="3">
        <f ca="1"/>
        <v>1935950413.2018194</v>
      </c>
    </row>
    <row r="286" spans="1:11" x14ac:dyDescent="0.3">
      <c r="A286" s="10">
        <f ca="1"/>
        <v>45726.229166666664</v>
      </c>
      <c r="B286" s="20">
        <f ca="1"/>
        <v>80734.48</v>
      </c>
      <c r="C286" s="20">
        <f ca="1"/>
        <v>84123.46</v>
      </c>
      <c r="D286" s="20">
        <f ca="1"/>
        <v>77459.91</v>
      </c>
      <c r="E286" s="20">
        <f ca="1"/>
        <v>78595.86</v>
      </c>
      <c r="F286" s="3">
        <f ca="1"/>
        <v>47633.384050000001</v>
      </c>
      <c r="G286" s="10">
        <f ca="1"/>
        <v>45727.229166655095</v>
      </c>
      <c r="H286" s="3">
        <f ca="1"/>
        <v>3834924947.7581859</v>
      </c>
      <c r="I286" s="3">
        <f ca="1"/>
        <v>8701538</v>
      </c>
      <c r="J286" s="3">
        <f ca="1"/>
        <v>22898.57072</v>
      </c>
      <c r="K286" s="3">
        <f ca="1"/>
        <v>1846606255.3521485</v>
      </c>
    </row>
    <row r="287" spans="1:11" x14ac:dyDescent="0.3">
      <c r="A287" s="10">
        <f ca="1"/>
        <v>45725.229166666664</v>
      </c>
      <c r="B287" s="20">
        <f ca="1"/>
        <v>86222.46</v>
      </c>
      <c r="C287" s="20">
        <f ca="1"/>
        <v>86500</v>
      </c>
      <c r="D287" s="20">
        <f ca="1"/>
        <v>80000</v>
      </c>
      <c r="E287" s="20">
        <f ca="1"/>
        <v>80734.37</v>
      </c>
      <c r="F287" s="3">
        <f ca="1"/>
        <v>26115.39345</v>
      </c>
      <c r="G287" s="10">
        <f ca="1"/>
        <v>45726.229166655095</v>
      </c>
      <c r="H287" s="3">
        <f ca="1"/>
        <v>2173552660.4544792</v>
      </c>
      <c r="I287" s="3">
        <f ca="1"/>
        <v>5189138</v>
      </c>
      <c r="J287" s="3">
        <f ca="1"/>
        <v>12093.87232</v>
      </c>
      <c r="K287" s="3">
        <f ca="1"/>
        <v>1006299692.7104127</v>
      </c>
    </row>
    <row r="288" spans="1:11" x14ac:dyDescent="0.3">
      <c r="A288" s="10">
        <f ca="1"/>
        <v>45724.229166666664</v>
      </c>
      <c r="B288" s="20">
        <f ca="1"/>
        <v>86801.74</v>
      </c>
      <c r="C288" s="20">
        <f ca="1"/>
        <v>86897.25</v>
      </c>
      <c r="D288" s="20">
        <f ca="1"/>
        <v>85218.47</v>
      </c>
      <c r="E288" s="20">
        <f ca="1"/>
        <v>86222.45</v>
      </c>
      <c r="F288" s="3">
        <f ca="1"/>
        <v>12989.23054</v>
      </c>
      <c r="G288" s="10">
        <f ca="1"/>
        <v>45725.229166655095</v>
      </c>
      <c r="H288" s="3">
        <f ca="1"/>
        <v>1119358968.6520054</v>
      </c>
      <c r="I288" s="3">
        <f ca="1"/>
        <v>2553974</v>
      </c>
      <c r="J288" s="3">
        <f ca="1"/>
        <v>6491.5658100000001</v>
      </c>
      <c r="K288" s="3">
        <f ca="1"/>
        <v>559581591.34707415</v>
      </c>
    </row>
    <row r="289" spans="1:11" x14ac:dyDescent="0.3">
      <c r="A289" s="10">
        <f ca="1"/>
        <v>45723.229166666664</v>
      </c>
      <c r="B289" s="20">
        <f ca="1"/>
        <v>89931.88</v>
      </c>
      <c r="C289" s="20">
        <f ca="1"/>
        <v>91283.02</v>
      </c>
      <c r="D289" s="20">
        <f ca="1"/>
        <v>84667.03</v>
      </c>
      <c r="E289" s="20">
        <f ca="1"/>
        <v>86801.75</v>
      </c>
      <c r="F289" s="3">
        <f ca="1"/>
        <v>57980.357129999997</v>
      </c>
      <c r="G289" s="10">
        <f ca="1"/>
        <v>45724.229166655095</v>
      </c>
      <c r="H289" s="3">
        <f ca="1"/>
        <v>5097554826.6131573</v>
      </c>
      <c r="I289" s="3">
        <f ca="1"/>
        <v>9510442</v>
      </c>
      <c r="J289" s="3">
        <f ca="1"/>
        <v>28394.415369999999</v>
      </c>
      <c r="K289" s="3">
        <f ca="1"/>
        <v>2497922400.4504447</v>
      </c>
    </row>
    <row r="290" spans="1:11" x14ac:dyDescent="0.3">
      <c r="A290" s="10">
        <f ca="1"/>
        <v>45722.229166666664</v>
      </c>
      <c r="B290" s="20">
        <f ca="1"/>
        <v>90606</v>
      </c>
      <c r="C290" s="20">
        <f ca="1"/>
        <v>92810.64</v>
      </c>
      <c r="D290" s="20">
        <f ca="1"/>
        <v>87836</v>
      </c>
      <c r="E290" s="20">
        <f ca="1"/>
        <v>89931.89</v>
      </c>
      <c r="F290" s="3">
        <f ca="1"/>
        <v>34342.44902</v>
      </c>
      <c r="G290" s="10">
        <f ca="1"/>
        <v>45723.229166655095</v>
      </c>
      <c r="H290" s="3">
        <f ca="1"/>
        <v>3105145628.3993993</v>
      </c>
      <c r="I290" s="3">
        <f ca="1"/>
        <v>7643526</v>
      </c>
      <c r="J290" s="3">
        <f ca="1"/>
        <v>17283.99411</v>
      </c>
      <c r="K290" s="3">
        <f ca="1"/>
        <v>1563426526.4289935</v>
      </c>
    </row>
    <row r="291" spans="1:11" x14ac:dyDescent="0.3">
      <c r="A291" s="10">
        <f ca="1"/>
        <v>45721.229166666664</v>
      </c>
      <c r="B291" s="20">
        <f ca="1"/>
        <v>87281.98</v>
      </c>
      <c r="C291" s="20">
        <f ca="1"/>
        <v>91000</v>
      </c>
      <c r="D291" s="20">
        <f ca="1"/>
        <v>86334.53</v>
      </c>
      <c r="E291" s="20">
        <f ca="1"/>
        <v>90606.01</v>
      </c>
      <c r="F291" s="3">
        <f ca="1"/>
        <v>38264.011630000001</v>
      </c>
      <c r="G291" s="10">
        <f ca="1"/>
        <v>45722.229166655095</v>
      </c>
      <c r="H291" s="3">
        <f ca="1"/>
        <v>3400243670.3049755</v>
      </c>
      <c r="I291" s="3">
        <f ca="1"/>
        <v>8070266</v>
      </c>
      <c r="J291" s="3">
        <f ca="1"/>
        <v>19230.284360000001</v>
      </c>
      <c r="K291" s="3">
        <f ca="1"/>
        <v>1709708737.4698935</v>
      </c>
    </row>
    <row r="292" spans="1:11" x14ac:dyDescent="0.3">
      <c r="A292" s="10">
        <f ca="1"/>
        <v>45720.229166666664</v>
      </c>
      <c r="B292" s="20">
        <f ca="1"/>
        <v>86221.16</v>
      </c>
      <c r="C292" s="20">
        <f ca="1"/>
        <v>88967.52</v>
      </c>
      <c r="D292" s="20">
        <f ca="1"/>
        <v>81500</v>
      </c>
      <c r="E292" s="20">
        <f ca="1"/>
        <v>87281.98</v>
      </c>
      <c r="F292" s="3">
        <f ca="1"/>
        <v>55609.107060000002</v>
      </c>
      <c r="G292" s="10">
        <f ca="1"/>
        <v>45721.229166655095</v>
      </c>
      <c r="H292" s="3">
        <f ca="1"/>
        <v>4704901219.590436</v>
      </c>
      <c r="I292" s="3">
        <f ca="1"/>
        <v>10326631</v>
      </c>
      <c r="J292" s="3">
        <f ca="1"/>
        <v>27584.715899999999</v>
      </c>
      <c r="K292" s="3">
        <f ca="1"/>
        <v>2335087296.2392869</v>
      </c>
    </row>
    <row r="293" spans="1:11" x14ac:dyDescent="0.3">
      <c r="A293" s="10">
        <f ca="1"/>
        <v>45719.229166666664</v>
      </c>
      <c r="B293" s="20">
        <f ca="1"/>
        <v>94269.99</v>
      </c>
      <c r="C293" s="20">
        <f ca="1"/>
        <v>94416.46</v>
      </c>
      <c r="D293" s="20">
        <f ca="1"/>
        <v>85117.11</v>
      </c>
      <c r="E293" s="20">
        <f ca="1"/>
        <v>86220.61</v>
      </c>
      <c r="F293" s="3">
        <f ca="1"/>
        <v>59171.102180000002</v>
      </c>
      <c r="G293" s="10">
        <f ca="1"/>
        <v>45720.229166655095</v>
      </c>
      <c r="H293" s="3">
        <f ca="1"/>
        <v>5321123743.4719229</v>
      </c>
      <c r="I293" s="3">
        <f ca="1"/>
        <v>9797860</v>
      </c>
      <c r="J293" s="3">
        <f ca="1"/>
        <v>27915.4365</v>
      </c>
      <c r="K293" s="3">
        <f ca="1"/>
        <v>2513464571.3569112</v>
      </c>
    </row>
    <row r="294" spans="1:11" x14ac:dyDescent="0.3">
      <c r="A294" s="10">
        <f ca="1"/>
        <v>45718.229166666664</v>
      </c>
      <c r="B294" s="20">
        <f ca="1"/>
        <v>86064.54</v>
      </c>
      <c r="C294" s="20">
        <f ca="1"/>
        <v>95000</v>
      </c>
      <c r="D294" s="20">
        <f ca="1"/>
        <v>85050.6</v>
      </c>
      <c r="E294" s="20">
        <f ca="1"/>
        <v>94270</v>
      </c>
      <c r="F294" s="3">
        <f ca="1"/>
        <v>54889.090450000003</v>
      </c>
      <c r="G294" s="10">
        <f ca="1"/>
        <v>45719.229166655095</v>
      </c>
      <c r="H294" s="3">
        <f ca="1"/>
        <v>4972549515.7886686</v>
      </c>
      <c r="I294" s="3">
        <f ca="1"/>
        <v>7403218</v>
      </c>
      <c r="J294" s="3">
        <f ca="1"/>
        <v>29273.810310000001</v>
      </c>
      <c r="K294" s="3">
        <f ca="1"/>
        <v>2652973441.1545391</v>
      </c>
    </row>
    <row r="295" spans="1:11" x14ac:dyDescent="0.3">
      <c r="A295" s="10">
        <f ca="1"/>
        <v>45717.229166666664</v>
      </c>
      <c r="B295" s="20">
        <f ca="1"/>
        <v>84349.95</v>
      </c>
      <c r="C295" s="20">
        <f ca="1"/>
        <v>86558</v>
      </c>
      <c r="D295" s="20">
        <f ca="1"/>
        <v>83824.78</v>
      </c>
      <c r="E295" s="20">
        <f ca="1"/>
        <v>86064.53</v>
      </c>
      <c r="F295" s="3">
        <f ca="1"/>
        <v>25785.054639999998</v>
      </c>
      <c r="G295" s="10">
        <f ca="1"/>
        <v>45718.229166655095</v>
      </c>
      <c r="H295" s="3">
        <f ca="1"/>
        <v>2194003507.852643</v>
      </c>
      <c r="I295" s="3">
        <f ca="1"/>
        <v>3700728</v>
      </c>
      <c r="J295" s="3">
        <f ca="1"/>
        <v>11748.107690000001</v>
      </c>
      <c r="K295" s="3">
        <f ca="1"/>
        <v>1000093822.5383525</v>
      </c>
    </row>
    <row r="296" spans="1:11" x14ac:dyDescent="0.3">
      <c r="A296" s="10">
        <f ca="1"/>
        <v>45716.229166666664</v>
      </c>
      <c r="B296" s="20">
        <f ca="1"/>
        <v>84708.57</v>
      </c>
      <c r="C296" s="20">
        <f ca="1"/>
        <v>85120</v>
      </c>
      <c r="D296" s="20">
        <f ca="1"/>
        <v>78258.52</v>
      </c>
      <c r="E296" s="20">
        <f ca="1"/>
        <v>84349.94</v>
      </c>
      <c r="F296" s="3">
        <f ca="1"/>
        <v>83648.039690000005</v>
      </c>
      <c r="G296" s="10">
        <f ca="1"/>
        <v>45717.229166655095</v>
      </c>
      <c r="H296" s="3">
        <f ca="1"/>
        <v>6806705236.6906786</v>
      </c>
      <c r="I296" s="3">
        <f ca="1"/>
        <v>11344216</v>
      </c>
      <c r="J296" s="3">
        <f ca="1"/>
        <v>40224.852870000002</v>
      </c>
      <c r="K296" s="3">
        <f ca="1"/>
        <v>3274291175.8103995</v>
      </c>
    </row>
    <row r="297" spans="1:11" x14ac:dyDescent="0.3">
      <c r="A297" s="10">
        <f ca="1"/>
        <v>45715.229166666664</v>
      </c>
      <c r="B297" s="20">
        <f ca="1"/>
        <v>84250.09</v>
      </c>
      <c r="C297" s="20">
        <f ca="1"/>
        <v>87078.46</v>
      </c>
      <c r="D297" s="20">
        <f ca="1"/>
        <v>82716.490000000005</v>
      </c>
      <c r="E297" s="20">
        <f ca="1"/>
        <v>84708.58</v>
      </c>
      <c r="F297" s="3">
        <f ca="1"/>
        <v>42505.454389999999</v>
      </c>
      <c r="G297" s="10">
        <f ca="1"/>
        <v>45716.229166655095</v>
      </c>
      <c r="H297" s="3">
        <f ca="1"/>
        <v>3618738891.2221622</v>
      </c>
      <c r="I297" s="3">
        <f ca="1"/>
        <v>6357581</v>
      </c>
      <c r="J297" s="3">
        <f ca="1"/>
        <v>20355.719690000002</v>
      </c>
      <c r="K297" s="3">
        <f ca="1"/>
        <v>1732725913.2817628</v>
      </c>
    </row>
    <row r="298" spans="1:11" x14ac:dyDescent="0.3">
      <c r="A298" s="10">
        <f ca="1"/>
        <v>45714.229166666664</v>
      </c>
      <c r="B298" s="20">
        <f ca="1"/>
        <v>88680.39</v>
      </c>
      <c r="C298" s="20">
        <f ca="1"/>
        <v>89414.15</v>
      </c>
      <c r="D298" s="20">
        <f ca="1"/>
        <v>82256.009999999995</v>
      </c>
      <c r="E298" s="20">
        <f ca="1"/>
        <v>84250.09</v>
      </c>
      <c r="F298" s="3">
        <f ca="1"/>
        <v>56893.544090000003</v>
      </c>
      <c r="G298" s="10">
        <f ca="1"/>
        <v>45715.229166655095</v>
      </c>
      <c r="H298" s="3">
        <f ca="1"/>
        <v>4898429925.6364765</v>
      </c>
      <c r="I298" s="3">
        <f ca="1"/>
        <v>8490006</v>
      </c>
      <c r="J298" s="3">
        <f ca="1"/>
        <v>28077.184499999999</v>
      </c>
      <c r="K298" s="3">
        <f ca="1"/>
        <v>2417690848.8189874</v>
      </c>
    </row>
    <row r="299" spans="1:11" x14ac:dyDescent="0.3">
      <c r="A299" s="10">
        <f ca="1"/>
        <v>45713.229166666664</v>
      </c>
      <c r="B299" s="20">
        <f ca="1"/>
        <v>91552.88</v>
      </c>
      <c r="C299" s="20">
        <f ca="1"/>
        <v>92540.69</v>
      </c>
      <c r="D299" s="20">
        <f ca="1"/>
        <v>86050.99</v>
      </c>
      <c r="E299" s="20">
        <f ca="1"/>
        <v>88680.4</v>
      </c>
      <c r="F299" s="3">
        <f ca="1"/>
        <v>78333.111109999998</v>
      </c>
      <c r="G299" s="10">
        <f ca="1"/>
        <v>45714.229166655095</v>
      </c>
      <c r="H299" s="3">
        <f ca="1"/>
        <v>6962982500.9044743</v>
      </c>
      <c r="I299" s="3">
        <f ca="1"/>
        <v>10289145</v>
      </c>
      <c r="J299" s="3">
        <f ca="1"/>
        <v>35822.152750000001</v>
      </c>
      <c r="K299" s="3">
        <f ca="1"/>
        <v>3183981371.47505</v>
      </c>
    </row>
    <row r="300" spans="1:11" x14ac:dyDescent="0.3">
      <c r="A300" s="10">
        <f ca="1"/>
        <v>45712.229166666664</v>
      </c>
      <c r="B300" s="20">
        <f ca="1"/>
        <v>96258</v>
      </c>
      <c r="C300" s="20">
        <f ca="1"/>
        <v>96500</v>
      </c>
      <c r="D300" s="20">
        <f ca="1"/>
        <v>91349.26</v>
      </c>
      <c r="E300" s="20">
        <f ca="1"/>
        <v>91552.88</v>
      </c>
      <c r="F300" s="3">
        <f ca="1"/>
        <v>31550.102989999999</v>
      </c>
      <c r="G300" s="10">
        <f ca="1"/>
        <v>45713.229166655095</v>
      </c>
      <c r="H300" s="3">
        <f ca="1"/>
        <v>2981809595.4453769</v>
      </c>
      <c r="I300" s="3">
        <f ca="1"/>
        <v>4972684</v>
      </c>
      <c r="J300" s="3">
        <f ca="1"/>
        <v>14438.63366</v>
      </c>
      <c r="K300" s="3">
        <f ca="1"/>
        <v>1366473567.874773</v>
      </c>
    </row>
    <row r="301" spans="1:11" x14ac:dyDescent="0.3">
      <c r="A301" s="10">
        <f ca="1"/>
        <v>45711.229166666664</v>
      </c>
      <c r="B301" s="20">
        <f ca="1"/>
        <v>96551.01</v>
      </c>
      <c r="C301" s="20">
        <f ca="1"/>
        <v>96650</v>
      </c>
      <c r="D301" s="20">
        <f ca="1"/>
        <v>95227.94</v>
      </c>
      <c r="E301" s="20">
        <f ca="1"/>
        <v>96258</v>
      </c>
      <c r="F301" s="3">
        <f ca="1"/>
        <v>10884.849130000001</v>
      </c>
      <c r="G301" s="10">
        <f ca="1"/>
        <v>45712.229166655095</v>
      </c>
      <c r="H301" s="3">
        <f ca="1"/>
        <v>1044392011.7910241</v>
      </c>
      <c r="I301" s="3">
        <f ca="1"/>
        <v>1457368</v>
      </c>
      <c r="J301" s="3">
        <f ca="1"/>
        <v>4619.9326700000001</v>
      </c>
      <c r="K301" s="3">
        <f ca="1"/>
        <v>443381984.41102552</v>
      </c>
    </row>
    <row r="302" spans="1:11" x14ac:dyDescent="0.3">
      <c r="A302" s="10">
        <f ca="1"/>
        <v>45710.229166666664</v>
      </c>
      <c r="B302" s="20">
        <f ca="1"/>
        <v>96181.99</v>
      </c>
      <c r="C302" s="20">
        <f ca="1"/>
        <v>96980</v>
      </c>
      <c r="D302" s="20">
        <f ca="1"/>
        <v>95770.49</v>
      </c>
      <c r="E302" s="20">
        <f ca="1"/>
        <v>96551.01</v>
      </c>
      <c r="F302" s="3">
        <f ca="1"/>
        <v>11268.177079999999</v>
      </c>
      <c r="G302" s="10">
        <f ca="1"/>
        <v>45711.229166655095</v>
      </c>
      <c r="H302" s="3">
        <f ca="1"/>
        <v>1087077133.8226364</v>
      </c>
      <c r="I302" s="3">
        <f ca="1"/>
        <v>1506418</v>
      </c>
      <c r="J302" s="3">
        <f ca="1"/>
        <v>5293.2805099999996</v>
      </c>
      <c r="K302" s="3">
        <f ca="1"/>
        <v>510722895.16754258</v>
      </c>
    </row>
    <row r="303" spans="1:11" x14ac:dyDescent="0.3">
      <c r="A303" s="10">
        <f ca="1"/>
        <v>45709.229166666664</v>
      </c>
      <c r="B303" s="20">
        <f ca="1"/>
        <v>98305.01</v>
      </c>
      <c r="C303" s="20">
        <f ca="1"/>
        <v>99475</v>
      </c>
      <c r="D303" s="20">
        <f ca="1"/>
        <v>94871.95</v>
      </c>
      <c r="E303" s="20">
        <f ca="1"/>
        <v>96181.98</v>
      </c>
      <c r="F303" s="3">
        <f ca="1"/>
        <v>32249.2814</v>
      </c>
      <c r="G303" s="10">
        <f ca="1"/>
        <v>45710.229166655095</v>
      </c>
      <c r="H303" s="3">
        <f ca="1"/>
        <v>3143975917.5734644</v>
      </c>
      <c r="I303" s="3">
        <f ca="1"/>
        <v>4528525</v>
      </c>
      <c r="J303" s="3">
        <f ca="1"/>
        <v>15313.581840000001</v>
      </c>
      <c r="K303" s="3">
        <f ca="1"/>
        <v>1493403646.8483026</v>
      </c>
    </row>
    <row r="304" spans="1:11" x14ac:dyDescent="0.3">
      <c r="A304" s="10">
        <f ca="1"/>
        <v>45708.229166666664</v>
      </c>
      <c r="B304" s="20">
        <f ca="1"/>
        <v>96644.37</v>
      </c>
      <c r="C304" s="20">
        <f ca="1"/>
        <v>98711.360000000001</v>
      </c>
      <c r="D304" s="20">
        <f ca="1"/>
        <v>96415.09</v>
      </c>
      <c r="E304" s="20">
        <f ca="1"/>
        <v>98305</v>
      </c>
      <c r="F304" s="3">
        <f ca="1"/>
        <v>17057.391769999998</v>
      </c>
      <c r="G304" s="10">
        <f ca="1"/>
        <v>45709.229166655095</v>
      </c>
      <c r="H304" s="3">
        <f ca="1"/>
        <v>1663386824.7315507</v>
      </c>
      <c r="I304" s="3">
        <f ca="1"/>
        <v>2386973</v>
      </c>
      <c r="J304" s="3">
        <f ca="1"/>
        <v>8356.4285899999995</v>
      </c>
      <c r="K304" s="3">
        <f ca="1"/>
        <v>815056614.17382705</v>
      </c>
    </row>
    <row r="305" spans="1:11" x14ac:dyDescent="0.3">
      <c r="A305" s="10">
        <f ca="1"/>
        <v>45707.229166666664</v>
      </c>
      <c r="B305" s="20">
        <f ca="1"/>
        <v>95671.74</v>
      </c>
      <c r="C305" s="20">
        <f ca="1"/>
        <v>96899.99</v>
      </c>
      <c r="D305" s="20">
        <f ca="1"/>
        <v>95029.99</v>
      </c>
      <c r="E305" s="20">
        <f ca="1"/>
        <v>96644.37</v>
      </c>
      <c r="F305" s="3">
        <f ca="1"/>
        <v>16438.509539999999</v>
      </c>
      <c r="G305" s="10">
        <f ca="1"/>
        <v>45708.229166655095</v>
      </c>
      <c r="H305" s="3">
        <f ca="1"/>
        <v>1576817572.1032505</v>
      </c>
      <c r="I305" s="3">
        <f ca="1"/>
        <v>2784225</v>
      </c>
      <c r="J305" s="3">
        <f ca="1"/>
        <v>7173.6180700000004</v>
      </c>
      <c r="K305" s="3">
        <f ca="1"/>
        <v>688586919.97592592</v>
      </c>
    </row>
    <row r="306" spans="1:11" x14ac:dyDescent="0.3">
      <c r="A306" s="10">
        <f ca="1"/>
        <v>45706.229166666664</v>
      </c>
      <c r="B306" s="20">
        <f ca="1"/>
        <v>95780.01</v>
      </c>
      <c r="C306" s="20">
        <f ca="1"/>
        <v>96753.91</v>
      </c>
      <c r="D306" s="20">
        <f ca="1"/>
        <v>93388.09</v>
      </c>
      <c r="E306" s="20">
        <f ca="1"/>
        <v>95671.74</v>
      </c>
      <c r="F306" s="3">
        <f ca="1"/>
        <v>23368.19471</v>
      </c>
      <c r="G306" s="10">
        <f ca="1"/>
        <v>45707.229166655095</v>
      </c>
      <c r="H306" s="3">
        <f ca="1"/>
        <v>2223994802.892005</v>
      </c>
      <c r="I306" s="3">
        <f ca="1"/>
        <v>4234248</v>
      </c>
      <c r="J306" s="3">
        <f ca="1"/>
        <v>11432.473669999999</v>
      </c>
      <c r="K306" s="3">
        <f ca="1"/>
        <v>1088319233.5219896</v>
      </c>
    </row>
    <row r="307" spans="1:11" x14ac:dyDescent="0.3">
      <c r="A307" s="10">
        <f ca="1"/>
        <v>45705.229166666664</v>
      </c>
      <c r="B307" s="20">
        <f ca="1"/>
        <v>96118.12</v>
      </c>
      <c r="C307" s="20">
        <f ca="1"/>
        <v>97046.59</v>
      </c>
      <c r="D307" s="20">
        <f ca="1"/>
        <v>95205</v>
      </c>
      <c r="E307" s="20">
        <f ca="1"/>
        <v>95780</v>
      </c>
      <c r="F307" s="3">
        <f ca="1"/>
        <v>16492.045099999999</v>
      </c>
      <c r="G307" s="10">
        <f ca="1"/>
        <v>45706.229166655095</v>
      </c>
      <c r="H307" s="3">
        <f ca="1"/>
        <v>1584593526.1754677</v>
      </c>
      <c r="I307" s="3">
        <f ca="1"/>
        <v>2831237</v>
      </c>
      <c r="J307" s="3">
        <f ca="1"/>
        <v>8010.4156499999999</v>
      </c>
      <c r="K307" s="3">
        <f ca="1"/>
        <v>769979077.13619733</v>
      </c>
    </row>
    <row r="308" spans="1:11" x14ac:dyDescent="0.3">
      <c r="A308" s="10">
        <f ca="1"/>
        <v>45704.229166666664</v>
      </c>
      <c r="B308" s="20">
        <f ca="1"/>
        <v>97569.67</v>
      </c>
      <c r="C308" s="20">
        <f ca="1"/>
        <v>97704.47</v>
      </c>
      <c r="D308" s="20">
        <f ca="1"/>
        <v>96046.18</v>
      </c>
      <c r="E308" s="20">
        <f ca="1"/>
        <v>96118.12</v>
      </c>
      <c r="F308" s="3">
        <f ca="1"/>
        <v>8191.4249</v>
      </c>
      <c r="G308" s="10">
        <f ca="1"/>
        <v>45705.229166655095</v>
      </c>
      <c r="H308" s="3">
        <f ca="1"/>
        <v>794694242.29497325</v>
      </c>
      <c r="I308" s="3">
        <f ca="1"/>
        <v>1596701</v>
      </c>
      <c r="J308" s="3">
        <f ca="1"/>
        <v>3719.73063</v>
      </c>
      <c r="K308" s="3">
        <f ca="1"/>
        <v>360842416.66441667</v>
      </c>
    </row>
    <row r="309" spans="1:11" x14ac:dyDescent="0.3">
      <c r="A309" s="10">
        <f ca="1"/>
        <v>45703.229166666664</v>
      </c>
      <c r="B309" s="20">
        <f ca="1"/>
        <v>97500.47</v>
      </c>
      <c r="C309" s="20">
        <f ca="1"/>
        <v>97972.26</v>
      </c>
      <c r="D309" s="20">
        <f ca="1"/>
        <v>97223.58</v>
      </c>
      <c r="E309" s="20">
        <f ca="1"/>
        <v>97569.66</v>
      </c>
      <c r="F309" s="3">
        <f ca="1"/>
        <v>7349.3768300000002</v>
      </c>
      <c r="G309" s="10">
        <f ca="1"/>
        <v>45704.229166655095</v>
      </c>
      <c r="H309" s="3">
        <f ca="1"/>
        <v>717245393.77809203</v>
      </c>
      <c r="I309" s="3">
        <f ca="1"/>
        <v>1694327</v>
      </c>
      <c r="J309" s="3">
        <f ca="1"/>
        <v>3579.1420199999998</v>
      </c>
      <c r="K309" s="3">
        <f ca="1"/>
        <v>349322778.2339769</v>
      </c>
    </row>
    <row r="310" spans="1:11" x14ac:dyDescent="0.3">
      <c r="A310" s="10">
        <f ca="1"/>
        <v>45702.229166666664</v>
      </c>
      <c r="B310" s="20">
        <f ca="1"/>
        <v>96608.13</v>
      </c>
      <c r="C310" s="20">
        <f ca="1"/>
        <v>98826</v>
      </c>
      <c r="D310" s="20">
        <f ca="1"/>
        <v>96252.82</v>
      </c>
      <c r="E310" s="20">
        <f ca="1"/>
        <v>97500.479999999996</v>
      </c>
      <c r="F310" s="3">
        <f ca="1"/>
        <v>18173.026460000001</v>
      </c>
      <c r="G310" s="10">
        <f ca="1"/>
        <v>45703.229166655095</v>
      </c>
      <c r="H310" s="3">
        <f ca="1"/>
        <v>1768073218.8690155</v>
      </c>
      <c r="I310" s="3">
        <f ca="1"/>
        <v>3499564</v>
      </c>
      <c r="J310" s="3">
        <f ca="1"/>
        <v>9061.31682</v>
      </c>
      <c r="K310" s="3">
        <f ca="1"/>
        <v>881925349.64442134</v>
      </c>
    </row>
    <row r="311" spans="1:11" x14ac:dyDescent="0.3">
      <c r="A311" s="10">
        <f ca="1"/>
        <v>45701.229166666664</v>
      </c>
      <c r="B311" s="20">
        <f ca="1"/>
        <v>97870</v>
      </c>
      <c r="C311" s="20">
        <f ca="1"/>
        <v>98083.91</v>
      </c>
      <c r="D311" s="20">
        <f ca="1"/>
        <v>95217.36</v>
      </c>
      <c r="E311" s="20">
        <f ca="1"/>
        <v>96608.14</v>
      </c>
      <c r="F311" s="3">
        <f ca="1"/>
        <v>19921.776160000001</v>
      </c>
      <c r="G311" s="10">
        <f ca="1"/>
        <v>45702.229166655095</v>
      </c>
      <c r="H311" s="3">
        <f ca="1"/>
        <v>1916988246.3921187</v>
      </c>
      <c r="I311" s="3">
        <f ca="1"/>
        <v>3909456</v>
      </c>
      <c r="J311" s="3">
        <f ca="1"/>
        <v>8852.1621500000001</v>
      </c>
      <c r="K311" s="3">
        <f ca="1"/>
        <v>851823567.09393466</v>
      </c>
    </row>
    <row r="312" spans="1:11" x14ac:dyDescent="0.3">
      <c r="A312" s="10">
        <f ca="1"/>
        <v>45700.229166666664</v>
      </c>
      <c r="B312" s="20">
        <f ca="1"/>
        <v>95778.21</v>
      </c>
      <c r="C312" s="20">
        <f ca="1"/>
        <v>98119.99</v>
      </c>
      <c r="D312" s="20">
        <f ca="1"/>
        <v>94088.23</v>
      </c>
      <c r="E312" s="20">
        <f ca="1"/>
        <v>97869.99</v>
      </c>
      <c r="F312" s="3">
        <f ca="1"/>
        <v>29151.166249999998</v>
      </c>
      <c r="G312" s="10">
        <f ca="1"/>
        <v>45701.229166655095</v>
      </c>
      <c r="H312" s="3">
        <f ca="1"/>
        <v>2800142168.3943653</v>
      </c>
      <c r="I312" s="3">
        <f ca="1"/>
        <v>4992737</v>
      </c>
      <c r="J312" s="3">
        <f ca="1"/>
        <v>13820.705529999999</v>
      </c>
      <c r="K312" s="3">
        <f ca="1"/>
        <v>1328044257.0401335</v>
      </c>
    </row>
    <row r="313" spans="1:11" x14ac:dyDescent="0.3">
      <c r="A313" s="10">
        <f ca="1"/>
        <v>45699.229166666664</v>
      </c>
      <c r="B313" s="20">
        <f ca="1"/>
        <v>97430.82</v>
      </c>
      <c r="C313" s="20">
        <f ca="1"/>
        <v>98478.42</v>
      </c>
      <c r="D313" s="20">
        <f ca="1"/>
        <v>94876.88</v>
      </c>
      <c r="E313" s="20">
        <f ca="1"/>
        <v>95778.2</v>
      </c>
      <c r="F313" s="3">
        <f ca="1"/>
        <v>18647.763790000001</v>
      </c>
      <c r="G313" s="10">
        <f ca="1"/>
        <v>45700.229166655095</v>
      </c>
      <c r="H313" s="3">
        <f ca="1"/>
        <v>1806534846.3863194</v>
      </c>
      <c r="I313" s="3">
        <f ca="1"/>
        <v>3716586</v>
      </c>
      <c r="J313" s="3">
        <f ca="1"/>
        <v>8594.5006599999997</v>
      </c>
      <c r="K313" s="3">
        <f ca="1"/>
        <v>832320054.87637162</v>
      </c>
    </row>
    <row r="314" spans="1:11" x14ac:dyDescent="0.3">
      <c r="A314" s="10">
        <f ca="1"/>
        <v>45698.229166666664</v>
      </c>
      <c r="B314" s="20">
        <f ca="1"/>
        <v>96462.75</v>
      </c>
      <c r="C314" s="20">
        <f ca="1"/>
        <v>98345</v>
      </c>
      <c r="D314" s="20">
        <f ca="1"/>
        <v>95256</v>
      </c>
      <c r="E314" s="20">
        <f ca="1"/>
        <v>97430.82</v>
      </c>
      <c r="F314" s="3">
        <f ca="1"/>
        <v>20572.875370000002</v>
      </c>
      <c r="G314" s="10">
        <f ca="1"/>
        <v>45699.229166655095</v>
      </c>
      <c r="H314" s="3">
        <f ca="1"/>
        <v>1999112052.6687863</v>
      </c>
      <c r="I314" s="3">
        <f ca="1"/>
        <v>3475919</v>
      </c>
      <c r="J314" s="3">
        <f ca="1"/>
        <v>9607.6232899999995</v>
      </c>
      <c r="K314" s="3">
        <f ca="1"/>
        <v>933665618.50501907</v>
      </c>
    </row>
    <row r="315" spans="1:11" x14ac:dyDescent="0.3">
      <c r="A315" s="10">
        <f ca="1"/>
        <v>45697.229166666664</v>
      </c>
      <c r="B315" s="20">
        <f ca="1"/>
        <v>96444.75</v>
      </c>
      <c r="C315" s="20">
        <f ca="1"/>
        <v>97323.09</v>
      </c>
      <c r="D315" s="20">
        <f ca="1"/>
        <v>94713</v>
      </c>
      <c r="E315" s="20">
        <f ca="1"/>
        <v>96462.75</v>
      </c>
      <c r="F315" s="3">
        <f ca="1"/>
        <v>14120.91613</v>
      </c>
      <c r="G315" s="10">
        <f ca="1"/>
        <v>45698.229166655095</v>
      </c>
      <c r="H315" s="3">
        <f ca="1"/>
        <v>1359495152.3107975</v>
      </c>
      <c r="I315" s="3">
        <f ca="1"/>
        <v>2293192</v>
      </c>
      <c r="J315" s="3">
        <f ca="1"/>
        <v>6663.7287500000002</v>
      </c>
      <c r="K315" s="3">
        <f ca="1"/>
        <v>641795598.17527616</v>
      </c>
    </row>
    <row r="316" spans="1:11" x14ac:dyDescent="0.3">
      <c r="A316" s="10">
        <f ca="1"/>
        <v>45696.229166666664</v>
      </c>
      <c r="B316" s="20">
        <f ca="1"/>
        <v>96506.8</v>
      </c>
      <c r="C316" s="20">
        <f ca="1"/>
        <v>96880</v>
      </c>
      <c r="D316" s="20">
        <f ca="1"/>
        <v>95688</v>
      </c>
      <c r="E316" s="20">
        <f ca="1"/>
        <v>96444.74</v>
      </c>
      <c r="F316" s="3">
        <f ca="1"/>
        <v>10147.24294</v>
      </c>
      <c r="G316" s="10">
        <f ca="1"/>
        <v>45697.229166655095</v>
      </c>
      <c r="H316" s="3">
        <f ca="1"/>
        <v>977040267.51586306</v>
      </c>
      <c r="I316" s="3">
        <f ca="1"/>
        <v>1757892</v>
      </c>
      <c r="J316" s="3">
        <f ca="1"/>
        <v>4450.52682</v>
      </c>
      <c r="K316" s="3">
        <f ca="1"/>
        <v>428452764.90474111</v>
      </c>
    </row>
    <row r="317" spans="1:11" x14ac:dyDescent="0.3">
      <c r="A317" s="10">
        <f ca="1"/>
        <v>45695.229166666664</v>
      </c>
      <c r="B317" s="20">
        <f ca="1"/>
        <v>96554.35</v>
      </c>
      <c r="C317" s="20">
        <f ca="1"/>
        <v>100137.99</v>
      </c>
      <c r="D317" s="20">
        <f ca="1"/>
        <v>95620.34</v>
      </c>
      <c r="E317" s="20">
        <f ca="1"/>
        <v>96506.8</v>
      </c>
      <c r="F317" s="3">
        <f ca="1"/>
        <v>31794.220649999999</v>
      </c>
      <c r="G317" s="10">
        <f ca="1"/>
        <v>45696.229166655095</v>
      </c>
      <c r="H317" s="3">
        <f ca="1"/>
        <v>3107592434.6738343</v>
      </c>
      <c r="I317" s="3">
        <f ca="1"/>
        <v>5012456</v>
      </c>
      <c r="J317" s="3">
        <f ca="1"/>
        <v>15249.3537</v>
      </c>
      <c r="K317" s="3">
        <f ca="1"/>
        <v>1491114588.5598519</v>
      </c>
    </row>
    <row r="318" spans="1:11" x14ac:dyDescent="0.3">
      <c r="A318" s="10">
        <f ca="1"/>
        <v>45694.229166666664</v>
      </c>
      <c r="B318" s="20">
        <f ca="1"/>
        <v>96612.44</v>
      </c>
      <c r="C318" s="20">
        <f ca="1"/>
        <v>99120</v>
      </c>
      <c r="D318" s="20">
        <f ca="1"/>
        <v>95676.64</v>
      </c>
      <c r="E318" s="20">
        <f ca="1"/>
        <v>96554.35</v>
      </c>
      <c r="F318" s="3">
        <f ca="1"/>
        <v>23515.20405</v>
      </c>
      <c r="G318" s="10">
        <f ca="1"/>
        <v>45695.229166655095</v>
      </c>
      <c r="H318" s="3">
        <f ca="1"/>
        <v>2289071921.2175603</v>
      </c>
      <c r="I318" s="3">
        <f ca="1"/>
        <v>4242807</v>
      </c>
      <c r="J318" s="3">
        <f ca="1"/>
        <v>11261.530489999999</v>
      </c>
      <c r="K318" s="3">
        <f ca="1"/>
        <v>1096611639.376009</v>
      </c>
    </row>
    <row r="319" spans="1:11" x14ac:dyDescent="0.3">
      <c r="A319" s="10">
        <f ca="1"/>
        <v>45693.229166666664</v>
      </c>
      <c r="B319" s="20">
        <f ca="1"/>
        <v>97763.14</v>
      </c>
      <c r="C319" s="20">
        <f ca="1"/>
        <v>99149</v>
      </c>
      <c r="D319" s="20">
        <f ca="1"/>
        <v>96155</v>
      </c>
      <c r="E319" s="20">
        <f ca="1"/>
        <v>96612.43</v>
      </c>
      <c r="F319" s="3">
        <f ca="1"/>
        <v>26233.30444</v>
      </c>
      <c r="G319" s="10">
        <f ca="1"/>
        <v>45694.229166655095</v>
      </c>
      <c r="H319" s="3">
        <f ca="1"/>
        <v>2562342153.8296852</v>
      </c>
      <c r="I319" s="3">
        <f ca="1"/>
        <v>4471763</v>
      </c>
      <c r="J319" s="3">
        <f ca="1"/>
        <v>11032.551740000001</v>
      </c>
      <c r="K319" s="3">
        <f ca="1"/>
        <v>1078316288.1425588</v>
      </c>
    </row>
    <row r="320" spans="1:11" x14ac:dyDescent="0.3">
      <c r="A320" s="10">
        <f ca="1"/>
        <v>45692.229166666664</v>
      </c>
      <c r="B320" s="20">
        <f ca="1"/>
        <v>101328.51</v>
      </c>
      <c r="C320" s="20">
        <f ca="1"/>
        <v>101732.31</v>
      </c>
      <c r="D320" s="20">
        <f ca="1"/>
        <v>96150</v>
      </c>
      <c r="E320" s="20">
        <f ca="1"/>
        <v>97763.13</v>
      </c>
      <c r="F320" s="3">
        <f ca="1"/>
        <v>40267.986969999998</v>
      </c>
      <c r="G320" s="10">
        <f ca="1"/>
        <v>45693.229166655095</v>
      </c>
      <c r="H320" s="3">
        <f ca="1"/>
        <v>3989698644.2649307</v>
      </c>
      <c r="I320" s="3">
        <f ca="1"/>
        <v>6618911</v>
      </c>
      <c r="J320" s="3">
        <f ca="1"/>
        <v>19091.581539999999</v>
      </c>
      <c r="K320" s="3">
        <f ca="1"/>
        <v>1891457194.359833</v>
      </c>
    </row>
    <row r="321" spans="1:11" x14ac:dyDescent="0.3">
      <c r="A321" s="10">
        <f ca="1"/>
        <v>45691.229166666664</v>
      </c>
      <c r="B321" s="20">
        <f ca="1"/>
        <v>97700.59</v>
      </c>
      <c r="C321" s="20">
        <f ca="1"/>
        <v>102500.01</v>
      </c>
      <c r="D321" s="20">
        <f ca="1"/>
        <v>91231</v>
      </c>
      <c r="E321" s="20">
        <f ca="1"/>
        <v>101328.52</v>
      </c>
      <c r="F321" s="3">
        <f ca="1"/>
        <v>75164.738500000007</v>
      </c>
      <c r="G321" s="10">
        <f ca="1"/>
        <v>45692.229166655095</v>
      </c>
      <c r="H321" s="3">
        <f ca="1"/>
        <v>7228589180.7116213</v>
      </c>
      <c r="I321" s="3">
        <f ca="1"/>
        <v>10625262</v>
      </c>
      <c r="J321" s="3">
        <f ca="1"/>
        <v>36736.569459999999</v>
      </c>
      <c r="K321" s="3">
        <f ca="1"/>
        <v>3537845694.481266</v>
      </c>
    </row>
    <row r="322" spans="1:11" x14ac:dyDescent="0.3">
      <c r="A322" s="10">
        <f ca="1"/>
        <v>45690.229166666664</v>
      </c>
      <c r="B322" s="20">
        <f ca="1"/>
        <v>100635.66</v>
      </c>
      <c r="C322" s="20">
        <f ca="1"/>
        <v>101456.6</v>
      </c>
      <c r="D322" s="20">
        <f ca="1"/>
        <v>96150</v>
      </c>
      <c r="E322" s="20">
        <f ca="1"/>
        <v>97700.59</v>
      </c>
      <c r="F322" s="3">
        <f ca="1"/>
        <v>34619.499389999997</v>
      </c>
      <c r="G322" s="10">
        <f ca="1"/>
        <v>45691.229166655095</v>
      </c>
      <c r="H322" s="3">
        <f ca="1"/>
        <v>3412084312.5836277</v>
      </c>
      <c r="I322" s="3">
        <f ca="1"/>
        <v>7202339</v>
      </c>
      <c r="J322" s="3">
        <f ca="1"/>
        <v>15587.16669</v>
      </c>
      <c r="K322" s="3">
        <f ca="1"/>
        <v>1536076091.3030133</v>
      </c>
    </row>
    <row r="323" spans="1:11" x14ac:dyDescent="0.3">
      <c r="A323" s="10">
        <f ca="1"/>
        <v>45689.229166666664</v>
      </c>
      <c r="B323" s="20">
        <f ca="1"/>
        <v>102429.56</v>
      </c>
      <c r="C323" s="20">
        <f ca="1"/>
        <v>102783.71</v>
      </c>
      <c r="D323" s="20">
        <f ca="1"/>
        <v>100279.51</v>
      </c>
      <c r="E323" s="20">
        <f ca="1"/>
        <v>100635.65</v>
      </c>
      <c r="F323" s="3">
        <f ca="1"/>
        <v>12290.957469999999</v>
      </c>
      <c r="G323" s="10">
        <f ca="1"/>
        <v>45690.229166655095</v>
      </c>
      <c r="H323" s="3">
        <f ca="1"/>
        <v>1250354228.2372296</v>
      </c>
      <c r="I323" s="3">
        <f ca="1"/>
        <v>2588786</v>
      </c>
      <c r="J323" s="3">
        <f ca="1"/>
        <v>5625.8933100000004</v>
      </c>
      <c r="K323" s="3">
        <f ca="1"/>
        <v>572540016.14901114</v>
      </c>
    </row>
    <row r="324" spans="1:11" x14ac:dyDescent="0.3">
      <c r="A324" s="10">
        <f ca="1"/>
        <v>45688.229166666664</v>
      </c>
      <c r="B324" s="20">
        <f ca="1"/>
        <v>104722.94</v>
      </c>
      <c r="C324" s="20">
        <f ca="1"/>
        <v>106012</v>
      </c>
      <c r="D324" s="20">
        <f ca="1"/>
        <v>101560</v>
      </c>
      <c r="E324" s="20">
        <f ca="1"/>
        <v>102429.56</v>
      </c>
      <c r="F324" s="3">
        <f ca="1"/>
        <v>21983.181929999999</v>
      </c>
      <c r="G324" s="10">
        <f ca="1"/>
        <v>45689.229166655095</v>
      </c>
      <c r="H324" s="3">
        <f ca="1"/>
        <v>2282174002.1952176</v>
      </c>
      <c r="I324" s="3">
        <f ca="1"/>
        <v>4331904</v>
      </c>
      <c r="J324" s="3">
        <f ca="1"/>
        <v>10697.39968</v>
      </c>
      <c r="K324" s="3">
        <f ca="1"/>
        <v>1111485874.1292844</v>
      </c>
    </row>
    <row r="325" spans="1:11" x14ac:dyDescent="0.3">
      <c r="A325" s="10">
        <f ca="1"/>
        <v>45687.229166666664</v>
      </c>
      <c r="B325" s="20">
        <f ca="1"/>
        <v>103733.25</v>
      </c>
      <c r="C325" s="20">
        <f ca="1"/>
        <v>106457.44</v>
      </c>
      <c r="D325" s="20">
        <f ca="1"/>
        <v>103278.54</v>
      </c>
      <c r="E325" s="20">
        <f ca="1"/>
        <v>104722.94</v>
      </c>
      <c r="F325" s="3">
        <f ca="1"/>
        <v>19374.074720000001</v>
      </c>
      <c r="G325" s="10">
        <f ca="1"/>
        <v>45688.229166655095</v>
      </c>
      <c r="H325" s="3">
        <f ca="1"/>
        <v>2038112603.5126412</v>
      </c>
      <c r="I325" s="3">
        <f ca="1"/>
        <v>3990075</v>
      </c>
      <c r="J325" s="3">
        <f ca="1"/>
        <v>10140.92834</v>
      </c>
      <c r="K325" s="3">
        <f ca="1"/>
        <v>1066933244.9920207</v>
      </c>
    </row>
    <row r="326" spans="1:11" x14ac:dyDescent="0.3">
      <c r="A326" s="10">
        <f ca="1"/>
        <v>45686.229166666664</v>
      </c>
      <c r="B326" s="20">
        <f ca="1"/>
        <v>101335.52</v>
      </c>
      <c r="C326" s="20">
        <f ca="1"/>
        <v>104782.68</v>
      </c>
      <c r="D326" s="20">
        <f ca="1"/>
        <v>101328.01</v>
      </c>
      <c r="E326" s="20">
        <f ca="1"/>
        <v>103733.24</v>
      </c>
      <c r="F326" s="3">
        <f ca="1"/>
        <v>23155.35802</v>
      </c>
      <c r="G326" s="10">
        <f ca="1"/>
        <v>45687.229166655095</v>
      </c>
      <c r="H326" s="3">
        <f ca="1"/>
        <v>2380383694.7721362</v>
      </c>
      <c r="I326" s="3">
        <f ca="1"/>
        <v>5189699</v>
      </c>
      <c r="J326" s="3">
        <f ca="1"/>
        <v>11675.17182</v>
      </c>
      <c r="K326" s="3">
        <f ca="1"/>
        <v>1200636637.8143668</v>
      </c>
    </row>
    <row r="327" spans="1:11" x14ac:dyDescent="0.3">
      <c r="A327" s="10">
        <f ca="1"/>
        <v>45685.229166666664</v>
      </c>
      <c r="B327" s="20">
        <f ca="1"/>
        <v>102082.83</v>
      </c>
      <c r="C327" s="20">
        <f ca="1"/>
        <v>103800</v>
      </c>
      <c r="D327" s="20">
        <f ca="1"/>
        <v>100272.68</v>
      </c>
      <c r="E327" s="20">
        <f ca="1"/>
        <v>101335.52</v>
      </c>
      <c r="F327" s="3">
        <f ca="1"/>
        <v>22022.057649999999</v>
      </c>
      <c r="G327" s="10">
        <f ca="1"/>
        <v>45686.229166655095</v>
      </c>
      <c r="H327" s="3">
        <f ca="1"/>
        <v>2253977324.0362091</v>
      </c>
      <c r="I327" s="3">
        <f ca="1"/>
        <v>5428644</v>
      </c>
      <c r="J327" s="3">
        <f ca="1"/>
        <v>10756.64741</v>
      </c>
      <c r="K327" s="3">
        <f ca="1"/>
        <v>1101357650.2919877</v>
      </c>
    </row>
    <row r="328" spans="1:11" x14ac:dyDescent="0.3">
      <c r="A328" s="10">
        <f ca="1"/>
        <v>45684.229166666664</v>
      </c>
      <c r="B328" s="20">
        <f ca="1"/>
        <v>102620.01</v>
      </c>
      <c r="C328" s="20">
        <f ca="1"/>
        <v>103260</v>
      </c>
      <c r="D328" s="20">
        <f ca="1"/>
        <v>97777.77</v>
      </c>
      <c r="E328" s="20">
        <f ca="1"/>
        <v>102082.83</v>
      </c>
      <c r="F328" s="3">
        <f ca="1"/>
        <v>50758.134100000003</v>
      </c>
      <c r="G328" s="10">
        <f ca="1"/>
        <v>45685.229166655095</v>
      </c>
      <c r="H328" s="3">
        <f ca="1"/>
        <v>5092886322.8292437</v>
      </c>
      <c r="I328" s="3">
        <f ca="1"/>
        <v>9368910</v>
      </c>
      <c r="J328" s="3">
        <f ca="1"/>
        <v>23529.224330000001</v>
      </c>
      <c r="K328" s="3">
        <f ca="1"/>
        <v>2361569760.8418937</v>
      </c>
    </row>
    <row r="329" spans="1:11" x14ac:dyDescent="0.3">
      <c r="A329" s="10">
        <f ca="1"/>
        <v>45683.229166666664</v>
      </c>
      <c r="B329" s="20">
        <f ca="1"/>
        <v>104746.86</v>
      </c>
      <c r="C329" s="20">
        <f ca="1"/>
        <v>105500</v>
      </c>
      <c r="D329" s="20">
        <f ca="1"/>
        <v>102520.44</v>
      </c>
      <c r="E329" s="20">
        <f ca="1"/>
        <v>102620</v>
      </c>
      <c r="F329" s="3">
        <f ca="1"/>
        <v>9812.5123800000001</v>
      </c>
      <c r="G329" s="10">
        <f ca="1"/>
        <v>45684.229166655095</v>
      </c>
      <c r="H329" s="3">
        <f ca="1"/>
        <v>1024352365.4715523</v>
      </c>
      <c r="I329" s="3">
        <f ca="1"/>
        <v>1813011</v>
      </c>
      <c r="J329" s="3">
        <f ca="1"/>
        <v>4642.1724700000004</v>
      </c>
      <c r="K329" s="3">
        <f ca="1"/>
        <v>484871090.33614969</v>
      </c>
    </row>
    <row r="330" spans="1:11" x14ac:dyDescent="0.3">
      <c r="A330" s="10">
        <f ca="1"/>
        <v>45682.229166666664</v>
      </c>
      <c r="B330" s="20">
        <f ca="1"/>
        <v>104870.51</v>
      </c>
      <c r="C330" s="20">
        <f ca="1"/>
        <v>105286.52</v>
      </c>
      <c r="D330" s="20">
        <f ca="1"/>
        <v>104106.09</v>
      </c>
      <c r="E330" s="20">
        <f ca="1"/>
        <v>104746.85</v>
      </c>
      <c r="F330" s="3">
        <f ca="1"/>
        <v>9068.3237700000009</v>
      </c>
      <c r="G330" s="10">
        <f ca="1"/>
        <v>45683.229166655095</v>
      </c>
      <c r="H330" s="3">
        <f ca="1"/>
        <v>949511531.35780168</v>
      </c>
      <c r="I330" s="3">
        <f ca="1"/>
        <v>1770765</v>
      </c>
      <c r="J330" s="3">
        <f ca="1"/>
        <v>4462.6043799999998</v>
      </c>
      <c r="K330" s="3">
        <f ca="1"/>
        <v>467284996.37609661</v>
      </c>
    </row>
    <row r="331" spans="1:11" x14ac:dyDescent="0.3">
      <c r="A331" s="10">
        <f ca="1"/>
        <v>45681.229166666664</v>
      </c>
      <c r="B331" s="20">
        <f ca="1"/>
        <v>103910.35</v>
      </c>
      <c r="C331" s="20">
        <f ca="1"/>
        <v>107120</v>
      </c>
      <c r="D331" s="20">
        <f ca="1"/>
        <v>102750</v>
      </c>
      <c r="E331" s="20">
        <f ca="1"/>
        <v>104870.5</v>
      </c>
      <c r="F331" s="3">
        <f ca="1"/>
        <v>23609.240170000001</v>
      </c>
      <c r="G331" s="10">
        <f ca="1"/>
        <v>45682.229166655095</v>
      </c>
      <c r="H331" s="3">
        <f ca="1"/>
        <v>2483818574.3737478</v>
      </c>
      <c r="I331" s="3">
        <f ca="1"/>
        <v>4798886</v>
      </c>
      <c r="J331" s="3">
        <f ca="1"/>
        <v>11893.460499999999</v>
      </c>
      <c r="K331" s="3">
        <f ca="1"/>
        <v>1251601023.3484685</v>
      </c>
    </row>
    <row r="332" spans="1:11" x14ac:dyDescent="0.3">
      <c r="A332" s="10">
        <f ca="1"/>
        <v>45680.229166666664</v>
      </c>
      <c r="B332" s="20">
        <f ca="1"/>
        <v>103706.66</v>
      </c>
      <c r="C332" s="20">
        <f ca="1"/>
        <v>106850</v>
      </c>
      <c r="D332" s="20">
        <f ca="1"/>
        <v>101262.28</v>
      </c>
      <c r="E332" s="20">
        <f ca="1"/>
        <v>103910.34</v>
      </c>
      <c r="F332" s="3">
        <f ca="1"/>
        <v>53953.120309999998</v>
      </c>
      <c r="G332" s="10">
        <f ca="1"/>
        <v>45681.229166655095</v>
      </c>
      <c r="H332" s="3">
        <f ca="1"/>
        <v>5610760848.1316385</v>
      </c>
      <c r="I332" s="3">
        <f ca="1"/>
        <v>6961383</v>
      </c>
      <c r="J332" s="3">
        <f ca="1"/>
        <v>27045.926459999999</v>
      </c>
      <c r="K332" s="3">
        <f ca="1"/>
        <v>2813824950.5718837</v>
      </c>
    </row>
    <row r="333" spans="1:11" x14ac:dyDescent="0.3">
      <c r="A333" s="10">
        <f ca="1"/>
        <v>45679.229166666664</v>
      </c>
      <c r="B333" s="20">
        <f ca="1"/>
        <v>106143.82</v>
      </c>
      <c r="C333" s="20">
        <f ca="1"/>
        <v>106394.46</v>
      </c>
      <c r="D333" s="20">
        <f ca="1"/>
        <v>103339.12</v>
      </c>
      <c r="E333" s="20">
        <f ca="1"/>
        <v>103706.66</v>
      </c>
      <c r="F333" s="3">
        <f ca="1"/>
        <v>22248.69254</v>
      </c>
      <c r="G333" s="10">
        <f ca="1"/>
        <v>45680.229166655095</v>
      </c>
      <c r="H333" s="3">
        <f ca="1"/>
        <v>2331144640.6585789</v>
      </c>
      <c r="I333" s="3">
        <f ca="1"/>
        <v>4364035</v>
      </c>
      <c r="J333" s="3">
        <f ca="1"/>
        <v>10501.593059999999</v>
      </c>
      <c r="K333" s="3">
        <f ca="1"/>
        <v>1100173331.9876585</v>
      </c>
    </row>
    <row r="334" spans="1:11" x14ac:dyDescent="0.3">
      <c r="A334" s="10">
        <f ca="1"/>
        <v>45678.229166666664</v>
      </c>
      <c r="B334" s="20">
        <f ca="1"/>
        <v>102260</v>
      </c>
      <c r="C334" s="20">
        <f ca="1"/>
        <v>107240.81</v>
      </c>
      <c r="D334" s="20">
        <f ca="1"/>
        <v>100119.03999999999</v>
      </c>
      <c r="E334" s="20">
        <f ca="1"/>
        <v>106143.82</v>
      </c>
      <c r="F334" s="3">
        <f ca="1"/>
        <v>45941.020020000004</v>
      </c>
      <c r="G334" s="10">
        <f ca="1"/>
        <v>45679.229166655095</v>
      </c>
      <c r="H334" s="3">
        <f ca="1"/>
        <v>4768512258.1565018</v>
      </c>
      <c r="I334" s="3">
        <f ca="1"/>
        <v>6842980</v>
      </c>
      <c r="J334" s="3">
        <f ca="1"/>
        <v>23227.027409999999</v>
      </c>
      <c r="K334" s="3">
        <f ca="1"/>
        <v>2411854258.5127187</v>
      </c>
    </row>
    <row r="335" spans="1:11" x14ac:dyDescent="0.3">
      <c r="A335" s="10">
        <f ca="1"/>
        <v>45677.229166666664</v>
      </c>
      <c r="B335" s="20">
        <f ca="1"/>
        <v>101331.57</v>
      </c>
      <c r="C335" s="20">
        <f ca="1"/>
        <v>109588</v>
      </c>
      <c r="D335" s="20">
        <f ca="1"/>
        <v>99550</v>
      </c>
      <c r="E335" s="20">
        <f ca="1"/>
        <v>102260.01</v>
      </c>
      <c r="F335" s="3">
        <f ca="1"/>
        <v>89529.231732</v>
      </c>
      <c r="G335" s="10">
        <f ca="1"/>
        <v>45678.229166655095</v>
      </c>
      <c r="H335" s="3">
        <f ca="1"/>
        <v>9398787064.320715</v>
      </c>
      <c r="I335" s="3">
        <f ca="1"/>
        <v>11597937</v>
      </c>
      <c r="J335" s="3">
        <f ca="1"/>
        <v>44770.529492000001</v>
      </c>
      <c r="K335" s="3">
        <f ca="1"/>
        <v>4704453254.5153828</v>
      </c>
    </row>
    <row r="336" spans="1:11" x14ac:dyDescent="0.3">
      <c r="A336" s="10">
        <f ca="1"/>
        <v>45676.229166666664</v>
      </c>
      <c r="B336" s="20">
        <f ca="1"/>
        <v>104556.23</v>
      </c>
      <c r="C336" s="20">
        <f ca="1"/>
        <v>106422.43</v>
      </c>
      <c r="D336" s="20">
        <f ca="1"/>
        <v>99651.6</v>
      </c>
      <c r="E336" s="20">
        <f ca="1"/>
        <v>101331.57</v>
      </c>
      <c r="F336" s="3">
        <f ca="1"/>
        <v>43397.282980000004</v>
      </c>
      <c r="G336" s="10">
        <f ca="1"/>
        <v>45677.229166655095</v>
      </c>
      <c r="H336" s="3">
        <f ca="1"/>
        <v>4513423971.4102526</v>
      </c>
      <c r="I336" s="3">
        <f ca="1"/>
        <v>5271920</v>
      </c>
      <c r="J336" s="3">
        <f ca="1"/>
        <v>21079.51082</v>
      </c>
      <c r="K336" s="3">
        <f ca="1"/>
        <v>2193270771.0019445</v>
      </c>
    </row>
    <row r="337" spans="1:11" x14ac:dyDescent="0.3">
      <c r="A337" s="10">
        <f ca="1"/>
        <v>45675.229166666664</v>
      </c>
      <c r="B337" s="20">
        <f ca="1"/>
        <v>104077.47</v>
      </c>
      <c r="C337" s="20">
        <f ca="1"/>
        <v>104988.88</v>
      </c>
      <c r="D337" s="20">
        <f ca="1"/>
        <v>102277.55</v>
      </c>
      <c r="E337" s="20">
        <f ca="1"/>
        <v>104556.23</v>
      </c>
      <c r="F337" s="3">
        <f ca="1"/>
        <v>24307.829979999999</v>
      </c>
      <c r="G337" s="10">
        <f ca="1"/>
        <v>45676.229166655095</v>
      </c>
      <c r="H337" s="3">
        <f ca="1"/>
        <v>2521522119.3795252</v>
      </c>
      <c r="I337" s="3">
        <f ca="1"/>
        <v>3403162</v>
      </c>
      <c r="J337" s="3">
        <f ca="1"/>
        <v>11607.51274</v>
      </c>
      <c r="K337" s="3">
        <f ca="1"/>
        <v>1204170928.3748119</v>
      </c>
    </row>
    <row r="338" spans="1:11" x14ac:dyDescent="0.3">
      <c r="A338" s="10">
        <f ca="1"/>
        <v>45674.229166666664</v>
      </c>
      <c r="B338" s="20">
        <f ca="1"/>
        <v>99987.3</v>
      </c>
      <c r="C338" s="20">
        <f ca="1"/>
        <v>105865.22</v>
      </c>
      <c r="D338" s="20">
        <f ca="1"/>
        <v>99950.77</v>
      </c>
      <c r="E338" s="20">
        <f ca="1"/>
        <v>104077.48</v>
      </c>
      <c r="F338" s="3">
        <f ca="1"/>
        <v>39171.852919999998</v>
      </c>
      <c r="G338" s="10">
        <f ca="1"/>
        <v>45675.229166655095</v>
      </c>
      <c r="H338" s="3">
        <f ca="1"/>
        <v>4040993985.4750466</v>
      </c>
      <c r="I338" s="3">
        <f ca="1"/>
        <v>3886907</v>
      </c>
      <c r="J338" s="3">
        <f ca="1"/>
        <v>20673.213</v>
      </c>
      <c r="K338" s="3">
        <f ca="1"/>
        <v>2131223293.2048461</v>
      </c>
    </row>
    <row r="339" spans="1:11" x14ac:dyDescent="0.3">
      <c r="A339" s="10">
        <f ca="1"/>
        <v>45673.229166666664</v>
      </c>
      <c r="B339" s="20">
        <f ca="1"/>
        <v>100497.35</v>
      </c>
      <c r="C339" s="20">
        <f ca="1"/>
        <v>100866.66</v>
      </c>
      <c r="D339" s="20">
        <f ca="1"/>
        <v>97335.13</v>
      </c>
      <c r="E339" s="20">
        <f ca="1"/>
        <v>99987.3</v>
      </c>
      <c r="F339" s="3">
        <f ca="1"/>
        <v>27832.853169999998</v>
      </c>
      <c r="G339" s="10">
        <f ca="1"/>
        <v>45674.229166655095</v>
      </c>
      <c r="H339" s="3">
        <f ca="1"/>
        <v>2765162040.6397991</v>
      </c>
      <c r="I339" s="3">
        <f ca="1"/>
        <v>3762755</v>
      </c>
      <c r="J339" s="3">
        <f ca="1"/>
        <v>13513.53707</v>
      </c>
      <c r="K339" s="3">
        <f ca="1"/>
        <v>1342462621.6273284</v>
      </c>
    </row>
    <row r="340" spans="1:11" x14ac:dyDescent="0.3">
      <c r="A340" s="10">
        <f ca="1"/>
        <v>45672.229166666664</v>
      </c>
      <c r="B340" s="20">
        <f ca="1"/>
        <v>96560.85</v>
      </c>
      <c r="C340" s="20">
        <f ca="1"/>
        <v>100681.94</v>
      </c>
      <c r="D340" s="20">
        <f ca="1"/>
        <v>96500</v>
      </c>
      <c r="E340" s="20">
        <f ca="1"/>
        <v>100497.35</v>
      </c>
      <c r="F340" s="3">
        <f ca="1"/>
        <v>30509.99179</v>
      </c>
      <c r="G340" s="10">
        <f ca="1"/>
        <v>45673.229166655095</v>
      </c>
      <c r="H340" s="3">
        <f ca="1"/>
        <v>3006242382.8867946</v>
      </c>
      <c r="I340" s="3">
        <f ca="1"/>
        <v>3487945</v>
      </c>
      <c r="J340" s="3">
        <f ca="1"/>
        <v>15494.17873</v>
      </c>
      <c r="K340" s="3">
        <f ca="1"/>
        <v>1527728226.3083327</v>
      </c>
    </row>
    <row r="341" spans="1:11" x14ac:dyDescent="0.3">
      <c r="A341" s="10">
        <f ca="1"/>
        <v>45671.229166666664</v>
      </c>
      <c r="B341" s="20">
        <f ca="1"/>
        <v>94536.11</v>
      </c>
      <c r="C341" s="20">
        <f ca="1"/>
        <v>97371</v>
      </c>
      <c r="D341" s="20">
        <f ca="1"/>
        <v>94346.22</v>
      </c>
      <c r="E341" s="20">
        <f ca="1"/>
        <v>96560.86</v>
      </c>
      <c r="F341" s="3">
        <f ca="1"/>
        <v>27846.61753</v>
      </c>
      <c r="G341" s="10">
        <f ca="1"/>
        <v>45672.229166655095</v>
      </c>
      <c r="H341" s="3">
        <f ca="1"/>
        <v>2676048470.3569503</v>
      </c>
      <c r="I341" s="3">
        <f ca="1"/>
        <v>4532923</v>
      </c>
      <c r="J341" s="3">
        <f ca="1"/>
        <v>14248.69616</v>
      </c>
      <c r="K341" s="3">
        <f ca="1"/>
        <v>1369464111.693496</v>
      </c>
    </row>
    <row r="342" spans="1:11" x14ac:dyDescent="0.3">
      <c r="A342" s="10">
        <f ca="1"/>
        <v>45670.229166666664</v>
      </c>
      <c r="B342" s="20">
        <f ca="1"/>
        <v>94545.07</v>
      </c>
      <c r="C342" s="20">
        <f ca="1"/>
        <v>95940</v>
      </c>
      <c r="D342" s="20">
        <f ca="1"/>
        <v>89256.69</v>
      </c>
      <c r="E342" s="20">
        <f ca="1"/>
        <v>94536.1</v>
      </c>
      <c r="F342" s="3">
        <f ca="1"/>
        <v>42619.564230000004</v>
      </c>
      <c r="G342" s="10">
        <f ca="1"/>
        <v>45671.229166655095</v>
      </c>
      <c r="H342" s="3">
        <f ca="1"/>
        <v>3930666134.3474574</v>
      </c>
      <c r="I342" s="3">
        <f ca="1"/>
        <v>5740963</v>
      </c>
      <c r="J342" s="3">
        <f ca="1"/>
        <v>19473.880420000001</v>
      </c>
      <c r="K342" s="3">
        <f ca="1"/>
        <v>1797888178.8496079</v>
      </c>
    </row>
    <row r="343" spans="1:11" x14ac:dyDescent="0.3">
      <c r="A343" s="10">
        <f ca="1"/>
        <v>45669.229166666664</v>
      </c>
      <c r="B343" s="20">
        <f ca="1"/>
        <v>94599.99</v>
      </c>
      <c r="C343" s="20">
        <f ca="1"/>
        <v>95450.1</v>
      </c>
      <c r="D343" s="20">
        <f ca="1"/>
        <v>93711.19</v>
      </c>
      <c r="E343" s="20">
        <f ca="1"/>
        <v>94545.06</v>
      </c>
      <c r="F343" s="3">
        <f ca="1"/>
        <v>8606.8662199999999</v>
      </c>
      <c r="G343" s="10">
        <f ca="1"/>
        <v>45670.229166655095</v>
      </c>
      <c r="H343" s="3">
        <f ca="1"/>
        <v>813278829.65839493</v>
      </c>
      <c r="I343" s="3">
        <f ca="1"/>
        <v>1658863</v>
      </c>
      <c r="J343" s="3">
        <f ca="1"/>
        <v>4028.3303099999998</v>
      </c>
      <c r="K343" s="3">
        <f ca="1"/>
        <v>380691769.91844273</v>
      </c>
    </row>
    <row r="344" spans="1:11" x14ac:dyDescent="0.3">
      <c r="A344" s="10">
        <f ca="1"/>
        <v>45668.229166666664</v>
      </c>
      <c r="B344" s="20">
        <f ca="1"/>
        <v>94726.1</v>
      </c>
      <c r="C344" s="20">
        <f ca="1"/>
        <v>95050.94</v>
      </c>
      <c r="D344" s="20">
        <f ca="1"/>
        <v>93831.73</v>
      </c>
      <c r="E344" s="20">
        <f ca="1"/>
        <v>94599.99</v>
      </c>
      <c r="F344" s="3">
        <f ca="1"/>
        <v>7047.9043000000001</v>
      </c>
      <c r="G344" s="10">
        <f ca="1"/>
        <v>45669.229166655095</v>
      </c>
      <c r="H344" s="3">
        <f ca="1"/>
        <v>665685994.93300998</v>
      </c>
      <c r="I344" s="3">
        <f ca="1"/>
        <v>1496191</v>
      </c>
      <c r="J344" s="3">
        <f ca="1"/>
        <v>3412.37671</v>
      </c>
      <c r="K344" s="3">
        <f ca="1"/>
        <v>322346977.43545532</v>
      </c>
    </row>
    <row r="345" spans="1:11" x14ac:dyDescent="0.3">
      <c r="A345" s="10">
        <f ca="1"/>
        <v>45667.229166666664</v>
      </c>
      <c r="B345" s="20">
        <f ca="1"/>
        <v>92552.49</v>
      </c>
      <c r="C345" s="20">
        <f ca="1"/>
        <v>95836</v>
      </c>
      <c r="D345" s="20">
        <f ca="1"/>
        <v>92206.02</v>
      </c>
      <c r="E345" s="20">
        <f ca="1"/>
        <v>94726.11</v>
      </c>
      <c r="F345" s="3">
        <f ca="1"/>
        <v>31482.864239999999</v>
      </c>
      <c r="G345" s="10">
        <f ca="1"/>
        <v>45668.229166655095</v>
      </c>
      <c r="H345" s="3">
        <f ca="1"/>
        <v>2962085343.2837038</v>
      </c>
      <c r="I345" s="3">
        <f ca="1"/>
        <v>5531444</v>
      </c>
      <c r="J345" s="3">
        <f ca="1"/>
        <v>15617.43823</v>
      </c>
      <c r="K345" s="3">
        <f ca="1"/>
        <v>1469711545.6571271</v>
      </c>
    </row>
    <row r="346" spans="1:11" x14ac:dyDescent="0.3">
      <c r="A346" s="10">
        <f ca="1"/>
        <v>45666.229166666664</v>
      </c>
      <c r="B346" s="20">
        <f ca="1"/>
        <v>95060.61</v>
      </c>
      <c r="C346" s="20">
        <f ca="1"/>
        <v>95382.32</v>
      </c>
      <c r="D346" s="20">
        <f ca="1"/>
        <v>91203.67</v>
      </c>
      <c r="E346" s="20">
        <f ca="1"/>
        <v>92552.49</v>
      </c>
      <c r="F346" s="3">
        <f ca="1"/>
        <v>34544.83685</v>
      </c>
      <c r="G346" s="10">
        <f ca="1"/>
        <v>45667.229166655095</v>
      </c>
      <c r="H346" s="3">
        <f ca="1"/>
        <v>3217669887.245398</v>
      </c>
      <c r="I346" s="3">
        <f ca="1"/>
        <v>6027161</v>
      </c>
      <c r="J346" s="3">
        <f ca="1"/>
        <v>15323.626630000001</v>
      </c>
      <c r="K346" s="3">
        <f ca="1"/>
        <v>1427812152.2727611</v>
      </c>
    </row>
    <row r="347" spans="1:11" x14ac:dyDescent="0.3">
      <c r="A347" s="10">
        <f ca="1"/>
        <v>45665.229166666664</v>
      </c>
      <c r="B347" s="20">
        <f ca="1"/>
        <v>96954.6</v>
      </c>
      <c r="C347" s="20">
        <f ca="1"/>
        <v>97268.65</v>
      </c>
      <c r="D347" s="20">
        <f ca="1"/>
        <v>92500.9</v>
      </c>
      <c r="E347" s="20">
        <f ca="1"/>
        <v>95060.61</v>
      </c>
      <c r="F347" s="3">
        <f ca="1"/>
        <v>33704.678939999998</v>
      </c>
      <c r="G347" s="10">
        <f ca="1"/>
        <v>45666.229166655095</v>
      </c>
      <c r="H347" s="3">
        <f ca="1"/>
        <v>3205849081.1129618</v>
      </c>
      <c r="I347" s="3">
        <f ca="1"/>
        <v>5171208</v>
      </c>
      <c r="J347" s="3">
        <f ca="1"/>
        <v>15803.850909999999</v>
      </c>
      <c r="K347" s="3">
        <f ca="1"/>
        <v>1503791328.6993084</v>
      </c>
    </row>
    <row r="348" spans="1:11" x14ac:dyDescent="0.3">
      <c r="A348" s="10">
        <f ca="1"/>
        <v>45664.229166666664</v>
      </c>
      <c r="B348" s="20">
        <f ca="1"/>
        <v>102235.6</v>
      </c>
      <c r="C348" s="20">
        <f ca="1"/>
        <v>102724.38</v>
      </c>
      <c r="D348" s="20">
        <f ca="1"/>
        <v>96181.81</v>
      </c>
      <c r="E348" s="20">
        <f ca="1"/>
        <v>96954.61</v>
      </c>
      <c r="F348" s="3">
        <f ca="1"/>
        <v>32059.875370000002</v>
      </c>
      <c r="G348" s="10">
        <f ca="1"/>
        <v>45665.229166655095</v>
      </c>
      <c r="H348" s="3">
        <f ca="1"/>
        <v>3170421659.717236</v>
      </c>
      <c r="I348" s="3">
        <f ca="1"/>
        <v>4480562</v>
      </c>
      <c r="J348" s="3">
        <f ca="1"/>
        <v>14815.114530000001</v>
      </c>
      <c r="K348" s="3">
        <f ca="1"/>
        <v>1464336049.7055345</v>
      </c>
    </row>
    <row r="349" spans="1:11" x14ac:dyDescent="0.3">
      <c r="A349" s="10">
        <f ca="1"/>
        <v>45663.229166666664</v>
      </c>
      <c r="B349" s="20">
        <f ca="1"/>
        <v>98363.61</v>
      </c>
      <c r="C349" s="20">
        <f ca="1"/>
        <v>102480</v>
      </c>
      <c r="D349" s="20">
        <f ca="1"/>
        <v>97920</v>
      </c>
      <c r="E349" s="20">
        <f ca="1"/>
        <v>102235.6</v>
      </c>
      <c r="F349" s="3">
        <f ca="1"/>
        <v>25263.43375</v>
      </c>
      <c r="G349" s="10">
        <f ca="1"/>
        <v>45664.229166655095</v>
      </c>
      <c r="H349" s="3">
        <f ca="1"/>
        <v>2540561688.7771435</v>
      </c>
      <c r="I349" s="3">
        <f ca="1"/>
        <v>3853702</v>
      </c>
      <c r="J349" s="3">
        <f ca="1"/>
        <v>12539.59534</v>
      </c>
      <c r="K349" s="3">
        <f ca="1"/>
        <v>1260943259.4662561</v>
      </c>
    </row>
    <row r="350" spans="1:11" x14ac:dyDescent="0.3">
      <c r="A350" s="10">
        <f ca="1"/>
        <v>45662.229166666664</v>
      </c>
      <c r="B350" s="20">
        <f ca="1"/>
        <v>98220.51</v>
      </c>
      <c r="C350" s="20">
        <f ca="1"/>
        <v>98836.85</v>
      </c>
      <c r="D350" s="20">
        <f ca="1"/>
        <v>97276.79</v>
      </c>
      <c r="E350" s="20">
        <f ca="1"/>
        <v>98363.61</v>
      </c>
      <c r="F350" s="3">
        <f ca="1"/>
        <v>8095.6372300000003</v>
      </c>
      <c r="G350" s="10">
        <f ca="1"/>
        <v>45663.229166655095</v>
      </c>
      <c r="H350" s="3">
        <f ca="1"/>
        <v>793931715.9546324</v>
      </c>
      <c r="I350" s="3">
        <f ca="1"/>
        <v>1685799</v>
      </c>
      <c r="J350" s="3">
        <f ca="1"/>
        <v>3877.90985</v>
      </c>
      <c r="K350" s="3">
        <f ca="1"/>
        <v>380355340.46860361</v>
      </c>
    </row>
    <row r="351" spans="1:11" x14ac:dyDescent="0.3">
      <c r="A351" s="10">
        <f ca="1"/>
        <v>45661.229166666664</v>
      </c>
      <c r="B351" s="20">
        <f ca="1"/>
        <v>98174.17</v>
      </c>
      <c r="C351" s="20">
        <f ca="1"/>
        <v>98778.43</v>
      </c>
      <c r="D351" s="20">
        <f ca="1"/>
        <v>97514.79</v>
      </c>
      <c r="E351" s="20">
        <f ca="1"/>
        <v>98220.5</v>
      </c>
      <c r="F351" s="3">
        <f ca="1"/>
        <v>8990.0565100000003</v>
      </c>
      <c r="G351" s="10">
        <f ca="1"/>
        <v>45662.229166655095</v>
      </c>
      <c r="H351" s="3">
        <f ca="1"/>
        <v>881223751.63536024</v>
      </c>
      <c r="I351" s="3">
        <f ca="1"/>
        <v>1559982</v>
      </c>
      <c r="J351" s="3">
        <f ca="1"/>
        <v>4350.8022099999998</v>
      </c>
      <c r="K351" s="3">
        <f ca="1"/>
        <v>426524714.1305539</v>
      </c>
    </row>
    <row r="352" spans="1:11" x14ac:dyDescent="0.3">
      <c r="A352" s="10">
        <f ca="1"/>
        <v>45660.229166666664</v>
      </c>
      <c r="B352" s="20">
        <f ca="1"/>
        <v>96984.79</v>
      </c>
      <c r="C352" s="20">
        <f ca="1"/>
        <v>98976.91</v>
      </c>
      <c r="D352" s="20">
        <f ca="1"/>
        <v>96100.01</v>
      </c>
      <c r="E352" s="20">
        <f ca="1"/>
        <v>98174.18</v>
      </c>
      <c r="F352" s="3">
        <f ca="1"/>
        <v>15253.82936</v>
      </c>
      <c r="G352" s="10">
        <f ca="1"/>
        <v>45661.229166655095</v>
      </c>
      <c r="H352" s="3">
        <f ca="1"/>
        <v>1486610768.5907917</v>
      </c>
      <c r="I352" s="3">
        <f ca="1"/>
        <v>2851164</v>
      </c>
      <c r="J352" s="3">
        <f ca="1"/>
        <v>7468.60797</v>
      </c>
      <c r="K352" s="3">
        <f ca="1"/>
        <v>727787246.89655876</v>
      </c>
    </row>
    <row r="353" spans="1:11" x14ac:dyDescent="0.3">
      <c r="A353" s="10">
        <f ca="1"/>
        <v>45659.229166666664</v>
      </c>
      <c r="B353" s="20">
        <f ca="1"/>
        <v>94591.78</v>
      </c>
      <c r="C353" s="20">
        <f ca="1"/>
        <v>97839.5</v>
      </c>
      <c r="D353" s="20">
        <f ca="1"/>
        <v>94392</v>
      </c>
      <c r="E353" s="20">
        <f ca="1"/>
        <v>96984.79</v>
      </c>
      <c r="F353" s="3">
        <f ca="1"/>
        <v>21970.48948</v>
      </c>
      <c r="G353" s="10">
        <f ca="1"/>
        <v>45660.229166655095</v>
      </c>
      <c r="H353" s="3">
        <f ca="1"/>
        <v>2118411852.6812794</v>
      </c>
      <c r="I353" s="3">
        <f ca="1"/>
        <v>3569079</v>
      </c>
      <c r="J353" s="3">
        <f ca="1"/>
        <v>10915.969859999999</v>
      </c>
      <c r="K353" s="3">
        <f ca="1"/>
        <v>1052226710.3336717</v>
      </c>
    </row>
    <row r="354" spans="1:11" x14ac:dyDescent="0.3">
      <c r="A354" s="10">
        <f ca="1"/>
        <v>45658.229166666664</v>
      </c>
      <c r="B354" s="20">
        <f ca="1"/>
        <v>93576</v>
      </c>
      <c r="C354" s="20">
        <f ca="1"/>
        <v>95151.15</v>
      </c>
      <c r="D354" s="20">
        <f ca="1"/>
        <v>92888</v>
      </c>
      <c r="E354" s="20">
        <f ca="1"/>
        <v>94591.79</v>
      </c>
      <c r="F354" s="3">
        <f ca="1"/>
        <v>10373.326129999999</v>
      </c>
      <c r="G354" s="10">
        <f ca="1"/>
        <v>45659.229166655095</v>
      </c>
      <c r="H354" s="3">
        <f ca="1"/>
        <v>975444194.13799834</v>
      </c>
      <c r="I354" s="3">
        <f ca="1"/>
        <v>1516556</v>
      </c>
      <c r="J354" s="3">
        <f ca="1"/>
        <v>5347.7364799999996</v>
      </c>
      <c r="K354" s="3">
        <f ca="1"/>
        <v>502914035.64059073</v>
      </c>
    </row>
    <row r="355" spans="1:11" x14ac:dyDescent="0.3">
      <c r="A355" s="10">
        <f ca="1"/>
        <v>45657.229166666664</v>
      </c>
      <c r="B355" s="20">
        <f ca="1"/>
        <v>92792.05</v>
      </c>
      <c r="C355" s="20">
        <f ca="1"/>
        <v>96250</v>
      </c>
      <c r="D355" s="20">
        <f ca="1"/>
        <v>92033.73</v>
      </c>
      <c r="E355" s="20">
        <f ca="1"/>
        <v>93576</v>
      </c>
      <c r="F355" s="3">
        <f ca="1"/>
        <v>19612.033889999999</v>
      </c>
      <c r="G355" s="10">
        <f ca="1"/>
        <v>45658.229166655095</v>
      </c>
      <c r="H355" s="3">
        <f ca="1"/>
        <v>1845718801.922704</v>
      </c>
      <c r="I355" s="3">
        <f ca="1"/>
        <v>3347847</v>
      </c>
      <c r="J355" s="3">
        <f ca="1"/>
        <v>9687.9677499999998</v>
      </c>
      <c r="K355" s="3">
        <f ca="1"/>
        <v>911716321.60540199</v>
      </c>
    </row>
    <row r="356" spans="1:11" x14ac:dyDescent="0.3">
      <c r="A356" s="10">
        <f ca="1"/>
        <v>45656.229166666664</v>
      </c>
      <c r="B356" s="20">
        <f ca="1"/>
        <v>93738.19</v>
      </c>
      <c r="C356" s="20">
        <f ca="1"/>
        <v>95024.5</v>
      </c>
      <c r="D356" s="20">
        <f ca="1"/>
        <v>91530.45</v>
      </c>
      <c r="E356" s="20">
        <f ca="1"/>
        <v>92792.05</v>
      </c>
      <c r="F356" s="3">
        <f ca="1"/>
        <v>27619.422500000001</v>
      </c>
      <c r="G356" s="10">
        <f ca="1"/>
        <v>45657.229166655095</v>
      </c>
      <c r="H356" s="3">
        <f ca="1"/>
        <v>2573126059.7694778</v>
      </c>
      <c r="I356" s="3">
        <f ca="1"/>
        <v>5560563</v>
      </c>
      <c r="J356" s="3">
        <f ca="1"/>
        <v>13092.196459999999</v>
      </c>
      <c r="K356" s="3">
        <f ca="1"/>
        <v>1220209278.2523272</v>
      </c>
    </row>
    <row r="357" spans="1:11" x14ac:dyDescent="0.3">
      <c r="A357" s="10">
        <f ca="1"/>
        <v>45655.229166666664</v>
      </c>
      <c r="B357" s="20">
        <f ca="1"/>
        <v>95300</v>
      </c>
      <c r="C357" s="20">
        <f ca="1"/>
        <v>95340</v>
      </c>
      <c r="D357" s="20">
        <f ca="1"/>
        <v>93009.52</v>
      </c>
      <c r="E357" s="20">
        <f ca="1"/>
        <v>93738.2</v>
      </c>
      <c r="F357" s="3">
        <f ca="1"/>
        <v>13576.00578</v>
      </c>
      <c r="G357" s="10">
        <f ca="1"/>
        <v>45656.229166655095</v>
      </c>
      <c r="H357" s="3">
        <f ca="1"/>
        <v>1278370863.9768472</v>
      </c>
      <c r="I357" s="3">
        <f ca="1"/>
        <v>2865838</v>
      </c>
      <c r="J357" s="3">
        <f ca="1"/>
        <v>5651.3858899999996</v>
      </c>
      <c r="K357" s="3">
        <f ca="1"/>
        <v>532195414.1027413</v>
      </c>
    </row>
    <row r="358" spans="1:11" x14ac:dyDescent="0.3">
      <c r="A358" s="10">
        <f ca="1"/>
        <v>45654.229166666664</v>
      </c>
      <c r="B358" s="20">
        <f ca="1"/>
        <v>94299.03</v>
      </c>
      <c r="C358" s="20">
        <f ca="1"/>
        <v>95733.99</v>
      </c>
      <c r="D358" s="20">
        <f ca="1"/>
        <v>94135.66</v>
      </c>
      <c r="E358" s="20">
        <f ca="1"/>
        <v>95300</v>
      </c>
      <c r="F358" s="3">
        <f ca="1"/>
        <v>8385.8929000000007</v>
      </c>
      <c r="G358" s="10">
        <f ca="1"/>
        <v>45655.229166655095</v>
      </c>
      <c r="H358" s="3">
        <f ca="1"/>
        <v>794651624.83495545</v>
      </c>
      <c r="I358" s="3">
        <f ca="1"/>
        <v>2732061</v>
      </c>
      <c r="J358" s="3">
        <f ca="1"/>
        <v>4203.5987599999999</v>
      </c>
      <c r="K358" s="3">
        <f ca="1"/>
        <v>398416342.12816697</v>
      </c>
    </row>
    <row r="359" spans="1:11" x14ac:dyDescent="0.3">
      <c r="A359" s="10">
        <f ca="1"/>
        <v>45653.229166666664</v>
      </c>
      <c r="B359" s="20">
        <f ca="1"/>
        <v>95791.6</v>
      </c>
      <c r="C359" s="20">
        <f ca="1"/>
        <v>97544.58</v>
      </c>
      <c r="D359" s="20">
        <f ca="1"/>
        <v>93500.01</v>
      </c>
      <c r="E359" s="20">
        <f ca="1"/>
        <v>94299.03</v>
      </c>
      <c r="F359" s="3">
        <f ca="1"/>
        <v>26501.264289999999</v>
      </c>
      <c r="G359" s="10">
        <f ca="1"/>
        <v>45654.229166655095</v>
      </c>
      <c r="H359" s="3">
        <f ca="1"/>
        <v>2528567849.7794614</v>
      </c>
      <c r="I359" s="3">
        <f ca="1"/>
        <v>5718866</v>
      </c>
      <c r="J359" s="3">
        <f ca="1"/>
        <v>12945.51657</v>
      </c>
      <c r="K359" s="3">
        <f ca="1"/>
        <v>1235623739.0578184</v>
      </c>
    </row>
    <row r="360" spans="1:11" x14ac:dyDescent="0.3">
      <c r="A360" s="10">
        <f ca="1"/>
        <v>45652.229166666664</v>
      </c>
      <c r="B360" s="20">
        <f ca="1"/>
        <v>99429.61</v>
      </c>
      <c r="C360" s="20">
        <f ca="1"/>
        <v>99963.7</v>
      </c>
      <c r="D360" s="20">
        <f ca="1"/>
        <v>95199.14</v>
      </c>
      <c r="E360" s="20">
        <f ca="1"/>
        <v>95791.6</v>
      </c>
      <c r="F360" s="3">
        <f ca="1"/>
        <v>21192.367269999999</v>
      </c>
      <c r="G360" s="10">
        <f ca="1"/>
        <v>45653.229166655095</v>
      </c>
      <c r="H360" s="3">
        <f ca="1"/>
        <v>2049123567.3867724</v>
      </c>
      <c r="I360" s="3">
        <f ca="1"/>
        <v>5203490</v>
      </c>
      <c r="J360" s="3">
        <f ca="1"/>
        <v>10071.87249</v>
      </c>
      <c r="K360" s="3">
        <f ca="1"/>
        <v>973940616.12924433</v>
      </c>
    </row>
    <row r="361" spans="1:11" x14ac:dyDescent="0.3">
      <c r="A361" s="10">
        <f ca="1"/>
        <v>45651.229166666664</v>
      </c>
      <c r="B361" s="20">
        <f ca="1"/>
        <v>98663.58</v>
      </c>
      <c r="C361" s="20">
        <f ca="1"/>
        <v>99569.15</v>
      </c>
      <c r="D361" s="20">
        <f ca="1"/>
        <v>97632.02</v>
      </c>
      <c r="E361" s="20">
        <f ca="1"/>
        <v>99429.6</v>
      </c>
      <c r="F361" s="3">
        <f ca="1"/>
        <v>14474.1651</v>
      </c>
      <c r="G361" s="10">
        <f ca="1"/>
        <v>45652.229166655095</v>
      </c>
      <c r="H361" s="3">
        <f ca="1"/>
        <v>1426143976.0493636</v>
      </c>
      <c r="I361" s="3">
        <f ca="1"/>
        <v>3283028</v>
      </c>
      <c r="J361" s="3">
        <f ca="1"/>
        <v>7006.5264999999999</v>
      </c>
      <c r="K361" s="3">
        <f ca="1"/>
        <v>690465056.58718586</v>
      </c>
    </row>
    <row r="362" spans="1:11" x14ac:dyDescent="0.3">
      <c r="A362" s="10">
        <f ca="1"/>
        <v>45650.229166666664</v>
      </c>
      <c r="B362" s="20">
        <f ca="1"/>
        <v>94881.47</v>
      </c>
      <c r="C362" s="20">
        <f ca="1"/>
        <v>99487.99</v>
      </c>
      <c r="D362" s="20">
        <f ca="1"/>
        <v>93569.02</v>
      </c>
      <c r="E362" s="20">
        <f ca="1"/>
        <v>98663.58</v>
      </c>
      <c r="F362" s="3">
        <f ca="1"/>
        <v>23674.224880000002</v>
      </c>
      <c r="G362" s="10">
        <f ca="1"/>
        <v>45651.229166655095</v>
      </c>
      <c r="H362" s="3">
        <f ca="1"/>
        <v>2287214424.7064757</v>
      </c>
      <c r="I362" s="3">
        <f ca="1"/>
        <v>3421549</v>
      </c>
      <c r="J362" s="3">
        <f ca="1"/>
        <v>11969.2539</v>
      </c>
      <c r="K362" s="3">
        <f ca="1"/>
        <v>1156798174.5823259</v>
      </c>
    </row>
    <row r="363" spans="1:11" x14ac:dyDescent="0.3">
      <c r="A363" s="10">
        <f ca="1"/>
        <v>45649.229166666664</v>
      </c>
      <c r="B363" s="20">
        <f ca="1"/>
        <v>95186.28</v>
      </c>
      <c r="C363" s="20">
        <f ca="1"/>
        <v>96538.92</v>
      </c>
      <c r="D363" s="20">
        <f ca="1"/>
        <v>92520</v>
      </c>
      <c r="E363" s="20">
        <f ca="1"/>
        <v>94881.47</v>
      </c>
      <c r="F363" s="3">
        <f ca="1"/>
        <v>32810.767030000003</v>
      </c>
      <c r="G363" s="10">
        <f ca="1"/>
        <v>45650.229166655095</v>
      </c>
      <c r="H363" s="3">
        <f ca="1"/>
        <v>3100007213.4945631</v>
      </c>
      <c r="I363" s="3">
        <f ca="1"/>
        <v>5464919</v>
      </c>
      <c r="J363" s="3">
        <f ca="1"/>
        <v>16339.583549999999</v>
      </c>
      <c r="K363" s="3">
        <f ca="1"/>
        <v>1544707289.744369</v>
      </c>
    </row>
    <row r="364" spans="1:11" x14ac:dyDescent="0.3">
      <c r="A364" s="10">
        <f ca="1"/>
        <v>45648.229166666664</v>
      </c>
      <c r="B364" s="20">
        <f ca="1"/>
        <v>97292</v>
      </c>
      <c r="C364" s="20">
        <f ca="1"/>
        <v>97448.08</v>
      </c>
      <c r="D364" s="20">
        <f ca="1"/>
        <v>94250.35</v>
      </c>
      <c r="E364" s="20">
        <f ca="1"/>
        <v>95186.27</v>
      </c>
      <c r="F364" s="3">
        <f ca="1"/>
        <v>19353.83036</v>
      </c>
      <c r="G364" s="10">
        <f ca="1"/>
        <v>45649.229166655095</v>
      </c>
      <c r="H364" s="3">
        <f ca="1"/>
        <v>1857819866.3603997</v>
      </c>
      <c r="I364" s="3">
        <f ca="1"/>
        <v>3633551</v>
      </c>
      <c r="J364" s="3">
        <f ca="1"/>
        <v>9293.3974899999994</v>
      </c>
      <c r="K364" s="3">
        <f ca="1"/>
        <v>892081877.76277077</v>
      </c>
    </row>
    <row r="365" spans="1:11" x14ac:dyDescent="0.3">
      <c r="A365" s="10">
        <f ca="1"/>
        <v>45647.229166666664</v>
      </c>
      <c r="B365" s="20">
        <f ca="1"/>
        <v>97805.440000000002</v>
      </c>
      <c r="C365" s="20">
        <f ca="1"/>
        <v>99540.61</v>
      </c>
      <c r="D365" s="20">
        <f ca="1"/>
        <v>96398.39</v>
      </c>
      <c r="E365" s="20">
        <f ca="1"/>
        <v>97291.99</v>
      </c>
      <c r="F365" s="3">
        <f ca="1"/>
        <v>23483.541430000001</v>
      </c>
      <c r="G365" s="10">
        <f ca="1"/>
        <v>45648.229166655095</v>
      </c>
      <c r="H365" s="3">
        <f ca="1"/>
        <v>2296232055.1959262</v>
      </c>
      <c r="I365" s="3">
        <f ca="1"/>
        <v>3717638</v>
      </c>
      <c r="J365" s="3">
        <f ca="1"/>
        <v>11726.94119</v>
      </c>
      <c r="K365" s="3">
        <f ca="1"/>
        <v>1146732451.4218132</v>
      </c>
    </row>
    <row r="366" spans="1:11" x14ac:dyDescent="0.3">
      <c r="A366" s="10">
        <f ca="1"/>
        <v>45646.229166666664</v>
      </c>
      <c r="B366" s="20">
        <f ca="1"/>
        <v>97461.86</v>
      </c>
      <c r="C366" s="20">
        <f ca="1"/>
        <v>98233</v>
      </c>
      <c r="D366" s="20">
        <f ca="1"/>
        <v>92232.54</v>
      </c>
      <c r="E366" s="20">
        <f ca="1"/>
        <v>97805.440000000002</v>
      </c>
      <c r="F366" s="3">
        <f ca="1"/>
        <v>62884.135699999999</v>
      </c>
      <c r="G366" s="10">
        <f ca="1"/>
        <v>45647.229166655095</v>
      </c>
      <c r="H366" s="3">
        <f ca="1"/>
        <v>6022845238.8323259</v>
      </c>
      <c r="I366" s="3">
        <f ca="1"/>
        <v>7429007</v>
      </c>
      <c r="J366" s="3">
        <f ca="1"/>
        <v>29463.230210000002</v>
      </c>
      <c r="K366" s="3">
        <f ca="1"/>
        <v>2822939306.6630778</v>
      </c>
    </row>
    <row r="367" spans="1:11" x14ac:dyDescent="0.3">
      <c r="A367" s="10">
        <f ca="1"/>
        <v>45645.229166666664</v>
      </c>
      <c r="B367" s="20">
        <f ca="1"/>
        <v>100204.01</v>
      </c>
      <c r="C367" s="20">
        <f ca="1"/>
        <v>102800.11</v>
      </c>
      <c r="D367" s="20">
        <f ca="1"/>
        <v>95700</v>
      </c>
      <c r="E367" s="20">
        <f ca="1"/>
        <v>97461.86</v>
      </c>
      <c r="F367" s="3">
        <f ca="1"/>
        <v>55147.398000000001</v>
      </c>
      <c r="G367" s="10">
        <f ca="1"/>
        <v>45646.229166655095</v>
      </c>
      <c r="H367" s="3">
        <f ca="1"/>
        <v>5487546517.7077522</v>
      </c>
      <c r="I367" s="3">
        <f ca="1"/>
        <v>7273941</v>
      </c>
      <c r="J367" s="3">
        <f ca="1"/>
        <v>26898.637149999999</v>
      </c>
      <c r="K367" s="3">
        <f ca="1"/>
        <v>2677636003.9065061</v>
      </c>
    </row>
    <row r="368" spans="1:11" x14ac:dyDescent="0.3">
      <c r="A368" s="10">
        <f ca="1"/>
        <v>45644.229166666664</v>
      </c>
      <c r="B368" s="20">
        <f ca="1"/>
        <v>106133.74</v>
      </c>
      <c r="C368" s="20">
        <f ca="1"/>
        <v>106524.98</v>
      </c>
      <c r="D368" s="20">
        <f ca="1"/>
        <v>100000</v>
      </c>
      <c r="E368" s="20">
        <f ca="1"/>
        <v>100204.01</v>
      </c>
      <c r="F368" s="3">
        <f ca="1"/>
        <v>50307.99755</v>
      </c>
      <c r="G368" s="10">
        <f ca="1"/>
        <v>45645.229166655095</v>
      </c>
      <c r="H368" s="3">
        <f ca="1"/>
        <v>5194263316.2592363</v>
      </c>
      <c r="I368" s="3">
        <f ca="1"/>
        <v>8762120</v>
      </c>
      <c r="J368" s="3">
        <f ca="1"/>
        <v>23308.375250000001</v>
      </c>
      <c r="K368" s="3">
        <f ca="1"/>
        <v>2407213144.2694983</v>
      </c>
    </row>
    <row r="369" spans="1:11" x14ac:dyDescent="0.3">
      <c r="A369" s="10">
        <f ca="1"/>
        <v>45643.229166666664</v>
      </c>
      <c r="B369" s="20">
        <f ca="1"/>
        <v>106058.65</v>
      </c>
      <c r="C369" s="20">
        <f ca="1"/>
        <v>108353</v>
      </c>
      <c r="D369" s="20">
        <f ca="1"/>
        <v>105321.49</v>
      </c>
      <c r="E369" s="20">
        <f ca="1"/>
        <v>106133.74</v>
      </c>
      <c r="F369" s="3">
        <f ca="1"/>
        <v>29064.936465999999</v>
      </c>
      <c r="G369" s="10">
        <f ca="1"/>
        <v>45644.229166655095</v>
      </c>
      <c r="H369" s="3">
        <f ca="1"/>
        <v>3103833327.7751069</v>
      </c>
      <c r="I369" s="3">
        <f ca="1"/>
        <v>7212799</v>
      </c>
      <c r="J369" s="3">
        <f ca="1"/>
        <v>14187.320446</v>
      </c>
      <c r="K369" s="3">
        <f ca="1"/>
        <v>1515158210.55198</v>
      </c>
    </row>
    <row r="370" spans="1:11" x14ac:dyDescent="0.3">
      <c r="A370" s="10">
        <f ca="1"/>
        <v>45642.229166666664</v>
      </c>
      <c r="B370" s="20">
        <f ca="1"/>
        <v>104463.99</v>
      </c>
      <c r="C370" s="20">
        <f ca="1"/>
        <v>107793.07</v>
      </c>
      <c r="D370" s="20">
        <f ca="1"/>
        <v>103333</v>
      </c>
      <c r="E370" s="20">
        <f ca="1"/>
        <v>106058.66</v>
      </c>
      <c r="F370" s="3">
        <f ca="1"/>
        <v>41302.402739999998</v>
      </c>
      <c r="G370" s="10">
        <f ca="1"/>
        <v>45643.229166655095</v>
      </c>
      <c r="H370" s="3">
        <f ca="1"/>
        <v>4364964400.634553</v>
      </c>
      <c r="I370" s="3">
        <f ca="1"/>
        <v>8048054</v>
      </c>
      <c r="J370" s="3">
        <f ca="1"/>
        <v>20349.0995</v>
      </c>
      <c r="K370" s="3">
        <f ca="1"/>
        <v>2150550899.2475224</v>
      </c>
    </row>
    <row r="371" spans="1:11" x14ac:dyDescent="0.3">
      <c r="A371" s="10">
        <f ca="1"/>
        <v>45641.229166666664</v>
      </c>
      <c r="B371" s="20">
        <f ca="1"/>
        <v>101420</v>
      </c>
      <c r="C371" s="20">
        <f ca="1"/>
        <v>105250</v>
      </c>
      <c r="D371" s="20">
        <f ca="1"/>
        <v>101237.14</v>
      </c>
      <c r="E371" s="20">
        <f ca="1"/>
        <v>104463.99</v>
      </c>
      <c r="F371" s="3">
        <f ca="1"/>
        <v>22228.921774999999</v>
      </c>
      <c r="G371" s="10">
        <f ca="1"/>
        <v>45642.229166655095</v>
      </c>
      <c r="H371" s="3">
        <f ca="1"/>
        <v>2290462903.8357911</v>
      </c>
      <c r="I371" s="3">
        <f ca="1"/>
        <v>3638809</v>
      </c>
      <c r="J371" s="3">
        <f ca="1"/>
        <v>12668.894355</v>
      </c>
      <c r="K371" s="3">
        <f ca="1"/>
        <v>1305611448.3000975</v>
      </c>
    </row>
    <row r="372" spans="1:11" x14ac:dyDescent="0.3">
      <c r="A372" s="10">
        <f ca="1"/>
        <v>45640.229166666664</v>
      </c>
      <c r="B372" s="20">
        <f ca="1"/>
        <v>101424.24</v>
      </c>
      <c r="C372" s="20">
        <f ca="1"/>
        <v>102650</v>
      </c>
      <c r="D372" s="20">
        <f ca="1"/>
        <v>100609.41</v>
      </c>
      <c r="E372" s="20">
        <f ca="1"/>
        <v>101420</v>
      </c>
      <c r="F372" s="3">
        <f ca="1"/>
        <v>14191.70326</v>
      </c>
      <c r="G372" s="10">
        <f ca="1"/>
        <v>45641.229166655095</v>
      </c>
      <c r="H372" s="3">
        <f ca="1"/>
        <v>1441594367.0463192</v>
      </c>
      <c r="I372" s="3">
        <f ca="1"/>
        <v>3374538</v>
      </c>
      <c r="J372" s="3">
        <f ca="1"/>
        <v>6790.24676</v>
      </c>
      <c r="K372" s="3">
        <f ca="1"/>
        <v>689981854.13948965</v>
      </c>
    </row>
    <row r="373" spans="1:11" x14ac:dyDescent="0.3">
      <c r="A373" s="10">
        <f ca="1"/>
        <v>45639.229166666664</v>
      </c>
      <c r="B373" s="20">
        <f ca="1"/>
        <v>100004.29</v>
      </c>
      <c r="C373" s="20">
        <f ca="1"/>
        <v>101895.26</v>
      </c>
      <c r="D373" s="20">
        <f ca="1"/>
        <v>99205</v>
      </c>
      <c r="E373" s="20">
        <f ca="1"/>
        <v>101424.25</v>
      </c>
      <c r="F373" s="3">
        <f ca="1"/>
        <v>21904.039229999998</v>
      </c>
      <c r="G373" s="10">
        <f ca="1"/>
        <v>45640.229166655095</v>
      </c>
      <c r="H373" s="3">
        <f ca="1"/>
        <v>2203903393.0741005</v>
      </c>
      <c r="I373" s="3">
        <f ca="1"/>
        <v>5481660</v>
      </c>
      <c r="J373" s="3">
        <f ca="1"/>
        <v>10669.093650000001</v>
      </c>
      <c r="K373" s="3">
        <f ca="1"/>
        <v>1073720887.6354558</v>
      </c>
    </row>
    <row r="374" spans="1:11" x14ac:dyDescent="0.3">
      <c r="A374" s="10">
        <f ca="1"/>
        <v>45638.229166666664</v>
      </c>
      <c r="B374" s="20">
        <f ca="1"/>
        <v>101125</v>
      </c>
      <c r="C374" s="20">
        <f ca="1"/>
        <v>102540</v>
      </c>
      <c r="D374" s="20">
        <f ca="1"/>
        <v>99311.64</v>
      </c>
      <c r="E374" s="20">
        <f ca="1"/>
        <v>100004.29</v>
      </c>
      <c r="F374" s="3">
        <f ca="1"/>
        <v>29232.087449999999</v>
      </c>
      <c r="G374" s="10">
        <f ca="1"/>
        <v>45639.229166655095</v>
      </c>
      <c r="H374" s="3">
        <f ca="1"/>
        <v>2949462583.8661704</v>
      </c>
      <c r="I374" s="3">
        <f ca="1"/>
        <v>8066322</v>
      </c>
      <c r="J374" s="3">
        <f ca="1"/>
        <v>14175.88661</v>
      </c>
      <c r="K374" s="3">
        <f ca="1"/>
        <v>1430984456.6703606</v>
      </c>
    </row>
    <row r="375" spans="1:11" x14ac:dyDescent="0.3">
      <c r="A375" s="10">
        <f ca="1"/>
        <v>45637.229166666664</v>
      </c>
      <c r="B375" s="20">
        <f ca="1"/>
        <v>96593</v>
      </c>
      <c r="C375" s="20">
        <f ca="1"/>
        <v>101888</v>
      </c>
      <c r="D375" s="20">
        <f ca="1"/>
        <v>95658.240000000005</v>
      </c>
      <c r="E375" s="20">
        <f ca="1"/>
        <v>101125</v>
      </c>
      <c r="F375" s="3">
        <f ca="1"/>
        <v>37753.782910000002</v>
      </c>
      <c r="G375" s="10">
        <f ca="1"/>
        <v>45638.229166655095</v>
      </c>
      <c r="H375" s="3">
        <f ca="1"/>
        <v>3745703763.0184498</v>
      </c>
      <c r="I375" s="3">
        <f ca="1"/>
        <v>8250511</v>
      </c>
      <c r="J375" s="3">
        <f ca="1"/>
        <v>19112.845590000001</v>
      </c>
      <c r="K375" s="3">
        <f ca="1"/>
        <v>1897146318.2111704</v>
      </c>
    </row>
    <row r="376" spans="1:11" x14ac:dyDescent="0.3">
      <c r="A376" s="10">
        <f ca="1"/>
        <v>45636.229166666664</v>
      </c>
      <c r="B376" s="20">
        <f ca="1"/>
        <v>97276.479999999996</v>
      </c>
      <c r="C376" s="20">
        <f ca="1"/>
        <v>98270</v>
      </c>
      <c r="D376" s="20">
        <f ca="1"/>
        <v>94256.54</v>
      </c>
      <c r="E376" s="20">
        <f ca="1"/>
        <v>96593</v>
      </c>
      <c r="F376" s="3">
        <f ca="1"/>
        <v>51708.689330000001</v>
      </c>
      <c r="G376" s="10">
        <f ca="1"/>
        <v>45637.229166655095</v>
      </c>
      <c r="H376" s="3">
        <f ca="1"/>
        <v>4988660195.0924282</v>
      </c>
      <c r="I376" s="3">
        <f ca="1"/>
        <v>11556189</v>
      </c>
      <c r="J376" s="3">
        <f ca="1"/>
        <v>24523.095860000001</v>
      </c>
      <c r="K376" s="3">
        <f ca="1"/>
        <v>2367164879.170773</v>
      </c>
    </row>
    <row r="377" spans="1:11" x14ac:dyDescent="0.3">
      <c r="A377" s="10">
        <f ca="1"/>
        <v>45635.229166666664</v>
      </c>
      <c r="B377" s="20">
        <f ca="1"/>
        <v>101109.6</v>
      </c>
      <c r="C377" s="20">
        <f ca="1"/>
        <v>101215.93</v>
      </c>
      <c r="D377" s="20">
        <f ca="1"/>
        <v>94150.05</v>
      </c>
      <c r="E377" s="20">
        <f ca="1"/>
        <v>97276.47</v>
      </c>
      <c r="F377" s="3">
        <f ca="1"/>
        <v>53949.115949999999</v>
      </c>
      <c r="G377" s="10">
        <f ca="1"/>
        <v>45636.229166655095</v>
      </c>
      <c r="H377" s="3">
        <f ca="1"/>
        <v>5283626995.7056484</v>
      </c>
      <c r="I377" s="3">
        <f ca="1"/>
        <v>8445872</v>
      </c>
      <c r="J377" s="3">
        <f ca="1"/>
        <v>25472.084770000001</v>
      </c>
      <c r="K377" s="3">
        <f ca="1"/>
        <v>2495722030.5370946</v>
      </c>
    </row>
    <row r="378" spans="1:11" x14ac:dyDescent="0.3">
      <c r="A378" s="10">
        <f ca="1"/>
        <v>45634.229166666664</v>
      </c>
      <c r="B378" s="20">
        <f ca="1"/>
        <v>99831.99</v>
      </c>
      <c r="C378" s="20">
        <f ca="1"/>
        <v>101351</v>
      </c>
      <c r="D378" s="20">
        <f ca="1"/>
        <v>98657.7</v>
      </c>
      <c r="E378" s="20">
        <f ca="1"/>
        <v>101109.59</v>
      </c>
      <c r="F378" s="3">
        <f ca="1"/>
        <v>14612.996880000001</v>
      </c>
      <c r="G378" s="10">
        <f ca="1"/>
        <v>45635.229166655095</v>
      </c>
      <c r="H378" s="3">
        <f ca="1"/>
        <v>1459576946.4021511</v>
      </c>
      <c r="I378" s="3">
        <f ca="1"/>
        <v>2994709</v>
      </c>
      <c r="J378" s="3">
        <f ca="1"/>
        <v>7152.8017300000001</v>
      </c>
      <c r="K378" s="3">
        <f ca="1"/>
        <v>714745738.91883564</v>
      </c>
    </row>
    <row r="379" spans="1:11" x14ac:dyDescent="0.3">
      <c r="A379" s="10">
        <f ca="1"/>
        <v>45633.229166666664</v>
      </c>
      <c r="B379" s="20">
        <f ca="1"/>
        <v>99740.84</v>
      </c>
      <c r="C379" s="20">
        <f ca="1"/>
        <v>100439.18</v>
      </c>
      <c r="D379" s="20">
        <f ca="1"/>
        <v>98844</v>
      </c>
      <c r="E379" s="20">
        <f ca="1"/>
        <v>99831.99</v>
      </c>
      <c r="F379" s="3">
        <f ca="1"/>
        <v>14931.945900000001</v>
      </c>
      <c r="G379" s="10">
        <f ca="1"/>
        <v>45634.229166655095</v>
      </c>
      <c r="H379" s="3">
        <f ca="1"/>
        <v>1487953846.8385458</v>
      </c>
      <c r="I379" s="3">
        <f ca="1"/>
        <v>2634566</v>
      </c>
      <c r="J379" s="3">
        <f ca="1"/>
        <v>6776.55</v>
      </c>
      <c r="K379" s="3">
        <f ca="1"/>
        <v>675350661.29733479</v>
      </c>
    </row>
    <row r="380" spans="1:11" x14ac:dyDescent="0.3">
      <c r="A380" s="10">
        <f ca="1"/>
        <v>45632.229166666664</v>
      </c>
      <c r="B380" s="20">
        <f ca="1"/>
        <v>96945.63</v>
      </c>
      <c r="C380" s="20">
        <f ca="1"/>
        <v>101898.99</v>
      </c>
      <c r="D380" s="20">
        <f ca="1"/>
        <v>95981.72</v>
      </c>
      <c r="E380" s="20">
        <f ca="1"/>
        <v>99740.84</v>
      </c>
      <c r="F380" s="3">
        <f ca="1"/>
        <v>45049.533100000001</v>
      </c>
      <c r="G380" s="10">
        <f ca="1"/>
        <v>45633.229166655095</v>
      </c>
      <c r="H380" s="3">
        <f ca="1"/>
        <v>4456641685.3644438</v>
      </c>
      <c r="I380" s="3">
        <f ca="1"/>
        <v>6919102</v>
      </c>
      <c r="J380" s="3">
        <f ca="1"/>
        <v>21999.624159999999</v>
      </c>
      <c r="K380" s="3">
        <f ca="1"/>
        <v>2175645718.5533605</v>
      </c>
    </row>
    <row r="381" spans="1:11" x14ac:dyDescent="0.3">
      <c r="A381" s="10">
        <f ca="1"/>
        <v>45631.229166666664</v>
      </c>
      <c r="B381" s="20">
        <f ca="1"/>
        <v>98587.32</v>
      </c>
      <c r="C381" s="20">
        <f ca="1"/>
        <v>104088</v>
      </c>
      <c r="D381" s="20">
        <f ca="1"/>
        <v>90500</v>
      </c>
      <c r="E381" s="20">
        <f ca="1"/>
        <v>96945.63</v>
      </c>
      <c r="F381" s="3">
        <f ca="1"/>
        <v>109921.729662</v>
      </c>
      <c r="G381" s="10">
        <f ca="1"/>
        <v>45632.229166655095</v>
      </c>
      <c r="H381" s="3">
        <f ca="1"/>
        <v>11048002942.149931</v>
      </c>
      <c r="I381" s="3">
        <f ca="1"/>
        <v>12012364</v>
      </c>
      <c r="J381" s="3">
        <f ca="1"/>
        <v>56235.078355999998</v>
      </c>
      <c r="K381" s="3">
        <f ca="1"/>
        <v>5657171374.7634554</v>
      </c>
    </row>
    <row r="382" spans="1:11" x14ac:dyDescent="0.3">
      <c r="A382" s="10">
        <f ca="1"/>
        <v>45630.229166666664</v>
      </c>
      <c r="B382" s="20">
        <f ca="1"/>
        <v>95849.69</v>
      </c>
      <c r="C382" s="20">
        <f ca="1"/>
        <v>99000</v>
      </c>
      <c r="D382" s="20">
        <f ca="1"/>
        <v>94587.83</v>
      </c>
      <c r="E382" s="20">
        <f ca="1"/>
        <v>98587.32</v>
      </c>
      <c r="F382" s="3">
        <f ca="1"/>
        <v>43850.537279999997</v>
      </c>
      <c r="G382" s="10">
        <f ca="1"/>
        <v>45631.229166655095</v>
      </c>
      <c r="H382" s="3">
        <f ca="1"/>
        <v>4241994533.7861061</v>
      </c>
      <c r="I382" s="3">
        <f ca="1"/>
        <v>6648724</v>
      </c>
      <c r="J382" s="3">
        <f ca="1"/>
        <v>22033.601119999999</v>
      </c>
      <c r="K382" s="3">
        <f ca="1"/>
        <v>2132655972.0450001</v>
      </c>
    </row>
    <row r="383" spans="1:11" x14ac:dyDescent="0.3">
      <c r="A383" s="10">
        <f ca="1"/>
        <v>45629.229166666664</v>
      </c>
      <c r="B383" s="20">
        <f ca="1"/>
        <v>95840.61</v>
      </c>
      <c r="C383" s="20">
        <f ca="1"/>
        <v>96305.52</v>
      </c>
      <c r="D383" s="20">
        <f ca="1"/>
        <v>93578.17</v>
      </c>
      <c r="E383" s="20">
        <f ca="1"/>
        <v>95849.69</v>
      </c>
      <c r="F383" s="3">
        <f ca="1"/>
        <v>35827.322829999997</v>
      </c>
      <c r="G383" s="10">
        <f ca="1"/>
        <v>45630.229166655095</v>
      </c>
      <c r="H383" s="3">
        <f ca="1"/>
        <v>3413995542.0186563</v>
      </c>
      <c r="I383" s="3">
        <f ca="1"/>
        <v>5361712</v>
      </c>
      <c r="J383" s="3">
        <f ca="1"/>
        <v>17339.111669999998</v>
      </c>
      <c r="K383" s="3">
        <f ca="1"/>
        <v>1652090703.1755955</v>
      </c>
    </row>
    <row r="384" spans="1:11" x14ac:dyDescent="0.3">
      <c r="A384" s="10">
        <f ca="1"/>
        <v>45628.229166666664</v>
      </c>
      <c r="B384" s="20">
        <f ca="1"/>
        <v>97185.17</v>
      </c>
      <c r="C384" s="20">
        <f ca="1"/>
        <v>98130</v>
      </c>
      <c r="D384" s="20">
        <f ca="1"/>
        <v>94395</v>
      </c>
      <c r="E384" s="20">
        <f ca="1"/>
        <v>95840.62</v>
      </c>
      <c r="F384" s="3">
        <f ca="1"/>
        <v>37958.669809999999</v>
      </c>
      <c r="G384" s="10">
        <f ca="1"/>
        <v>45629.229166655095</v>
      </c>
      <c r="H384" s="3">
        <f ca="1"/>
        <v>3646639621.7375879</v>
      </c>
      <c r="I384" s="3">
        <f ca="1"/>
        <v>7560103</v>
      </c>
      <c r="J384" s="3">
        <f ca="1"/>
        <v>18821.933270000001</v>
      </c>
      <c r="K384" s="3">
        <f ca="1"/>
        <v>1808458555.890584</v>
      </c>
    </row>
    <row r="385" spans="1:11" x14ac:dyDescent="0.3">
      <c r="A385" s="10">
        <f ca="1"/>
        <v>45627.229166666664</v>
      </c>
      <c r="B385" s="20">
        <f ca="1"/>
        <v>96407.99</v>
      </c>
      <c r="C385" s="20">
        <f ca="1"/>
        <v>97836</v>
      </c>
      <c r="D385" s="20">
        <f ca="1"/>
        <v>95693.88</v>
      </c>
      <c r="E385" s="20">
        <f ca="1"/>
        <v>97185.18</v>
      </c>
      <c r="F385" s="3">
        <f ca="1"/>
        <v>16938.604520000001</v>
      </c>
      <c r="G385" s="10">
        <f ca="1"/>
        <v>45628.229166655095</v>
      </c>
      <c r="H385" s="3">
        <f ca="1"/>
        <v>1641327626.6062205</v>
      </c>
      <c r="I385" s="3">
        <f ca="1"/>
        <v>3342200</v>
      </c>
      <c r="J385" s="3">
        <f ca="1"/>
        <v>8114.8956900000003</v>
      </c>
      <c r="K385" s="3">
        <f ca="1"/>
        <v>786489040.19363785</v>
      </c>
    </row>
    <row r="386" spans="1:11" x14ac:dyDescent="0.3">
      <c r="A386" s="10">
        <f ca="1"/>
        <v>45626.229166666664</v>
      </c>
      <c r="B386" s="20">
        <f ca="1"/>
        <v>97460</v>
      </c>
      <c r="C386" s="20">
        <f ca="1"/>
        <v>97463.95</v>
      </c>
      <c r="D386" s="20">
        <f ca="1"/>
        <v>96092.01</v>
      </c>
      <c r="E386" s="20">
        <f ca="1"/>
        <v>96407.99</v>
      </c>
      <c r="F386" s="3">
        <f ca="1"/>
        <v>14503.833060000001</v>
      </c>
      <c r="G386" s="10">
        <f ca="1"/>
        <v>45627.229166655095</v>
      </c>
      <c r="H386" s="3">
        <f ca="1"/>
        <v>1402672950.6998208</v>
      </c>
      <c r="I386" s="3">
        <f ca="1"/>
        <v>3354759</v>
      </c>
      <c r="J386" s="3">
        <f ca="1"/>
        <v>7075.9150300000001</v>
      </c>
      <c r="K386" s="3">
        <f ca="1"/>
        <v>684284805.02344441</v>
      </c>
    </row>
    <row r="387" spans="1:11" x14ac:dyDescent="0.3">
      <c r="A387" s="10">
        <f ca="1"/>
        <v>45625.229166666664</v>
      </c>
      <c r="B387" s="20">
        <f ca="1"/>
        <v>95643.99</v>
      </c>
      <c r="C387" s="20">
        <f ca="1"/>
        <v>98619.99</v>
      </c>
      <c r="D387" s="20">
        <f ca="1"/>
        <v>95364.99</v>
      </c>
      <c r="E387" s="20">
        <f ca="1"/>
        <v>97460</v>
      </c>
      <c r="F387" s="3">
        <f ca="1"/>
        <v>27701.782309999999</v>
      </c>
      <c r="G387" s="10">
        <f ca="1"/>
        <v>45626.229166655095</v>
      </c>
      <c r="H387" s="3">
        <f ca="1"/>
        <v>2690451030.6342874</v>
      </c>
      <c r="I387" s="3">
        <f ca="1"/>
        <v>5094070</v>
      </c>
      <c r="J387" s="3">
        <f ca="1"/>
        <v>13840.211719999999</v>
      </c>
      <c r="K387" s="3">
        <f ca="1"/>
        <v>1344148785.2636425</v>
      </c>
    </row>
    <row r="388" spans="1:11" x14ac:dyDescent="0.3">
      <c r="A388" s="10">
        <f ca="1"/>
        <v>45624.229166666664</v>
      </c>
      <c r="B388" s="20">
        <f ca="1"/>
        <v>95863.11</v>
      </c>
      <c r="C388" s="20">
        <f ca="1"/>
        <v>96564</v>
      </c>
      <c r="D388" s="20">
        <f ca="1"/>
        <v>94640</v>
      </c>
      <c r="E388" s="20">
        <f ca="1"/>
        <v>95643.98</v>
      </c>
      <c r="F388" s="3">
        <f ca="1"/>
        <v>28814.543570000002</v>
      </c>
      <c r="G388" s="10">
        <f ca="1"/>
        <v>45625.229166655095</v>
      </c>
      <c r="H388" s="3">
        <f ca="1"/>
        <v>2749861591.2596097</v>
      </c>
      <c r="I388" s="3">
        <f ca="1"/>
        <v>4988161</v>
      </c>
      <c r="J388" s="3">
        <f ca="1"/>
        <v>14805.693209999999</v>
      </c>
      <c r="K388" s="3">
        <f ca="1"/>
        <v>1412851841.0751946</v>
      </c>
    </row>
    <row r="389" spans="1:11" x14ac:dyDescent="0.3">
      <c r="A389" s="10">
        <f ca="1"/>
        <v>45623.229166666664</v>
      </c>
      <c r="B389" s="20">
        <f ca="1"/>
        <v>91965.16</v>
      </c>
      <c r="C389" s="20">
        <f ca="1"/>
        <v>97208.21</v>
      </c>
      <c r="D389" s="20">
        <f ca="1"/>
        <v>91792.14</v>
      </c>
      <c r="E389" s="20">
        <f ca="1"/>
        <v>95863.11</v>
      </c>
      <c r="F389" s="3">
        <f ca="1"/>
        <v>41153.427340000002</v>
      </c>
      <c r="G389" s="10">
        <f ca="1"/>
        <v>45624.229166655095</v>
      </c>
      <c r="H389" s="3">
        <f ca="1"/>
        <v>3894358511.6175652</v>
      </c>
      <c r="I389" s="3">
        <f ca="1"/>
        <v>6648690</v>
      </c>
      <c r="J389" s="3">
        <f ca="1"/>
        <v>20316.582450000002</v>
      </c>
      <c r="K389" s="3">
        <f ca="1"/>
        <v>1922620637.3076186</v>
      </c>
    </row>
    <row r="390" spans="1:11" x14ac:dyDescent="0.3">
      <c r="A390" s="10">
        <f ca="1"/>
        <v>45622.229166666664</v>
      </c>
      <c r="B390" s="20">
        <f ca="1"/>
        <v>93010.01</v>
      </c>
      <c r="C390" s="20">
        <f ca="1"/>
        <v>94973.37</v>
      </c>
      <c r="D390" s="20">
        <f ca="1"/>
        <v>90791.1</v>
      </c>
      <c r="E390" s="20">
        <f ca="1"/>
        <v>91965.16</v>
      </c>
      <c r="F390" s="3">
        <f ca="1"/>
        <v>57858.731379999997</v>
      </c>
      <c r="G390" s="10">
        <f ca="1"/>
        <v>45623.229166655095</v>
      </c>
      <c r="H390" s="3">
        <f ca="1"/>
        <v>5370918648.8181667</v>
      </c>
      <c r="I390" s="3">
        <f ca="1"/>
        <v>10225809</v>
      </c>
      <c r="J390" s="3">
        <f ca="1"/>
        <v>29120.267650000002</v>
      </c>
      <c r="K390" s="3">
        <f ca="1"/>
        <v>2702543576.089108</v>
      </c>
    </row>
    <row r="391" spans="1:11" x14ac:dyDescent="0.3">
      <c r="A391" s="10">
        <f ca="1"/>
        <v>45621.229166666664</v>
      </c>
      <c r="B391" s="20">
        <f ca="1"/>
        <v>97900.05</v>
      </c>
      <c r="C391" s="20">
        <f ca="1"/>
        <v>98871.8</v>
      </c>
      <c r="D391" s="20">
        <f ca="1"/>
        <v>92600.19</v>
      </c>
      <c r="E391" s="20">
        <f ca="1"/>
        <v>93010.01</v>
      </c>
      <c r="F391" s="3">
        <f ca="1"/>
        <v>50847.450960000002</v>
      </c>
      <c r="G391" s="10">
        <f ca="1"/>
        <v>45622.229166655095</v>
      </c>
      <c r="H391" s="3">
        <f ca="1"/>
        <v>4883444806.3221931</v>
      </c>
      <c r="I391" s="3">
        <f ca="1"/>
        <v>8289691</v>
      </c>
      <c r="J391" s="3">
        <f ca="1"/>
        <v>23486.927049999998</v>
      </c>
      <c r="K391" s="3">
        <f ca="1"/>
        <v>2255516841.6102185</v>
      </c>
    </row>
    <row r="392" spans="1:11" x14ac:dyDescent="0.3">
      <c r="A392" s="10">
        <f ca="1"/>
        <v>45620.229166666664</v>
      </c>
      <c r="B392" s="20">
        <f ca="1"/>
        <v>97672.4</v>
      </c>
      <c r="C392" s="20">
        <f ca="1"/>
        <v>98564</v>
      </c>
      <c r="D392" s="20">
        <f ca="1"/>
        <v>95734.77</v>
      </c>
      <c r="E392" s="20">
        <f ca="1"/>
        <v>97900.04</v>
      </c>
      <c r="F392" s="3">
        <f ca="1"/>
        <v>31200.97838</v>
      </c>
      <c r="G392" s="10">
        <f ca="1"/>
        <v>45621.229166655095</v>
      </c>
      <c r="H392" s="3">
        <f ca="1"/>
        <v>3034172011.9517884</v>
      </c>
      <c r="I392" s="3">
        <f ca="1"/>
        <v>4964720</v>
      </c>
      <c r="J392" s="3">
        <f ca="1"/>
        <v>15124.12176</v>
      </c>
      <c r="K392" s="3">
        <f ca="1"/>
        <v>1471313633.7467725</v>
      </c>
    </row>
    <row r="393" spans="1:11" x14ac:dyDescent="0.3">
      <c r="A393" s="10">
        <f ca="1"/>
        <v>45619.229166666664</v>
      </c>
      <c r="B393" s="20">
        <f ca="1"/>
        <v>98892</v>
      </c>
      <c r="C393" s="20">
        <f ca="1"/>
        <v>98908.85</v>
      </c>
      <c r="D393" s="20">
        <f ca="1"/>
        <v>97136</v>
      </c>
      <c r="E393" s="20">
        <f ca="1"/>
        <v>97672.4</v>
      </c>
      <c r="F393" s="3">
        <f ca="1"/>
        <v>24757.843669999998</v>
      </c>
      <c r="G393" s="10">
        <f ca="1"/>
        <v>45620.229166655095</v>
      </c>
      <c r="H393" s="3">
        <f ca="1"/>
        <v>2431609866.3295145</v>
      </c>
      <c r="I393" s="3">
        <f ca="1"/>
        <v>3839138</v>
      </c>
      <c r="J393" s="3">
        <f ca="1"/>
        <v>11176.2487</v>
      </c>
      <c r="K393" s="3">
        <f ca="1"/>
        <v>1097538914.9412584</v>
      </c>
    </row>
    <row r="394" spans="1:11" x14ac:dyDescent="0.3">
      <c r="A394" s="10">
        <f ca="1"/>
        <v>45618.229166666664</v>
      </c>
      <c r="B394" s="20">
        <f ca="1"/>
        <v>98317.119999999995</v>
      </c>
      <c r="C394" s="20">
        <f ca="1"/>
        <v>99588.01</v>
      </c>
      <c r="D394" s="20">
        <f ca="1"/>
        <v>97122.11</v>
      </c>
      <c r="E394" s="20">
        <f ca="1"/>
        <v>98892</v>
      </c>
      <c r="F394" s="3">
        <f ca="1"/>
        <v>46189.309243000003</v>
      </c>
      <c r="G394" s="10">
        <f ca="1"/>
        <v>45619.229166655095</v>
      </c>
      <c r="H394" s="3">
        <f ca="1"/>
        <v>4555536773.363205</v>
      </c>
      <c r="I394" s="3">
        <f ca="1"/>
        <v>7271311</v>
      </c>
      <c r="J394" s="3">
        <f ca="1"/>
        <v>22709.668193000001</v>
      </c>
      <c r="K394" s="3">
        <f ca="1"/>
        <v>2240635299.6464839</v>
      </c>
    </row>
    <row r="395" spans="1:11" x14ac:dyDescent="0.3">
      <c r="A395" s="10">
        <f ca="1"/>
        <v>45617.229166666664</v>
      </c>
      <c r="B395" s="20">
        <f ca="1"/>
        <v>94286.56</v>
      </c>
      <c r="C395" s="20">
        <f ca="1"/>
        <v>98988</v>
      </c>
      <c r="D395" s="20">
        <f ca="1"/>
        <v>94040</v>
      </c>
      <c r="E395" s="20">
        <f ca="1"/>
        <v>98317.119999999995</v>
      </c>
      <c r="F395" s="3">
        <f ca="1"/>
        <v>69228.360476999995</v>
      </c>
      <c r="G395" s="10">
        <f ca="1"/>
        <v>45618.229166655095</v>
      </c>
      <c r="H395" s="3">
        <f ca="1"/>
        <v>6722807908.3256559</v>
      </c>
      <c r="I395" s="3">
        <f ca="1"/>
        <v>9048605</v>
      </c>
      <c r="J395" s="3">
        <f ca="1"/>
        <v>35424.063226999999</v>
      </c>
      <c r="K395" s="3">
        <f ca="1"/>
        <v>3440467290.3185272</v>
      </c>
    </row>
    <row r="396" spans="1:11" x14ac:dyDescent="0.3">
      <c r="A396" s="10">
        <f ca="1"/>
        <v>45616.229166666664</v>
      </c>
      <c r="B396" s="20">
        <f ca="1"/>
        <v>92310.8</v>
      </c>
      <c r="C396" s="20">
        <f ca="1"/>
        <v>94831.97</v>
      </c>
      <c r="D396" s="20">
        <f ca="1"/>
        <v>91500</v>
      </c>
      <c r="E396" s="20">
        <f ca="1"/>
        <v>94286.56</v>
      </c>
      <c r="F396" s="3">
        <f ca="1"/>
        <v>42203.198711999998</v>
      </c>
      <c r="G396" s="10">
        <f ca="1"/>
        <v>45617.229166655095</v>
      </c>
      <c r="H396" s="3">
        <f ca="1"/>
        <v>3950932314.646069</v>
      </c>
      <c r="I396" s="3">
        <f ca="1"/>
        <v>7365987</v>
      </c>
      <c r="J396" s="3">
        <f ca="1"/>
        <v>20425.307961999999</v>
      </c>
      <c r="K396" s="3">
        <f ca="1"/>
        <v>1912348704.247262</v>
      </c>
    </row>
    <row r="397" spans="1:11" x14ac:dyDescent="0.3">
      <c r="A397" s="10">
        <f ca="1"/>
        <v>45615.229166666664</v>
      </c>
      <c r="B397" s="20">
        <f ca="1"/>
        <v>90464.07</v>
      </c>
      <c r="C397" s="20">
        <f ca="1"/>
        <v>93905.51</v>
      </c>
      <c r="D397" s="20">
        <f ca="1"/>
        <v>90357</v>
      </c>
      <c r="E397" s="20">
        <f ca="1"/>
        <v>92310.79</v>
      </c>
      <c r="F397" s="3">
        <f ca="1"/>
        <v>43660.046820000003</v>
      </c>
      <c r="G397" s="10">
        <f ca="1"/>
        <v>45616.229166655095</v>
      </c>
      <c r="H397" s="3">
        <f ca="1"/>
        <v>4025108502.8496141</v>
      </c>
      <c r="I397" s="3">
        <f ca="1"/>
        <v>5647789</v>
      </c>
      <c r="J397" s="3">
        <f ca="1"/>
        <v>22127.852724</v>
      </c>
      <c r="K397" s="3">
        <f ca="1"/>
        <v>2040301638.1161728</v>
      </c>
    </row>
    <row r="398" spans="1:11" x14ac:dyDescent="0.3">
      <c r="A398" s="10">
        <f ca="1"/>
        <v>45614.229166666664</v>
      </c>
      <c r="B398" s="20">
        <f ca="1"/>
        <v>89855.98</v>
      </c>
      <c r="C398" s="20">
        <f ca="1"/>
        <v>92594</v>
      </c>
      <c r="D398" s="20">
        <f ca="1"/>
        <v>89376.9</v>
      </c>
      <c r="E398" s="20">
        <f ca="1"/>
        <v>90464.08</v>
      </c>
      <c r="F398" s="3">
        <f ca="1"/>
        <v>46545.034480000002</v>
      </c>
      <c r="G398" s="10">
        <f ca="1"/>
        <v>45615.229166655095</v>
      </c>
      <c r="H398" s="3">
        <f ca="1"/>
        <v>4239909950.6618938</v>
      </c>
      <c r="I398" s="3">
        <f ca="1"/>
        <v>7161125</v>
      </c>
      <c r="J398" s="3">
        <f ca="1"/>
        <v>23628.87098</v>
      </c>
      <c r="K398" s="3">
        <f ca="1"/>
        <v>2153158394.3163109</v>
      </c>
    </row>
    <row r="399" spans="1:11" x14ac:dyDescent="0.3">
      <c r="A399" s="10">
        <f ca="1"/>
        <v>45613.229166666664</v>
      </c>
      <c r="B399" s="20">
        <f ca="1"/>
        <v>90587.98</v>
      </c>
      <c r="C399" s="20">
        <f ca="1"/>
        <v>91449.99</v>
      </c>
      <c r="D399" s="20">
        <f ca="1"/>
        <v>88722</v>
      </c>
      <c r="E399" s="20">
        <f ca="1"/>
        <v>89855.99</v>
      </c>
      <c r="F399" s="3">
        <f ca="1"/>
        <v>23867.556089999998</v>
      </c>
      <c r="G399" s="10">
        <f ca="1"/>
        <v>45614.229166655095</v>
      </c>
      <c r="H399" s="3">
        <f ca="1"/>
        <v>2153871724.8103948</v>
      </c>
      <c r="I399" s="3">
        <f ca="1"/>
        <v>4930719</v>
      </c>
      <c r="J399" s="3">
        <f ca="1"/>
        <v>11852.78227</v>
      </c>
      <c r="K399" s="3">
        <f ca="1"/>
        <v>1070094820.6738938</v>
      </c>
    </row>
    <row r="400" spans="1:11" x14ac:dyDescent="0.3">
      <c r="A400" s="10">
        <f ca="1"/>
        <v>45612.229166666664</v>
      </c>
      <c r="B400" s="20">
        <f ca="1"/>
        <v>91032.08</v>
      </c>
      <c r="C400" s="20">
        <f ca="1"/>
        <v>91779.66</v>
      </c>
      <c r="D400" s="20">
        <f ca="1"/>
        <v>90056.17</v>
      </c>
      <c r="E400" s="20">
        <f ca="1"/>
        <v>90586.92</v>
      </c>
      <c r="F400" s="3">
        <f ca="1"/>
        <v>22717.87689</v>
      </c>
      <c r="G400" s="10">
        <f ca="1"/>
        <v>45613.229166655095</v>
      </c>
      <c r="H400" s="3">
        <f ca="1"/>
        <v>2067958511.9048474</v>
      </c>
      <c r="I400" s="3">
        <f ca="1"/>
        <v>4239455</v>
      </c>
      <c r="J400" s="3">
        <f ca="1"/>
        <v>11496.31366</v>
      </c>
      <c r="K400" s="3">
        <f ca="1"/>
        <v>1046686701.0029461</v>
      </c>
    </row>
    <row r="401" spans="1:11" x14ac:dyDescent="0.3">
      <c r="A401" s="10">
        <f ca="1"/>
        <v>45611.229166666664</v>
      </c>
      <c r="B401" s="20">
        <f ca="1"/>
        <v>87325.59</v>
      </c>
      <c r="C401" s="20">
        <f ca="1"/>
        <v>91850</v>
      </c>
      <c r="D401" s="20">
        <f ca="1"/>
        <v>87073.38</v>
      </c>
      <c r="E401" s="20">
        <f ca="1"/>
        <v>91032.07</v>
      </c>
      <c r="F401" s="3">
        <f ca="1"/>
        <v>47927.950680000002</v>
      </c>
      <c r="G401" s="10">
        <f ca="1"/>
        <v>45612.229166655095</v>
      </c>
      <c r="H401" s="3">
        <f ca="1"/>
        <v>4276238971.1814294</v>
      </c>
      <c r="I401" s="3">
        <f ca="1"/>
        <v>8009111</v>
      </c>
      <c r="J401" s="3">
        <f ca="1"/>
        <v>24800.61087</v>
      </c>
      <c r="K401" s="3">
        <f ca="1"/>
        <v>2213154236.5096154</v>
      </c>
    </row>
    <row r="402" spans="1:11" x14ac:dyDescent="0.3">
      <c r="A402" s="10">
        <f ca="1"/>
        <v>45610.229166666664</v>
      </c>
      <c r="B402" s="20">
        <f ca="1"/>
        <v>90375.21</v>
      </c>
      <c r="C402" s="20">
        <f ca="1"/>
        <v>91790</v>
      </c>
      <c r="D402" s="20">
        <f ca="1"/>
        <v>86668.21</v>
      </c>
      <c r="E402" s="20">
        <f ca="1"/>
        <v>87325.59</v>
      </c>
      <c r="F402" s="3">
        <f ca="1"/>
        <v>56729.510860000002</v>
      </c>
      <c r="G402" s="10">
        <f ca="1"/>
        <v>45611.229166655095</v>
      </c>
      <c r="H402" s="3">
        <f ca="1"/>
        <v>5073860815.9286652</v>
      </c>
      <c r="I402" s="3">
        <f ca="1"/>
        <v>9828858</v>
      </c>
      <c r="J402" s="3">
        <f ca="1"/>
        <v>27940.856</v>
      </c>
      <c r="K402" s="3">
        <f ca="1"/>
        <v>2499212755.7731471</v>
      </c>
    </row>
    <row r="403" spans="1:11" x14ac:dyDescent="0.3">
      <c r="A403" s="10">
        <f ca="1"/>
        <v>45609.229166666664</v>
      </c>
      <c r="B403" s="20">
        <f ca="1"/>
        <v>87952</v>
      </c>
      <c r="C403" s="20">
        <f ca="1"/>
        <v>93265.64</v>
      </c>
      <c r="D403" s="20">
        <f ca="1"/>
        <v>86127.99</v>
      </c>
      <c r="E403" s="20">
        <f ca="1"/>
        <v>90375.2</v>
      </c>
      <c r="F403" s="3">
        <f ca="1"/>
        <v>86763.854126999999</v>
      </c>
      <c r="G403" s="10">
        <f ca="1"/>
        <v>45610.229166655095</v>
      </c>
      <c r="H403" s="3">
        <f ca="1"/>
        <v>7790928962.0430384</v>
      </c>
      <c r="I403" s="3">
        <f ca="1"/>
        <v>11962100</v>
      </c>
      <c r="J403" s="3">
        <f ca="1"/>
        <v>44342.329326999999</v>
      </c>
      <c r="K403" s="3">
        <f ca="1"/>
        <v>3983689817.4014444</v>
      </c>
    </row>
    <row r="404" spans="1:11" x14ac:dyDescent="0.3">
      <c r="A404" s="10">
        <f ca="1"/>
        <v>45608.229166666664</v>
      </c>
      <c r="B404" s="20">
        <f ca="1"/>
        <v>88648</v>
      </c>
      <c r="C404" s="20">
        <f ca="1"/>
        <v>89940</v>
      </c>
      <c r="D404" s="20">
        <f ca="1"/>
        <v>85072</v>
      </c>
      <c r="E404" s="20">
        <f ca="1"/>
        <v>87952.01</v>
      </c>
      <c r="F404" s="3">
        <f ca="1"/>
        <v>97299.887910999998</v>
      </c>
      <c r="G404" s="10">
        <f ca="1"/>
        <v>45609.229166655095</v>
      </c>
      <c r="H404" s="3">
        <f ca="1"/>
        <v>8540084566.2798185</v>
      </c>
      <c r="I404" s="3">
        <f ca="1"/>
        <v>11499058</v>
      </c>
      <c r="J404" s="3">
        <f ca="1"/>
        <v>49589.333450999999</v>
      </c>
      <c r="K404" s="3">
        <f ca="1"/>
        <v>4353451682.8294039</v>
      </c>
    </row>
    <row r="405" spans="1:11" x14ac:dyDescent="0.3">
      <c r="A405" s="10">
        <f ca="1"/>
        <v>45607.229166666664</v>
      </c>
      <c r="B405" s="20">
        <f ca="1"/>
        <v>80370.009999999995</v>
      </c>
      <c r="C405" s="20">
        <f ca="1"/>
        <v>89530.54</v>
      </c>
      <c r="D405" s="20">
        <f ca="1"/>
        <v>80216.009999999995</v>
      </c>
      <c r="E405" s="20">
        <f ca="1"/>
        <v>88647.99</v>
      </c>
      <c r="F405" s="3">
        <f ca="1"/>
        <v>82323.665775999994</v>
      </c>
      <c r="G405" s="10">
        <f ca="1"/>
        <v>45608.229166655095</v>
      </c>
      <c r="H405" s="3">
        <f ca="1"/>
        <v>6944268709.9427214</v>
      </c>
      <c r="I405" s="3">
        <f ca="1"/>
        <v>9348890</v>
      </c>
      <c r="J405" s="3">
        <f ca="1"/>
        <v>42837.295314000003</v>
      </c>
      <c r="K405" s="3">
        <f ca="1"/>
        <v>3613896167.371912</v>
      </c>
    </row>
    <row r="406" spans="1:11" x14ac:dyDescent="0.3">
      <c r="A406" s="10">
        <f ca="1"/>
        <v>45606.229166666664</v>
      </c>
      <c r="B406" s="20">
        <f ca="1"/>
        <v>76677.460000000006</v>
      </c>
      <c r="C406" s="20">
        <f ca="1"/>
        <v>81500</v>
      </c>
      <c r="D406" s="20">
        <f ca="1"/>
        <v>76492</v>
      </c>
      <c r="E406" s="20">
        <f ca="1"/>
        <v>80370.009999999995</v>
      </c>
      <c r="F406" s="3">
        <f ca="1"/>
        <v>61830.100435</v>
      </c>
      <c r="G406" s="10">
        <f ca="1"/>
        <v>45607.229166655095</v>
      </c>
      <c r="H406" s="3">
        <f ca="1"/>
        <v>4905441473.9007368</v>
      </c>
      <c r="I406" s="3">
        <f ca="1"/>
        <v>7128598</v>
      </c>
      <c r="J406" s="3">
        <f ca="1"/>
        <v>32751.012177000001</v>
      </c>
      <c r="K406" s="3">
        <f ca="1"/>
        <v>2597409399.2349629</v>
      </c>
    </row>
    <row r="407" spans="1:11" x14ac:dyDescent="0.3">
      <c r="A407" s="10">
        <f ca="1"/>
        <v>45605.229166666664</v>
      </c>
      <c r="B407" s="20">
        <f ca="1"/>
        <v>76509.78</v>
      </c>
      <c r="C407" s="20">
        <f ca="1"/>
        <v>76900</v>
      </c>
      <c r="D407" s="20">
        <f ca="1"/>
        <v>75714.66</v>
      </c>
      <c r="E407" s="20">
        <f ca="1"/>
        <v>76677.460000000006</v>
      </c>
      <c r="F407" s="3">
        <f ca="1"/>
        <v>16942.079150000001</v>
      </c>
      <c r="G407" s="10">
        <f ca="1"/>
        <v>45606.229166655095</v>
      </c>
      <c r="H407" s="3">
        <f ca="1"/>
        <v>1294709001.60289</v>
      </c>
      <c r="I407" s="3">
        <f ca="1"/>
        <v>2585264</v>
      </c>
      <c r="J407" s="3">
        <f ca="1"/>
        <v>8032.7932700000001</v>
      </c>
      <c r="K407" s="3">
        <f ca="1"/>
        <v>614028515.30017054</v>
      </c>
    </row>
    <row r="408" spans="1:11" x14ac:dyDescent="0.3">
      <c r="A408" s="10">
        <f ca="1"/>
        <v>45604.229166666664</v>
      </c>
      <c r="B408" s="20">
        <f ca="1"/>
        <v>75857.89</v>
      </c>
      <c r="C408" s="20">
        <f ca="1"/>
        <v>77199.990000000005</v>
      </c>
      <c r="D408" s="20">
        <f ca="1"/>
        <v>75555</v>
      </c>
      <c r="E408" s="20">
        <f ca="1"/>
        <v>76509.78</v>
      </c>
      <c r="F408" s="3">
        <f ca="1"/>
        <v>36521.099583000003</v>
      </c>
      <c r="G408" s="10">
        <f ca="1"/>
        <v>45605.229166655095</v>
      </c>
      <c r="H408" s="3">
        <f ca="1"/>
        <v>2784449097.5315185</v>
      </c>
      <c r="I408" s="3">
        <f ca="1"/>
        <v>4877489</v>
      </c>
      <c r="J408" s="3">
        <f ca="1"/>
        <v>17555.393633</v>
      </c>
      <c r="K408" s="3">
        <f ca="1"/>
        <v>1339019332.1967125</v>
      </c>
    </row>
    <row r="409" spans="1:11" x14ac:dyDescent="0.3">
      <c r="A409" s="10">
        <f ca="1"/>
        <v>45603.229166666664</v>
      </c>
      <c r="B409" s="20">
        <f ca="1"/>
        <v>75571.990000000005</v>
      </c>
      <c r="C409" s="20">
        <f ca="1"/>
        <v>76849.990000000005</v>
      </c>
      <c r="D409" s="20">
        <f ca="1"/>
        <v>74416</v>
      </c>
      <c r="E409" s="20">
        <f ca="1"/>
        <v>75857.89</v>
      </c>
      <c r="F409" s="3">
        <f ca="1"/>
        <v>44869.422344999999</v>
      </c>
      <c r="G409" s="10">
        <f ca="1"/>
        <v>45604.229166655095</v>
      </c>
      <c r="H409" s="3">
        <f ca="1"/>
        <v>3391796661.9719553</v>
      </c>
      <c r="I409" s="3">
        <f ca="1"/>
        <v>5207722</v>
      </c>
      <c r="J409" s="3">
        <f ca="1"/>
        <v>21805.460295000001</v>
      </c>
      <c r="K409" s="3">
        <f ca="1"/>
        <v>1648278335.3007331</v>
      </c>
    </row>
    <row r="410" spans="1:11" x14ac:dyDescent="0.3">
      <c r="A410" s="10">
        <f ca="1"/>
        <v>45602.229166666664</v>
      </c>
      <c r="B410" s="20">
        <f ca="1"/>
        <v>69372.009999999995</v>
      </c>
      <c r="C410" s="20">
        <f ca="1"/>
        <v>76400</v>
      </c>
      <c r="D410" s="20">
        <f ca="1"/>
        <v>69298</v>
      </c>
      <c r="E410" s="20">
        <f ca="1"/>
        <v>75571.990000000005</v>
      </c>
      <c r="F410" s="3">
        <f ca="1"/>
        <v>104126.994787</v>
      </c>
      <c r="G410" s="10">
        <f ca="1"/>
        <v>45603.229166655095</v>
      </c>
      <c r="H410" s="3">
        <f ca="1"/>
        <v>7702283270.258009</v>
      </c>
      <c r="I410" s="3">
        <f ca="1"/>
        <v>8434184</v>
      </c>
      <c r="J410" s="3">
        <f ca="1"/>
        <v>53243.884426999997</v>
      </c>
      <c r="K410" s="3">
        <f ca="1"/>
        <v>3938516657.2327332</v>
      </c>
    </row>
    <row r="411" spans="1:11" x14ac:dyDescent="0.3">
      <c r="A411" s="10">
        <f ca="1"/>
        <v>45601.229166666664</v>
      </c>
      <c r="B411" s="20">
        <f ca="1"/>
        <v>67850.009999999995</v>
      </c>
      <c r="C411" s="20">
        <f ca="1"/>
        <v>70577.91</v>
      </c>
      <c r="D411" s="20">
        <f ca="1"/>
        <v>67476.63</v>
      </c>
      <c r="E411" s="20">
        <f ca="1"/>
        <v>69372.009999999995</v>
      </c>
      <c r="F411" s="3">
        <f ca="1"/>
        <v>33355.068879999999</v>
      </c>
      <c r="G411" s="10">
        <f ca="1"/>
        <v>45602.229166655095</v>
      </c>
      <c r="H411" s="3">
        <f ca="1"/>
        <v>2310418908.069922</v>
      </c>
      <c r="I411" s="3">
        <f ca="1"/>
        <v>4955644</v>
      </c>
      <c r="J411" s="3">
        <f ca="1"/>
        <v>17059.886630000001</v>
      </c>
      <c r="K411" s="3">
        <f ca="1"/>
        <v>1181816730.9237833</v>
      </c>
    </row>
    <row r="412" spans="1:11" x14ac:dyDescent="0.3">
      <c r="A412" s="10">
        <f ca="1"/>
        <v>45600.229166666664</v>
      </c>
      <c r="B412" s="20">
        <f ca="1"/>
        <v>68775.990000000005</v>
      </c>
      <c r="C412" s="20">
        <f ca="1"/>
        <v>69500</v>
      </c>
      <c r="D412" s="20">
        <f ca="1"/>
        <v>66835</v>
      </c>
      <c r="E412" s="20">
        <f ca="1"/>
        <v>67850.009999999995</v>
      </c>
      <c r="F412" s="3">
        <f ca="1"/>
        <v>29800.391869999999</v>
      </c>
      <c r="G412" s="10">
        <f ca="1"/>
        <v>45601.229166655095</v>
      </c>
      <c r="H412" s="3">
        <f ca="1"/>
        <v>2033902307.0027761</v>
      </c>
      <c r="I412" s="3">
        <f ca="1"/>
        <v>5377048</v>
      </c>
      <c r="J412" s="3">
        <f ca="1"/>
        <v>14927.24077</v>
      </c>
      <c r="K412" s="3">
        <f ca="1"/>
        <v>1019257547.5246849</v>
      </c>
    </row>
    <row r="413" spans="1:11" x14ac:dyDescent="0.3">
      <c r="A413" s="10">
        <f ca="1"/>
        <v>45599.229166666664</v>
      </c>
      <c r="B413" s="20">
        <f ca="1"/>
        <v>69374.740000000005</v>
      </c>
      <c r="C413" s="20">
        <f ca="1"/>
        <v>69391</v>
      </c>
      <c r="D413" s="20">
        <f ca="1"/>
        <v>67478.73</v>
      </c>
      <c r="E413" s="20">
        <f ca="1"/>
        <v>68775.990000000005</v>
      </c>
      <c r="F413" s="3">
        <f ca="1"/>
        <v>24995.702430000001</v>
      </c>
      <c r="G413" s="10">
        <f ca="1"/>
        <v>45600.229166655095</v>
      </c>
      <c r="H413" s="3">
        <f ca="1"/>
        <v>1709666206.4062023</v>
      </c>
      <c r="I413" s="3">
        <f ca="1"/>
        <v>3668029</v>
      </c>
      <c r="J413" s="3">
        <f ca="1"/>
        <v>12277.581770000001</v>
      </c>
      <c r="K413" s="3">
        <f ca="1"/>
        <v>839939073.13895774</v>
      </c>
    </row>
    <row r="414" spans="1:11" x14ac:dyDescent="0.3">
      <c r="A414" s="10">
        <f ca="1"/>
        <v>45598.229166666664</v>
      </c>
      <c r="B414" s="20">
        <f ca="1"/>
        <v>69496</v>
      </c>
      <c r="C414" s="20">
        <f ca="1"/>
        <v>69914.37</v>
      </c>
      <c r="D414" s="20">
        <f ca="1"/>
        <v>69000.14</v>
      </c>
      <c r="E414" s="20">
        <f ca="1"/>
        <v>69374.740000000005</v>
      </c>
      <c r="F414" s="3">
        <f ca="1"/>
        <v>10521.672430000001</v>
      </c>
      <c r="G414" s="10">
        <f ca="1"/>
        <v>45599.229166655095</v>
      </c>
      <c r="H414" s="3">
        <f ca="1"/>
        <v>731232427.63115478</v>
      </c>
      <c r="I414" s="3">
        <f ca="1"/>
        <v>1603561</v>
      </c>
      <c r="J414" s="3">
        <f ca="1"/>
        <v>5227.50713</v>
      </c>
      <c r="K414" s="3">
        <f ca="1"/>
        <v>363370734.81580108</v>
      </c>
    </row>
    <row r="415" spans="1:11" x14ac:dyDescent="0.3">
      <c r="A415" s="10">
        <f ca="1"/>
        <v>45597.229166666664</v>
      </c>
      <c r="B415" s="20">
        <f ca="1"/>
        <v>70292.009999999995</v>
      </c>
      <c r="C415" s="20">
        <f ca="1"/>
        <v>71632.95</v>
      </c>
      <c r="D415" s="20">
        <f ca="1"/>
        <v>68820.14</v>
      </c>
      <c r="E415" s="20">
        <f ca="1"/>
        <v>69496.009999999995</v>
      </c>
      <c r="F415" s="3">
        <f ca="1"/>
        <v>38301.867550000003</v>
      </c>
      <c r="G415" s="10">
        <f ca="1"/>
        <v>45598.229166655095</v>
      </c>
      <c r="H415" s="3">
        <f ca="1"/>
        <v>2677358022.0049701</v>
      </c>
      <c r="I415" s="3">
        <f ca="1"/>
        <v>4569271</v>
      </c>
      <c r="J415" s="3">
        <f ca="1"/>
        <v>18044.162199999999</v>
      </c>
      <c r="K415" s="3">
        <f ca="1"/>
        <v>1261663986.7596903</v>
      </c>
    </row>
    <row r="416" spans="1:11" x14ac:dyDescent="0.3">
      <c r="A416" s="10">
        <f ca="1"/>
        <v>45596.229166666664</v>
      </c>
      <c r="B416" s="20">
        <f ca="1"/>
        <v>72344.75</v>
      </c>
      <c r="C416" s="20">
        <f ca="1"/>
        <v>72700</v>
      </c>
      <c r="D416" s="20">
        <f ca="1"/>
        <v>69685.759999999995</v>
      </c>
      <c r="E416" s="20">
        <f ca="1"/>
        <v>70292.009999999995</v>
      </c>
      <c r="F416" s="3">
        <f ca="1"/>
        <v>29352.10297</v>
      </c>
      <c r="G416" s="10">
        <f ca="1"/>
        <v>45597.229166655095</v>
      </c>
      <c r="H416" s="3">
        <f ca="1"/>
        <v>2091144977.4946847</v>
      </c>
      <c r="I416" s="3">
        <f ca="1"/>
        <v>4525542</v>
      </c>
      <c r="J416" s="3">
        <f ca="1"/>
        <v>14205.138790000001</v>
      </c>
      <c r="K416" s="3">
        <f ca="1"/>
        <v>1012048241.8498938</v>
      </c>
    </row>
    <row r="417" spans="1:11" x14ac:dyDescent="0.3">
      <c r="A417" s="10">
        <f ca="1"/>
        <v>45595.229166666664</v>
      </c>
      <c r="B417" s="20">
        <f ca="1"/>
        <v>72736.41</v>
      </c>
      <c r="C417" s="20">
        <f ca="1"/>
        <v>72961</v>
      </c>
      <c r="D417" s="20">
        <f ca="1"/>
        <v>71436</v>
      </c>
      <c r="E417" s="20">
        <f ca="1"/>
        <v>72344.740000000005</v>
      </c>
      <c r="F417" s="3">
        <f ca="1"/>
        <v>26885.990559999998</v>
      </c>
      <c r="G417" s="10">
        <f ca="1"/>
        <v>45596.229166655095</v>
      </c>
      <c r="H417" s="3">
        <f ca="1"/>
        <v>1941210537.2882867</v>
      </c>
      <c r="I417" s="3">
        <f ca="1"/>
        <v>4040734</v>
      </c>
      <c r="J417" s="3">
        <f ca="1"/>
        <v>13487.214330000001</v>
      </c>
      <c r="K417" s="3">
        <f ca="1"/>
        <v>973898183.74672782</v>
      </c>
    </row>
    <row r="418" spans="1:11" x14ac:dyDescent="0.3">
      <c r="A418" s="10">
        <f ca="1"/>
        <v>45594.229166666664</v>
      </c>
      <c r="B418" s="20">
        <f ca="1"/>
        <v>69962.210000000006</v>
      </c>
      <c r="C418" s="20">
        <f ca="1"/>
        <v>73620.12</v>
      </c>
      <c r="D418" s="20">
        <f ca="1"/>
        <v>69760</v>
      </c>
      <c r="E418" s="20">
        <f ca="1"/>
        <v>72736.42</v>
      </c>
      <c r="F418" s="3">
        <f ca="1"/>
        <v>50128.605940000001</v>
      </c>
      <c r="G418" s="10">
        <f ca="1"/>
        <v>45595.229166655095</v>
      </c>
      <c r="H418" s="3">
        <f ca="1"/>
        <v>3602465986.8917575</v>
      </c>
      <c r="I418" s="3">
        <f ca="1"/>
        <v>5645430</v>
      </c>
      <c r="J418" s="3">
        <f ca="1"/>
        <v>26898.46516</v>
      </c>
      <c r="K418" s="3">
        <f ca="1"/>
        <v>1932608784.1630373</v>
      </c>
    </row>
    <row r="419" spans="1:11" x14ac:dyDescent="0.3">
      <c r="A419" s="10">
        <f ca="1"/>
        <v>45593.229166666664</v>
      </c>
      <c r="B419" s="20">
        <f ca="1"/>
        <v>68021.69</v>
      </c>
      <c r="C419" s="20">
        <f ca="1"/>
        <v>70270</v>
      </c>
      <c r="D419" s="20">
        <f ca="1"/>
        <v>67618</v>
      </c>
      <c r="E419" s="20">
        <f ca="1"/>
        <v>69962.210000000006</v>
      </c>
      <c r="F419" s="3">
        <f ca="1"/>
        <v>29046.75459</v>
      </c>
      <c r="G419" s="10">
        <f ca="1"/>
        <v>45594.229166655095</v>
      </c>
      <c r="H419" s="3">
        <f ca="1"/>
        <v>2005105729.8174448</v>
      </c>
      <c r="I419" s="3">
        <f ca="1"/>
        <v>4432446</v>
      </c>
      <c r="J419" s="3">
        <f ca="1"/>
        <v>15218.349759999999</v>
      </c>
      <c r="K419" s="3">
        <f ca="1"/>
        <v>1051606096.4298259</v>
      </c>
    </row>
    <row r="420" spans="1:11" x14ac:dyDescent="0.3">
      <c r="A420" s="10">
        <f ca="1"/>
        <v>45592.229166666664</v>
      </c>
      <c r="B420" s="20">
        <f ca="1"/>
        <v>67092.759999999995</v>
      </c>
      <c r="C420" s="20">
        <f ca="1"/>
        <v>68332.05</v>
      </c>
      <c r="D420" s="20">
        <f ca="1"/>
        <v>66913.73</v>
      </c>
      <c r="E420" s="20">
        <f ca="1"/>
        <v>68021.7</v>
      </c>
      <c r="F420" s="3">
        <f ca="1"/>
        <v>8653.1959200000001</v>
      </c>
      <c r="G420" s="10">
        <f ca="1"/>
        <v>45593.229166655095</v>
      </c>
      <c r="H420" s="3">
        <f ca="1"/>
        <v>585006148.47048092</v>
      </c>
      <c r="I420" s="3">
        <f ca="1"/>
        <v>1771989</v>
      </c>
      <c r="J420" s="3">
        <f ca="1"/>
        <v>4417.7362000000003</v>
      </c>
      <c r="K420" s="3">
        <f ca="1"/>
        <v>298699666.99843931</v>
      </c>
    </row>
    <row r="421" spans="1:11" x14ac:dyDescent="0.3">
      <c r="A421" s="10">
        <f ca="1"/>
        <v>45591.229166666664</v>
      </c>
      <c r="B421" s="20">
        <f ca="1"/>
        <v>66698.320000000007</v>
      </c>
      <c r="C421" s="20">
        <f ca="1"/>
        <v>67454.55</v>
      </c>
      <c r="D421" s="20">
        <f ca="1"/>
        <v>66439.899999999994</v>
      </c>
      <c r="E421" s="20">
        <f ca="1"/>
        <v>67092.759999999995</v>
      </c>
      <c r="F421" s="3">
        <f ca="1"/>
        <v>11842.9077</v>
      </c>
      <c r="G421" s="10">
        <f ca="1"/>
        <v>45592.229166655095</v>
      </c>
      <c r="H421" s="3">
        <f ca="1"/>
        <v>792887047.147892</v>
      </c>
      <c r="I421" s="3">
        <f ca="1"/>
        <v>2373501</v>
      </c>
      <c r="J421" s="3">
        <f ca="1"/>
        <v>6069.1898600000004</v>
      </c>
      <c r="K421" s="3">
        <f ca="1"/>
        <v>406369780.15329438</v>
      </c>
    </row>
    <row r="422" spans="1:11" x14ac:dyDescent="0.3">
      <c r="A422" s="10">
        <f ca="1"/>
        <v>45590.229166666664</v>
      </c>
      <c r="B422" s="20">
        <f ca="1"/>
        <v>68198.27</v>
      </c>
      <c r="C422" s="20">
        <f ca="1"/>
        <v>68771.490000000005</v>
      </c>
      <c r="D422" s="20">
        <f ca="1"/>
        <v>65596.289999999994</v>
      </c>
      <c r="E422" s="20">
        <f ca="1"/>
        <v>66698.33</v>
      </c>
      <c r="F422" s="3">
        <f ca="1"/>
        <v>34479.71125</v>
      </c>
      <c r="G422" s="10">
        <f ca="1"/>
        <v>45591.229166655095</v>
      </c>
      <c r="H422" s="3">
        <f ca="1"/>
        <v>2320667435.2932539</v>
      </c>
      <c r="I422" s="3">
        <f ca="1"/>
        <v>5332593</v>
      </c>
      <c r="J422" s="3">
        <f ca="1"/>
        <v>16031.031999999999</v>
      </c>
      <c r="K422" s="3">
        <f ca="1"/>
        <v>1079347459.1549635</v>
      </c>
    </row>
    <row r="423" spans="1:11" x14ac:dyDescent="0.3">
      <c r="A423" s="10">
        <f ca="1"/>
        <v>45589.229166666664</v>
      </c>
      <c r="B423" s="20">
        <f ca="1"/>
        <v>66668.649999999994</v>
      </c>
      <c r="C423" s="20">
        <f ca="1"/>
        <v>68850</v>
      </c>
      <c r="D423" s="20">
        <f ca="1"/>
        <v>66510</v>
      </c>
      <c r="E423" s="20">
        <f ca="1"/>
        <v>68198.28</v>
      </c>
      <c r="F423" s="3">
        <f ca="1"/>
        <v>22589.838769999998</v>
      </c>
      <c r="G423" s="10">
        <f ca="1"/>
        <v>45590.229166655095</v>
      </c>
      <c r="H423" s="3">
        <f ca="1"/>
        <v>1526736320.9129381</v>
      </c>
      <c r="I423" s="3">
        <f ca="1"/>
        <v>3797462</v>
      </c>
      <c r="J423" s="3">
        <f ca="1"/>
        <v>11502.585139999999</v>
      </c>
      <c r="K423" s="3">
        <f ca="1"/>
        <v>777936396.52474594</v>
      </c>
    </row>
    <row r="424" spans="1:11" x14ac:dyDescent="0.3">
      <c r="A424" s="10">
        <f ca="1"/>
        <v>45588.229166666664</v>
      </c>
      <c r="B424" s="20">
        <f ca="1"/>
        <v>67426.009999999995</v>
      </c>
      <c r="C424" s="20">
        <f ca="1"/>
        <v>67472.83</v>
      </c>
      <c r="D424" s="20">
        <f ca="1"/>
        <v>65260</v>
      </c>
      <c r="E424" s="20">
        <f ca="1"/>
        <v>66668.649999999994</v>
      </c>
      <c r="F424" s="3">
        <f ca="1"/>
        <v>25530.240699999998</v>
      </c>
      <c r="G424" s="10">
        <f ca="1"/>
        <v>45589.229166655095</v>
      </c>
      <c r="H424" s="3">
        <f ca="1"/>
        <v>1695101430.9187467</v>
      </c>
      <c r="I424" s="3">
        <f ca="1"/>
        <v>3807365</v>
      </c>
      <c r="J424" s="3">
        <f ca="1"/>
        <v>11888.33995</v>
      </c>
      <c r="K424" s="3">
        <f ca="1"/>
        <v>789384635.11068594</v>
      </c>
    </row>
    <row r="425" spans="1:11" x14ac:dyDescent="0.3">
      <c r="A425" s="10">
        <f ca="1"/>
        <v>45587.229166666664</v>
      </c>
      <c r="B425" s="20">
        <f ca="1"/>
        <v>67377.5</v>
      </c>
      <c r="C425" s="20">
        <f ca="1"/>
        <v>67836.009999999995</v>
      </c>
      <c r="D425" s="20">
        <f ca="1"/>
        <v>66571.42</v>
      </c>
      <c r="E425" s="20">
        <f ca="1"/>
        <v>67426</v>
      </c>
      <c r="F425" s="3">
        <f ca="1"/>
        <v>24598.962680000001</v>
      </c>
      <c r="G425" s="10">
        <f ca="1"/>
        <v>45588.229166655095</v>
      </c>
      <c r="H425" s="3">
        <f ca="1"/>
        <v>1654285791.6605556</v>
      </c>
      <c r="I425" s="3">
        <f ca="1"/>
        <v>3669291</v>
      </c>
      <c r="J425" s="3">
        <f ca="1"/>
        <v>12400.51857</v>
      </c>
      <c r="K425" s="3">
        <f ca="1"/>
        <v>834160889.23987365</v>
      </c>
    </row>
    <row r="426" spans="1:11" x14ac:dyDescent="0.3">
      <c r="A426" s="10">
        <f ca="1"/>
        <v>45586.229166666664</v>
      </c>
      <c r="B426" s="20">
        <f ca="1"/>
        <v>69032</v>
      </c>
      <c r="C426" s="20">
        <f ca="1"/>
        <v>69519.520000000004</v>
      </c>
      <c r="D426" s="20">
        <f ca="1"/>
        <v>66840.67</v>
      </c>
      <c r="E426" s="20">
        <f ca="1"/>
        <v>67377.5</v>
      </c>
      <c r="F426" s="3">
        <f ca="1"/>
        <v>31374.421839999999</v>
      </c>
      <c r="G426" s="10">
        <f ca="1"/>
        <v>45587.229166655095</v>
      </c>
      <c r="H426" s="3">
        <f ca="1"/>
        <v>2130833593.5466976</v>
      </c>
      <c r="I426" s="3">
        <f ca="1"/>
        <v>3686777</v>
      </c>
      <c r="J426" s="3">
        <f ca="1"/>
        <v>13593.60828</v>
      </c>
      <c r="K426" s="3">
        <f ca="1"/>
        <v>923860758.42088437</v>
      </c>
    </row>
    <row r="427" spans="1:11" x14ac:dyDescent="0.3">
      <c r="A427" s="10">
        <f ca="1"/>
        <v>45585.229166666664</v>
      </c>
      <c r="B427" s="20">
        <f ca="1"/>
        <v>68377.990000000005</v>
      </c>
      <c r="C427" s="20">
        <f ca="1"/>
        <v>69400</v>
      </c>
      <c r="D427" s="20">
        <f ca="1"/>
        <v>68100</v>
      </c>
      <c r="E427" s="20">
        <f ca="1"/>
        <v>69031.990000000005</v>
      </c>
      <c r="F427" s="3">
        <f ca="1"/>
        <v>12442.47378</v>
      </c>
      <c r="G427" s="10">
        <f ca="1"/>
        <v>45586.229166655095</v>
      </c>
      <c r="H427" s="3">
        <f ca="1"/>
        <v>854082429.81058609</v>
      </c>
      <c r="I427" s="3">
        <f ca="1"/>
        <v>1563795</v>
      </c>
      <c r="J427" s="3">
        <f ca="1"/>
        <v>6772.9257399999997</v>
      </c>
      <c r="K427" s="3">
        <f ca="1"/>
        <v>465001555.93098301</v>
      </c>
    </row>
    <row r="428" spans="1:11" x14ac:dyDescent="0.3">
      <c r="A428" s="10">
        <f ca="1"/>
        <v>45584.229166666664</v>
      </c>
      <c r="B428" s="20">
        <f ca="1"/>
        <v>68427.990000000005</v>
      </c>
      <c r="C428" s="20">
        <f ca="1"/>
        <v>68693.259999999995</v>
      </c>
      <c r="D428" s="20">
        <f ca="1"/>
        <v>68010</v>
      </c>
      <c r="E428" s="20">
        <f ca="1"/>
        <v>68378</v>
      </c>
      <c r="F428" s="3">
        <f ca="1"/>
        <v>8193.6673699999992</v>
      </c>
      <c r="G428" s="10">
        <f ca="1"/>
        <v>45585.229166655095</v>
      </c>
      <c r="H428" s="3">
        <f ca="1"/>
        <v>559628628.96131051</v>
      </c>
      <c r="I428" s="3">
        <f ca="1"/>
        <v>1152428</v>
      </c>
      <c r="J428" s="3">
        <f ca="1"/>
        <v>4071.1962699999999</v>
      </c>
      <c r="K428" s="3">
        <f ca="1"/>
        <v>278085065.51769251</v>
      </c>
    </row>
    <row r="429" spans="1:11" x14ac:dyDescent="0.3">
      <c r="A429" s="10">
        <f ca="1"/>
        <v>45583.229166666664</v>
      </c>
      <c r="B429" s="20">
        <f ca="1"/>
        <v>67421.78</v>
      </c>
      <c r="C429" s="20">
        <f ca="1"/>
        <v>69000</v>
      </c>
      <c r="D429" s="20">
        <f ca="1"/>
        <v>67192.36</v>
      </c>
      <c r="E429" s="20">
        <f ca="1"/>
        <v>68428</v>
      </c>
      <c r="F429" s="3">
        <f ca="1"/>
        <v>28725.634999999998</v>
      </c>
      <c r="G429" s="10">
        <f ca="1"/>
        <v>45584.229166655095</v>
      </c>
      <c r="H429" s="3">
        <f ca="1"/>
        <v>1959735899.8769643</v>
      </c>
      <c r="I429" s="3">
        <f ca="1"/>
        <v>4010969</v>
      </c>
      <c r="J429" s="3">
        <f ca="1"/>
        <v>14218.1785</v>
      </c>
      <c r="K429" s="3">
        <f ca="1"/>
        <v>970440964.26681173</v>
      </c>
    </row>
    <row r="430" spans="1:11" x14ac:dyDescent="0.3">
      <c r="A430" s="10">
        <f ca="1"/>
        <v>45582.229166666664</v>
      </c>
      <c r="B430" s="20">
        <f ca="1"/>
        <v>67620</v>
      </c>
      <c r="C430" s="20">
        <f ca="1"/>
        <v>67939.399999999994</v>
      </c>
      <c r="D430" s="20">
        <f ca="1"/>
        <v>66666</v>
      </c>
      <c r="E430" s="20">
        <f ca="1"/>
        <v>67421.78</v>
      </c>
      <c r="F430" s="3">
        <f ca="1"/>
        <v>25328.228609999998</v>
      </c>
      <c r="G430" s="10">
        <f ca="1"/>
        <v>45583.229166655095</v>
      </c>
      <c r="H430" s="3">
        <f ca="1"/>
        <v>1702164439.5654595</v>
      </c>
      <c r="I430" s="3">
        <f ca="1"/>
        <v>3981960</v>
      </c>
      <c r="J430" s="3">
        <f ca="1"/>
        <v>12153.947120000001</v>
      </c>
      <c r="K430" s="3">
        <f ca="1"/>
        <v>816887407.40423787</v>
      </c>
    </row>
    <row r="431" spans="1:11" x14ac:dyDescent="0.3">
      <c r="A431" s="10">
        <f ca="1"/>
        <v>45581.229166666664</v>
      </c>
      <c r="B431" s="20">
        <f ca="1"/>
        <v>67074.14</v>
      </c>
      <c r="C431" s="20">
        <f ca="1"/>
        <v>68424</v>
      </c>
      <c r="D431" s="20">
        <f ca="1"/>
        <v>66750.490000000005</v>
      </c>
      <c r="E431" s="20">
        <f ca="1"/>
        <v>67620.009999999995</v>
      </c>
      <c r="F431" s="3">
        <f ca="1"/>
        <v>29938.255440000001</v>
      </c>
      <c r="G431" s="10">
        <f ca="1"/>
        <v>45582.229166655095</v>
      </c>
      <c r="H431" s="3">
        <f ca="1"/>
        <v>2024560410.1062675</v>
      </c>
      <c r="I431" s="3">
        <f ca="1"/>
        <v>5109685</v>
      </c>
      <c r="J431" s="3">
        <f ca="1"/>
        <v>15212.874019999999</v>
      </c>
      <c r="K431" s="3">
        <f ca="1"/>
        <v>1029210667.4758284</v>
      </c>
    </row>
    <row r="432" spans="1:11" x14ac:dyDescent="0.3">
      <c r="A432" s="10">
        <f ca="1"/>
        <v>45580.229166666664</v>
      </c>
      <c r="B432" s="20">
        <f ca="1"/>
        <v>66084</v>
      </c>
      <c r="C432" s="20">
        <f ca="1"/>
        <v>67950</v>
      </c>
      <c r="D432" s="20">
        <f ca="1"/>
        <v>64800.01</v>
      </c>
      <c r="E432" s="20">
        <f ca="1"/>
        <v>67074.14</v>
      </c>
      <c r="F432" s="3">
        <f ca="1"/>
        <v>43683.954230000003</v>
      </c>
      <c r="G432" s="10">
        <f ca="1"/>
        <v>45581.229166655095</v>
      </c>
      <c r="H432" s="3">
        <f ca="1"/>
        <v>2894021862.3195181</v>
      </c>
      <c r="I432" s="3">
        <f ca="1"/>
        <v>6245619</v>
      </c>
      <c r="J432" s="3">
        <f ca="1"/>
        <v>21820.682000000001</v>
      </c>
      <c r="K432" s="3">
        <f ca="1"/>
        <v>1446378130.5659852</v>
      </c>
    </row>
    <row r="433" spans="1:11" x14ac:dyDescent="0.3">
      <c r="A433" s="10">
        <f ca="1"/>
        <v>45579.229166666664</v>
      </c>
      <c r="B433" s="20">
        <f ca="1"/>
        <v>62870.02</v>
      </c>
      <c r="C433" s="20">
        <f ca="1"/>
        <v>66500</v>
      </c>
      <c r="D433" s="20">
        <f ca="1"/>
        <v>62457.81</v>
      </c>
      <c r="E433" s="20">
        <f ca="1"/>
        <v>66083.990000000005</v>
      </c>
      <c r="F433" s="3">
        <f ca="1"/>
        <v>37669.952219999999</v>
      </c>
      <c r="G433" s="10">
        <f ca="1"/>
        <v>45580.229166655095</v>
      </c>
      <c r="H433" s="3">
        <f ca="1"/>
        <v>2450094472.8135452</v>
      </c>
      <c r="I433" s="3">
        <f ca="1"/>
        <v>4977577</v>
      </c>
      <c r="J433" s="3">
        <f ca="1"/>
        <v>19941.119060000001</v>
      </c>
      <c r="K433" s="3">
        <f ca="1"/>
        <v>1297062359.2474864</v>
      </c>
    </row>
    <row r="434" spans="1:11" x14ac:dyDescent="0.3">
      <c r="A434" s="10">
        <f ca="1"/>
        <v>45578.229166666664</v>
      </c>
      <c r="B434" s="20">
        <f ca="1"/>
        <v>63206.23</v>
      </c>
      <c r="C434" s="20">
        <f ca="1"/>
        <v>63285.72</v>
      </c>
      <c r="D434" s="20">
        <f ca="1"/>
        <v>62050</v>
      </c>
      <c r="E434" s="20">
        <f ca="1"/>
        <v>62870.02</v>
      </c>
      <c r="F434" s="3">
        <f ca="1"/>
        <v>11909.219950000001</v>
      </c>
      <c r="G434" s="10">
        <f ca="1"/>
        <v>45579.229166655095</v>
      </c>
      <c r="H434" s="3">
        <f ca="1"/>
        <v>746564374.20823872</v>
      </c>
      <c r="I434" s="3">
        <f ca="1"/>
        <v>2242529</v>
      </c>
      <c r="J434" s="3">
        <f ca="1"/>
        <v>5855.0461699999996</v>
      </c>
      <c r="K434" s="3">
        <f ca="1"/>
        <v>367046338.9194209</v>
      </c>
    </row>
    <row r="435" spans="1:11" x14ac:dyDescent="0.3">
      <c r="A435" s="10">
        <f ca="1"/>
        <v>45577.229166666664</v>
      </c>
      <c r="B435" s="20">
        <f ca="1"/>
        <v>62539.99</v>
      </c>
      <c r="C435" s="20">
        <f ca="1"/>
        <v>63480</v>
      </c>
      <c r="D435" s="20">
        <f ca="1"/>
        <v>62487.23</v>
      </c>
      <c r="E435" s="20">
        <f ca="1"/>
        <v>63206.22</v>
      </c>
      <c r="F435" s="3">
        <f ca="1"/>
        <v>10911.301160000001</v>
      </c>
      <c r="G435" s="10">
        <f ca="1"/>
        <v>45578.229166655095</v>
      </c>
      <c r="H435" s="3">
        <f ca="1"/>
        <v>686978508.98875427</v>
      </c>
      <c r="I435" s="3">
        <f ca="1"/>
        <v>1770837</v>
      </c>
      <c r="J435" s="3">
        <f ca="1"/>
        <v>5196.9169499999998</v>
      </c>
      <c r="K435" s="3">
        <f ca="1"/>
        <v>327263147.47604012</v>
      </c>
    </row>
    <row r="436" spans="1:11" x14ac:dyDescent="0.3">
      <c r="A436" s="10">
        <f ca="1"/>
        <v>45576.229166666664</v>
      </c>
      <c r="B436" s="20">
        <f ca="1"/>
        <v>60326.400000000001</v>
      </c>
      <c r="C436" s="20">
        <f ca="1"/>
        <v>63417.56</v>
      </c>
      <c r="D436" s="20">
        <f ca="1"/>
        <v>60087.64</v>
      </c>
      <c r="E436" s="20">
        <f ca="1"/>
        <v>62540</v>
      </c>
      <c r="F436" s="3">
        <f ca="1"/>
        <v>23641.35209</v>
      </c>
      <c r="G436" s="10">
        <f ca="1"/>
        <v>45577.229166655095</v>
      </c>
      <c r="H436" s="3">
        <f ca="1"/>
        <v>1462219576.849865</v>
      </c>
      <c r="I436" s="3">
        <f ca="1"/>
        <v>3222180</v>
      </c>
      <c r="J436" s="3">
        <f ca="1"/>
        <v>12099.56755</v>
      </c>
      <c r="K436" s="3">
        <f ca="1"/>
        <v>748431117.91657054</v>
      </c>
    </row>
    <row r="437" spans="1:11" x14ac:dyDescent="0.3">
      <c r="A437" s="10">
        <f ca="1"/>
        <v>45575.229166666664</v>
      </c>
      <c r="B437" s="20">
        <f ca="1"/>
        <v>60636.01</v>
      </c>
      <c r="C437" s="20">
        <f ca="1"/>
        <v>61321.68</v>
      </c>
      <c r="D437" s="20">
        <f ca="1"/>
        <v>58946</v>
      </c>
      <c r="E437" s="20">
        <f ca="1"/>
        <v>60326.39</v>
      </c>
      <c r="F437" s="3">
        <f ca="1"/>
        <v>23967.92481</v>
      </c>
      <c r="G437" s="10">
        <f ca="1"/>
        <v>45576.229166655095</v>
      </c>
      <c r="H437" s="3">
        <f ca="1"/>
        <v>1445604381.9363792</v>
      </c>
      <c r="I437" s="3">
        <f ca="1"/>
        <v>3872577</v>
      </c>
      <c r="J437" s="3">
        <f ca="1"/>
        <v>10827.772720000001</v>
      </c>
      <c r="K437" s="3">
        <f ca="1"/>
        <v>653182369.94276714</v>
      </c>
    </row>
    <row r="438" spans="1:11" x14ac:dyDescent="0.3">
      <c r="A438" s="10">
        <f ca="1"/>
        <v>45574.229166666664</v>
      </c>
      <c r="B438" s="20">
        <f ca="1"/>
        <v>62160.5</v>
      </c>
      <c r="C438" s="20">
        <f ca="1"/>
        <v>62543.75</v>
      </c>
      <c r="D438" s="20">
        <f ca="1"/>
        <v>60301</v>
      </c>
      <c r="E438" s="20">
        <f ca="1"/>
        <v>60636.02</v>
      </c>
      <c r="F438" s="3">
        <f ca="1"/>
        <v>20011.15684</v>
      </c>
      <c r="G438" s="10">
        <f ca="1"/>
        <v>45575.229166655095</v>
      </c>
      <c r="H438" s="3">
        <f ca="1"/>
        <v>1234778807.5932417</v>
      </c>
      <c r="I438" s="3">
        <f ca="1"/>
        <v>3668363</v>
      </c>
      <c r="J438" s="3">
        <f ca="1"/>
        <v>9454.7017099999994</v>
      </c>
      <c r="K438" s="3">
        <f ca="1"/>
        <v>583725546.03098845</v>
      </c>
    </row>
    <row r="439" spans="1:11" x14ac:dyDescent="0.3">
      <c r="A439" s="10">
        <f ca="1"/>
        <v>45573.229166666664</v>
      </c>
      <c r="B439" s="20">
        <f ca="1"/>
        <v>62224.01</v>
      </c>
      <c r="C439" s="20">
        <f ca="1"/>
        <v>63200</v>
      </c>
      <c r="D439" s="20">
        <f ca="1"/>
        <v>61860.31</v>
      </c>
      <c r="E439" s="20">
        <f ca="1"/>
        <v>62160.49</v>
      </c>
      <c r="F439" s="3">
        <f ca="1"/>
        <v>19702.223709999998</v>
      </c>
      <c r="G439" s="10">
        <f ca="1"/>
        <v>45574.229166655095</v>
      </c>
      <c r="H439" s="3">
        <f ca="1"/>
        <v>1230076253.8186569</v>
      </c>
      <c r="I439" s="3">
        <f ca="1"/>
        <v>3798438</v>
      </c>
      <c r="J439" s="3">
        <f ca="1"/>
        <v>9614.3694699999996</v>
      </c>
      <c r="K439" s="3">
        <f ca="1"/>
        <v>600357593.78737795</v>
      </c>
    </row>
    <row r="440" spans="1:11" x14ac:dyDescent="0.3">
      <c r="A440" s="10">
        <f ca="1"/>
        <v>45572.229166666664</v>
      </c>
      <c r="B440" s="20">
        <f ca="1"/>
        <v>62819.91</v>
      </c>
      <c r="C440" s="20">
        <f ca="1"/>
        <v>64478.19</v>
      </c>
      <c r="D440" s="20">
        <f ca="1"/>
        <v>62128</v>
      </c>
      <c r="E440" s="20">
        <f ca="1"/>
        <v>62224</v>
      </c>
      <c r="F440" s="3">
        <f ca="1"/>
        <v>25966.1852</v>
      </c>
      <c r="G440" s="10">
        <f ca="1"/>
        <v>45573.229166655095</v>
      </c>
      <c r="H440" s="3">
        <f ca="1"/>
        <v>1646315506.5791945</v>
      </c>
      <c r="I440" s="3">
        <f ca="1"/>
        <v>4809342</v>
      </c>
      <c r="J440" s="3">
        <f ca="1"/>
        <v>12760.73415</v>
      </c>
      <c r="K440" s="3">
        <f ca="1"/>
        <v>809108823.51261258</v>
      </c>
    </row>
    <row r="441" spans="1:11" x14ac:dyDescent="0.3">
      <c r="A441" s="10">
        <f ca="1"/>
        <v>45571.229166666664</v>
      </c>
      <c r="B441" s="20">
        <f ca="1"/>
        <v>62058.01</v>
      </c>
      <c r="C441" s="20">
        <f ca="1"/>
        <v>62975</v>
      </c>
      <c r="D441" s="20">
        <f ca="1"/>
        <v>61798.97</v>
      </c>
      <c r="E441" s="20">
        <f ca="1"/>
        <v>62819.91</v>
      </c>
      <c r="F441" s="3">
        <f ca="1"/>
        <v>8906.8617699999995</v>
      </c>
      <c r="G441" s="10">
        <f ca="1"/>
        <v>45572.229166655095</v>
      </c>
      <c r="H441" s="3">
        <f ca="1"/>
        <v>555669634.47735143</v>
      </c>
      <c r="I441" s="3">
        <f ca="1"/>
        <v>1556553</v>
      </c>
      <c r="J441" s="3">
        <f ca="1"/>
        <v>4798.2992400000003</v>
      </c>
      <c r="K441" s="3">
        <f ca="1"/>
        <v>299426562.8303448</v>
      </c>
    </row>
    <row r="442" spans="1:11" x14ac:dyDescent="0.3">
      <c r="A442" s="10">
        <f ca="1"/>
        <v>45570.229166666664</v>
      </c>
      <c r="B442" s="20">
        <f ca="1"/>
        <v>62086</v>
      </c>
      <c r="C442" s="20">
        <f ca="1"/>
        <v>62370.559999999998</v>
      </c>
      <c r="D442" s="20">
        <f ca="1"/>
        <v>61689.26</v>
      </c>
      <c r="E442" s="20">
        <f ca="1"/>
        <v>62058</v>
      </c>
      <c r="F442" s="3">
        <f ca="1"/>
        <v>7807.4614099999999</v>
      </c>
      <c r="G442" s="10">
        <f ca="1"/>
        <v>45571.229166655095</v>
      </c>
      <c r="H442" s="3">
        <f ca="1"/>
        <v>484588468.34191233</v>
      </c>
      <c r="I442" s="3">
        <f ca="1"/>
        <v>1183175</v>
      </c>
      <c r="J442" s="3">
        <f ca="1"/>
        <v>3690.5553599999998</v>
      </c>
      <c r="K442" s="3">
        <f ca="1"/>
        <v>229107774.75426999</v>
      </c>
    </row>
    <row r="443" spans="1:11" x14ac:dyDescent="0.3">
      <c r="A443" s="10">
        <f ca="1"/>
        <v>45569.229166666664</v>
      </c>
      <c r="B443" s="20">
        <f ca="1"/>
        <v>60752.72</v>
      </c>
      <c r="C443" s="20">
        <f ca="1"/>
        <v>62484.85</v>
      </c>
      <c r="D443" s="20">
        <f ca="1"/>
        <v>60459.9</v>
      </c>
      <c r="E443" s="20">
        <f ca="1"/>
        <v>62086</v>
      </c>
      <c r="F443" s="3">
        <f ca="1"/>
        <v>21294.659940000001</v>
      </c>
      <c r="G443" s="10">
        <f ca="1"/>
        <v>45570.229166655095</v>
      </c>
      <c r="H443" s="3">
        <f ca="1"/>
        <v>1311145630.5020497</v>
      </c>
      <c r="I443" s="3">
        <f ca="1"/>
        <v>3798631</v>
      </c>
      <c r="J443" s="3">
        <f ca="1"/>
        <v>10689.344880000001</v>
      </c>
      <c r="K443" s="3">
        <f ca="1"/>
        <v>658151113.93518281</v>
      </c>
    </row>
    <row r="444" spans="1:11" x14ac:dyDescent="0.3">
      <c r="A444" s="10">
        <f ca="1"/>
        <v>45568.229166666664</v>
      </c>
      <c r="B444" s="20">
        <f ca="1"/>
        <v>60649.27</v>
      </c>
      <c r="C444" s="20">
        <f ca="1"/>
        <v>61477.19</v>
      </c>
      <c r="D444" s="20">
        <f ca="1"/>
        <v>59828.11</v>
      </c>
      <c r="E444" s="20">
        <f ca="1"/>
        <v>60752.71</v>
      </c>
      <c r="F444" s="3">
        <f ca="1"/>
        <v>26221.434720000001</v>
      </c>
      <c r="G444" s="10">
        <f ca="1"/>
        <v>45569.229166655095</v>
      </c>
      <c r="H444" s="3">
        <f ca="1"/>
        <v>1590773866.8074434</v>
      </c>
      <c r="I444" s="3">
        <f ca="1"/>
        <v>5244004</v>
      </c>
      <c r="J444" s="3">
        <f ca="1"/>
        <v>12906.514639999999</v>
      </c>
      <c r="K444" s="3">
        <f ca="1"/>
        <v>783073701.73311734</v>
      </c>
    </row>
    <row r="445" spans="1:11" x14ac:dyDescent="0.3">
      <c r="A445" s="10">
        <f ca="1"/>
        <v>45567.229166666664</v>
      </c>
      <c r="B445" s="20">
        <f ca="1"/>
        <v>60804.92</v>
      </c>
      <c r="C445" s="20">
        <f ca="1"/>
        <v>62390.31</v>
      </c>
      <c r="D445" s="20">
        <f ca="1"/>
        <v>60000</v>
      </c>
      <c r="E445" s="20">
        <f ca="1"/>
        <v>60649.279999999999</v>
      </c>
      <c r="F445" s="3">
        <f ca="1"/>
        <v>31534.70118</v>
      </c>
      <c r="G445" s="10">
        <f ca="1"/>
        <v>45568.229166655095</v>
      </c>
      <c r="H445" s="3">
        <f ca="1"/>
        <v>1928377637.8367839</v>
      </c>
      <c r="I445" s="3">
        <f ca="1"/>
        <v>5313210</v>
      </c>
      <c r="J445" s="3">
        <f ca="1"/>
        <v>15719.32519</v>
      </c>
      <c r="K445" s="3">
        <f ca="1"/>
        <v>961468320.51547265</v>
      </c>
    </row>
    <row r="446" spans="1:11" x14ac:dyDescent="0.3">
      <c r="A446" s="10">
        <f ca="1"/>
        <v>45566.229166666664</v>
      </c>
      <c r="B446" s="20">
        <f ca="1"/>
        <v>63327.6</v>
      </c>
      <c r="C446" s="20">
        <f ca="1"/>
        <v>64130.63</v>
      </c>
      <c r="D446" s="20">
        <f ca="1"/>
        <v>60164</v>
      </c>
      <c r="E446" s="20">
        <f ca="1"/>
        <v>60805.78</v>
      </c>
      <c r="F446" s="3">
        <f ca="1"/>
        <v>43671.481079999998</v>
      </c>
      <c r="G446" s="10">
        <f ca="1"/>
        <v>45567.229166655095</v>
      </c>
      <c r="H446" s="3">
        <f ca="1"/>
        <v>2723672081.8326254</v>
      </c>
      <c r="I446" s="3">
        <f ca="1"/>
        <v>5607069</v>
      </c>
      <c r="J446" s="3">
        <f ca="1"/>
        <v>20951.744859999999</v>
      </c>
      <c r="K446" s="3">
        <f ca="1"/>
        <v>1308603194.3310401</v>
      </c>
    </row>
    <row r="447" spans="1:11" x14ac:dyDescent="0.3">
      <c r="A447" s="10">
        <f ca="1"/>
        <v>45565.229166666664</v>
      </c>
      <c r="B447" s="20">
        <f ca="1"/>
        <v>65602.009999999995</v>
      </c>
      <c r="C447" s="20">
        <f ca="1"/>
        <v>65618.8</v>
      </c>
      <c r="D447" s="20">
        <f ca="1"/>
        <v>62856.3</v>
      </c>
      <c r="E447" s="20">
        <f ca="1"/>
        <v>63327.59</v>
      </c>
      <c r="F447" s="3">
        <f ca="1"/>
        <v>30011.087520000001</v>
      </c>
      <c r="G447" s="10">
        <f ca="1"/>
        <v>45566.229166655095</v>
      </c>
      <c r="H447" s="3">
        <f ca="1"/>
        <v>1920250261.7442162</v>
      </c>
      <c r="I447" s="3">
        <f ca="1"/>
        <v>3978584</v>
      </c>
      <c r="J447" s="3">
        <f ca="1"/>
        <v>14451.93044</v>
      </c>
      <c r="K447" s="3">
        <f ca="1"/>
        <v>924324016.73584485</v>
      </c>
    </row>
    <row r="448" spans="1:11" x14ac:dyDescent="0.3">
      <c r="A448" s="10">
        <f ca="1"/>
        <v>45564.229166666664</v>
      </c>
      <c r="B448" s="20">
        <f ca="1"/>
        <v>65858</v>
      </c>
      <c r="C448" s="20">
        <f ca="1"/>
        <v>66076.12</v>
      </c>
      <c r="D448" s="20">
        <f ca="1"/>
        <v>65432</v>
      </c>
      <c r="E448" s="20">
        <f ca="1"/>
        <v>65602.009999999995</v>
      </c>
      <c r="F448" s="3">
        <f ca="1"/>
        <v>8337.7411100000008</v>
      </c>
      <c r="G448" s="10">
        <f ca="1"/>
        <v>45565.229166655095</v>
      </c>
      <c r="H448" s="3">
        <f ca="1"/>
        <v>547980013.71523035</v>
      </c>
      <c r="I448" s="3">
        <f ca="1"/>
        <v>1413449</v>
      </c>
      <c r="J448" s="3">
        <f ca="1"/>
        <v>4132.9377999999997</v>
      </c>
      <c r="K448" s="3">
        <f ca="1"/>
        <v>271622295.3535291</v>
      </c>
    </row>
    <row r="449" spans="1:11" x14ac:dyDescent="0.3">
      <c r="A449" s="10">
        <f ca="1"/>
        <v>45563.229166666664</v>
      </c>
      <c r="B449" s="20">
        <f ca="1"/>
        <v>65769.95</v>
      </c>
      <c r="C449" s="20">
        <f ca="1"/>
        <v>66260</v>
      </c>
      <c r="D449" s="20">
        <f ca="1"/>
        <v>65422.23</v>
      </c>
      <c r="E449" s="20">
        <f ca="1"/>
        <v>65858</v>
      </c>
      <c r="F449" s="3">
        <f ca="1"/>
        <v>9127.2331599999998</v>
      </c>
      <c r="G449" s="10">
        <f ca="1"/>
        <v>45564.229166655095</v>
      </c>
      <c r="H449" s="3">
        <f ca="1"/>
        <v>600118483.12225211</v>
      </c>
      <c r="I449" s="3">
        <f ca="1"/>
        <v>1341703</v>
      </c>
      <c r="J449" s="3">
        <f ca="1"/>
        <v>4501.22534</v>
      </c>
      <c r="K449" s="3">
        <f ca="1"/>
        <v>296026669.83370662</v>
      </c>
    </row>
    <row r="450" spans="1:11" x14ac:dyDescent="0.3">
      <c r="A450" s="10">
        <f ca="1"/>
        <v>45562.229166666664</v>
      </c>
      <c r="B450" s="20">
        <f ca="1"/>
        <v>65173.99</v>
      </c>
      <c r="C450" s="20">
        <f ca="1"/>
        <v>66498</v>
      </c>
      <c r="D450" s="20">
        <f ca="1"/>
        <v>64819.9</v>
      </c>
      <c r="E450" s="20">
        <f ca="1"/>
        <v>65769.95</v>
      </c>
      <c r="F450" s="3">
        <f ca="1"/>
        <v>22048.80487</v>
      </c>
      <c r="G450" s="10">
        <f ca="1"/>
        <v>45563.229166655095</v>
      </c>
      <c r="H450" s="3">
        <f ca="1"/>
        <v>1448852210.3602211</v>
      </c>
      <c r="I450" s="3">
        <f ca="1"/>
        <v>3498529</v>
      </c>
      <c r="J450" s="3">
        <f ca="1"/>
        <v>11092.85716</v>
      </c>
      <c r="K450" s="3">
        <f ca="1"/>
        <v>729156061.36792314</v>
      </c>
    </row>
    <row r="451" spans="1:11" x14ac:dyDescent="0.3">
      <c r="A451" s="10">
        <f ca="1"/>
        <v>45561.229166666664</v>
      </c>
      <c r="B451" s="20">
        <f ca="1"/>
        <v>63152.01</v>
      </c>
      <c r="C451" s="20">
        <f ca="1"/>
        <v>65839</v>
      </c>
      <c r="D451" s="20">
        <f ca="1"/>
        <v>62670</v>
      </c>
      <c r="E451" s="20">
        <f ca="1"/>
        <v>65173.99</v>
      </c>
      <c r="F451" s="3">
        <f ca="1"/>
        <v>28373.305929999999</v>
      </c>
      <c r="G451" s="10">
        <f ca="1"/>
        <v>45562.229166655095</v>
      </c>
      <c r="H451" s="3">
        <f ca="1"/>
        <v>1831204595.9448967</v>
      </c>
      <c r="I451" s="3">
        <f ca="1"/>
        <v>4361333</v>
      </c>
      <c r="J451" s="3">
        <f ca="1"/>
        <v>15041.988600000001</v>
      </c>
      <c r="K451" s="3">
        <f ca="1"/>
        <v>971176161.38708055</v>
      </c>
    </row>
    <row r="452" spans="1:11" x14ac:dyDescent="0.3">
      <c r="A452" s="10">
        <f ca="1"/>
        <v>45560.229166666664</v>
      </c>
      <c r="B452" s="20">
        <f ca="1"/>
        <v>64262.7</v>
      </c>
      <c r="C452" s="20">
        <f ca="1"/>
        <v>64817.99</v>
      </c>
      <c r="D452" s="20">
        <f ca="1"/>
        <v>62947.08</v>
      </c>
      <c r="E452" s="20">
        <f ca="1"/>
        <v>63152.01</v>
      </c>
      <c r="F452" s="3">
        <f ca="1"/>
        <v>17813.111680000002</v>
      </c>
      <c r="G452" s="10">
        <f ca="1"/>
        <v>45561.229166655095</v>
      </c>
      <c r="H452" s="3">
        <f ca="1"/>
        <v>1135250828.2732148</v>
      </c>
      <c r="I452" s="3">
        <f ca="1"/>
        <v>3355531</v>
      </c>
      <c r="J452" s="3">
        <f ca="1"/>
        <v>8384.6798299999991</v>
      </c>
      <c r="K452" s="3">
        <f ca="1"/>
        <v>534590429.21054929</v>
      </c>
    </row>
    <row r="453" spans="1:11" x14ac:dyDescent="0.3">
      <c r="A453" s="10">
        <f ca="1"/>
        <v>45559.229166666664</v>
      </c>
      <c r="B453" s="20">
        <f ca="1"/>
        <v>63339.99</v>
      </c>
      <c r="C453" s="20">
        <f ca="1"/>
        <v>64688</v>
      </c>
      <c r="D453" s="20">
        <f ca="1"/>
        <v>62700</v>
      </c>
      <c r="E453" s="20">
        <f ca="1"/>
        <v>64262.7</v>
      </c>
      <c r="F453" s="3">
        <f ca="1"/>
        <v>23185.047589999998</v>
      </c>
      <c r="G453" s="10">
        <f ca="1"/>
        <v>45560.229166655095</v>
      </c>
      <c r="H453" s="3">
        <f ca="1"/>
        <v>1472720338.8562915</v>
      </c>
      <c r="I453" s="3">
        <f ca="1"/>
        <v>3870157</v>
      </c>
      <c r="J453" s="3">
        <f ca="1"/>
        <v>11522.89363</v>
      </c>
      <c r="K453" s="3">
        <f ca="1"/>
        <v>732118662.41710544</v>
      </c>
    </row>
    <row r="454" spans="1:11" x14ac:dyDescent="0.3">
      <c r="A454" s="10">
        <f ca="1"/>
        <v>45558.229166666664</v>
      </c>
      <c r="B454" s="20">
        <f ca="1"/>
        <v>63578.76</v>
      </c>
      <c r="C454" s="20">
        <f ca="1"/>
        <v>64745.88</v>
      </c>
      <c r="D454" s="20">
        <f ca="1"/>
        <v>62538.75</v>
      </c>
      <c r="E454" s="20">
        <f ca="1"/>
        <v>63339.99</v>
      </c>
      <c r="F454" s="3">
        <f ca="1"/>
        <v>24078.05287</v>
      </c>
      <c r="G454" s="10">
        <f ca="1"/>
        <v>45559.229166655095</v>
      </c>
      <c r="H454" s="3">
        <f ca="1"/>
        <v>1531015038.3680267</v>
      </c>
      <c r="I454" s="3">
        <f ca="1"/>
        <v>3999187</v>
      </c>
      <c r="J454" s="3">
        <f ca="1"/>
        <v>12331.076429999999</v>
      </c>
      <c r="K454" s="3">
        <f ca="1"/>
        <v>784350440.71456528</v>
      </c>
    </row>
    <row r="455" spans="1:11" x14ac:dyDescent="0.3">
      <c r="A455" s="10">
        <f ca="1"/>
        <v>45557.229166666664</v>
      </c>
      <c r="B455" s="20">
        <f ca="1"/>
        <v>63348.97</v>
      </c>
      <c r="C455" s="20">
        <f ca="1"/>
        <v>64000</v>
      </c>
      <c r="D455" s="20">
        <f ca="1"/>
        <v>62357.93</v>
      </c>
      <c r="E455" s="20">
        <f ca="1"/>
        <v>63578.76</v>
      </c>
      <c r="F455" s="3">
        <f ca="1"/>
        <v>14242.198920000001</v>
      </c>
      <c r="G455" s="10">
        <f ca="1"/>
        <v>45558.229166655095</v>
      </c>
      <c r="H455" s="3">
        <f ca="1"/>
        <v>897477338.37351274</v>
      </c>
      <c r="I455" s="3">
        <f ca="1"/>
        <v>2145736</v>
      </c>
      <c r="J455" s="3">
        <f ca="1"/>
        <v>6923.1736899999996</v>
      </c>
      <c r="K455" s="3">
        <f ca="1"/>
        <v>436456231.9537881</v>
      </c>
    </row>
    <row r="456" spans="1:11" x14ac:dyDescent="0.3">
      <c r="A456" s="10">
        <f ca="1"/>
        <v>45556.229166666664</v>
      </c>
      <c r="B456" s="20">
        <f ca="1"/>
        <v>63201.05</v>
      </c>
      <c r="C456" s="20">
        <f ca="1"/>
        <v>63559.9</v>
      </c>
      <c r="D456" s="20">
        <f ca="1"/>
        <v>62758</v>
      </c>
      <c r="E456" s="20">
        <f ca="1"/>
        <v>63348.959999999999</v>
      </c>
      <c r="F456" s="3">
        <f ca="1"/>
        <v>8375.3460799999993</v>
      </c>
      <c r="G456" s="10">
        <f ca="1"/>
        <v>45557.229166655095</v>
      </c>
      <c r="H456" s="3">
        <f ca="1"/>
        <v>528657852.31830239</v>
      </c>
      <c r="I456" s="3">
        <f ca="1"/>
        <v>1283611</v>
      </c>
      <c r="J456" s="3">
        <f ca="1"/>
        <v>3877.7374300000001</v>
      </c>
      <c r="K456" s="3">
        <f ca="1"/>
        <v>244802615.78455931</v>
      </c>
    </row>
    <row r="457" spans="1:11" x14ac:dyDescent="0.3">
      <c r="A457" s="10">
        <f ca="1"/>
        <v>45555.229166666664</v>
      </c>
      <c r="B457" s="20">
        <f ca="1"/>
        <v>62948</v>
      </c>
      <c r="C457" s="20">
        <f ca="1"/>
        <v>64133.32</v>
      </c>
      <c r="D457" s="20">
        <f ca="1"/>
        <v>62350</v>
      </c>
      <c r="E457" s="20">
        <f ca="1"/>
        <v>63201.05</v>
      </c>
      <c r="F457" s="3">
        <f ca="1"/>
        <v>25466.377939999998</v>
      </c>
      <c r="G457" s="10">
        <f ca="1"/>
        <v>45556.229166655095</v>
      </c>
      <c r="H457" s="3">
        <f ca="1"/>
        <v>1611195963.9908044</v>
      </c>
      <c r="I457" s="3">
        <f ca="1"/>
        <v>3969296</v>
      </c>
      <c r="J457" s="3">
        <f ca="1"/>
        <v>12411.322270000001</v>
      </c>
      <c r="K457" s="3">
        <f ca="1"/>
        <v>785440558.81257284</v>
      </c>
    </row>
    <row r="458" spans="1:11" x14ac:dyDescent="0.3">
      <c r="A458" s="10">
        <f ca="1"/>
        <v>45554.229166666664</v>
      </c>
      <c r="B458" s="20">
        <f ca="1"/>
        <v>61759.98</v>
      </c>
      <c r="C458" s="20">
        <f ca="1"/>
        <v>63850</v>
      </c>
      <c r="D458" s="20">
        <f ca="1"/>
        <v>61555</v>
      </c>
      <c r="E458" s="20">
        <f ca="1"/>
        <v>62947.99</v>
      </c>
      <c r="F458" s="3">
        <f ca="1"/>
        <v>34332.526080000003</v>
      </c>
      <c r="G458" s="10">
        <f ca="1"/>
        <v>45555.229166655095</v>
      </c>
      <c r="H458" s="3">
        <f ca="1"/>
        <v>2153175931.1738715</v>
      </c>
      <c r="I458" s="3">
        <f ca="1"/>
        <v>4438284</v>
      </c>
      <c r="J458" s="3">
        <f ca="1"/>
        <v>17609.629580000001</v>
      </c>
      <c r="K458" s="3">
        <f ca="1"/>
        <v>1104427424.5246968</v>
      </c>
    </row>
    <row r="459" spans="1:11" x14ac:dyDescent="0.3">
      <c r="A459" s="10">
        <f ca="1"/>
        <v>45553.229166666664</v>
      </c>
      <c r="B459" s="20">
        <f ca="1"/>
        <v>60313.99</v>
      </c>
      <c r="C459" s="20">
        <f ca="1"/>
        <v>61786.239999999998</v>
      </c>
      <c r="D459" s="20">
        <f ca="1"/>
        <v>59174.8</v>
      </c>
      <c r="E459" s="20">
        <f ca="1"/>
        <v>61759.99</v>
      </c>
      <c r="F459" s="3">
        <f ca="1"/>
        <v>36087.024689999998</v>
      </c>
      <c r="G459" s="10">
        <f ca="1"/>
        <v>45554.229166655095</v>
      </c>
      <c r="H459" s="3">
        <f ca="1"/>
        <v>2174000496.820776</v>
      </c>
      <c r="I459" s="3">
        <f ca="1"/>
        <v>5167671</v>
      </c>
      <c r="J459" s="3">
        <f ca="1"/>
        <v>18429.597119999999</v>
      </c>
      <c r="K459" s="3">
        <f ca="1"/>
        <v>1110622778.7510853</v>
      </c>
    </row>
    <row r="460" spans="1:11" x14ac:dyDescent="0.3">
      <c r="A460" s="10">
        <f ca="1"/>
        <v>45552.229166666664</v>
      </c>
      <c r="B460" s="20">
        <f ca="1"/>
        <v>58213.99</v>
      </c>
      <c r="C460" s="20">
        <f ca="1"/>
        <v>61320</v>
      </c>
      <c r="D460" s="20">
        <f ca="1"/>
        <v>57610.01</v>
      </c>
      <c r="E460" s="20">
        <f ca="1"/>
        <v>60313.99</v>
      </c>
      <c r="F460" s="3">
        <f ca="1"/>
        <v>33116.258779999996</v>
      </c>
      <c r="G460" s="10">
        <f ca="1"/>
        <v>45553.229166655095</v>
      </c>
      <c r="H460" s="3">
        <f ca="1"/>
        <v>1983378424.7757039</v>
      </c>
      <c r="I460" s="3">
        <f ca="1"/>
        <v>3918209</v>
      </c>
      <c r="J460" s="3">
        <f ca="1"/>
        <v>16390.659930000002</v>
      </c>
      <c r="K460" s="3">
        <f ca="1"/>
        <v>981860543.2735815</v>
      </c>
    </row>
    <row r="461" spans="1:11" x14ac:dyDescent="0.3">
      <c r="A461" s="10">
        <f ca="1"/>
        <v>45551.229166666664</v>
      </c>
      <c r="B461" s="20">
        <f ca="1"/>
        <v>59132</v>
      </c>
      <c r="C461" s="20">
        <f ca="1"/>
        <v>59210.7</v>
      </c>
      <c r="D461" s="20">
        <f ca="1"/>
        <v>57493.3</v>
      </c>
      <c r="E461" s="20">
        <f ca="1"/>
        <v>58213.99</v>
      </c>
      <c r="F461" s="3">
        <f ca="1"/>
        <v>26477.564200000001</v>
      </c>
      <c r="G461" s="10">
        <f ca="1"/>
        <v>45552.229166655095</v>
      </c>
      <c r="H461" s="3">
        <f ca="1"/>
        <v>1543273198.7027452</v>
      </c>
      <c r="I461" s="3">
        <f ca="1"/>
        <v>3145152</v>
      </c>
      <c r="J461" s="3">
        <f ca="1"/>
        <v>12859.758400000001</v>
      </c>
      <c r="K461" s="3">
        <f ca="1"/>
        <v>749563220.80605078</v>
      </c>
    </row>
    <row r="462" spans="1:11" x14ac:dyDescent="0.3">
      <c r="A462" s="10">
        <f ca="1"/>
        <v>45550.229166666664</v>
      </c>
      <c r="B462" s="20">
        <f ca="1"/>
        <v>59993.02</v>
      </c>
      <c r="C462" s="20">
        <f ca="1"/>
        <v>60395.8</v>
      </c>
      <c r="D462" s="20">
        <f ca="1"/>
        <v>58691.05</v>
      </c>
      <c r="E462" s="20">
        <f ca="1"/>
        <v>59132</v>
      </c>
      <c r="F462" s="3">
        <f ca="1"/>
        <v>13757.92361</v>
      </c>
      <c r="G462" s="10">
        <f ca="1"/>
        <v>45551.229166655095</v>
      </c>
      <c r="H462" s="3">
        <f ca="1"/>
        <v>822410872.39069557</v>
      </c>
      <c r="I462" s="3">
        <f ca="1"/>
        <v>1552950</v>
      </c>
      <c r="J462" s="3">
        <f ca="1"/>
        <v>6431.2469700000001</v>
      </c>
      <c r="K462" s="3">
        <f ca="1"/>
        <v>384460724.57039672</v>
      </c>
    </row>
    <row r="463" spans="1:11" x14ac:dyDescent="0.3">
      <c r="A463" s="10">
        <f ca="1"/>
        <v>45549.229166666664</v>
      </c>
      <c r="B463" s="20">
        <f ca="1"/>
        <v>60497.99</v>
      </c>
      <c r="C463" s="20">
        <f ca="1"/>
        <v>60610.45</v>
      </c>
      <c r="D463" s="20">
        <f ca="1"/>
        <v>59400</v>
      </c>
      <c r="E463" s="20">
        <f ca="1"/>
        <v>59993.03</v>
      </c>
      <c r="F463" s="3">
        <f ca="1"/>
        <v>12137.909009999999</v>
      </c>
      <c r="G463" s="10">
        <f ca="1"/>
        <v>45550.229166655095</v>
      </c>
      <c r="H463" s="3">
        <f ca="1"/>
        <v>728527024.34169626</v>
      </c>
      <c r="I463" s="3">
        <f ca="1"/>
        <v>1288784</v>
      </c>
      <c r="J463" s="3">
        <f ca="1"/>
        <v>5570.2209800000001</v>
      </c>
      <c r="K463" s="3">
        <f ca="1"/>
        <v>334303099.74321359</v>
      </c>
    </row>
    <row r="464" spans="1:11" x14ac:dyDescent="0.3">
      <c r="A464" s="10">
        <f ca="1"/>
        <v>45548.229166666664</v>
      </c>
      <c r="B464" s="20">
        <f ca="1"/>
        <v>58132.31</v>
      </c>
      <c r="C464" s="20">
        <f ca="1"/>
        <v>60625</v>
      </c>
      <c r="D464" s="20">
        <f ca="1"/>
        <v>57632.62</v>
      </c>
      <c r="E464" s="20">
        <f ca="1"/>
        <v>60498</v>
      </c>
      <c r="F464" s="3">
        <f ca="1"/>
        <v>29825.233329999999</v>
      </c>
      <c r="G464" s="10">
        <f ca="1"/>
        <v>45549.229166655095</v>
      </c>
      <c r="H464" s="3">
        <f ca="1"/>
        <v>1760671733.5492997</v>
      </c>
      <c r="I464" s="3">
        <f ca="1"/>
        <v>3378012</v>
      </c>
      <c r="J464" s="3">
        <f ca="1"/>
        <v>15395.13731</v>
      </c>
      <c r="K464" s="3">
        <f ca="1"/>
        <v>909141733.97476542</v>
      </c>
    </row>
    <row r="465" spans="1:11" x14ac:dyDescent="0.3">
      <c r="A465" s="10">
        <f ca="1"/>
        <v>45547.229166666664</v>
      </c>
      <c r="B465" s="20">
        <f ca="1"/>
        <v>57338</v>
      </c>
      <c r="C465" s="20">
        <f ca="1"/>
        <v>58588</v>
      </c>
      <c r="D465" s="20">
        <f ca="1"/>
        <v>57324</v>
      </c>
      <c r="E465" s="20">
        <f ca="1"/>
        <v>58132.32</v>
      </c>
      <c r="F465" s="3">
        <f ca="1"/>
        <v>31074.406309999998</v>
      </c>
      <c r="G465" s="10">
        <f ca="1"/>
        <v>45548.229166655095</v>
      </c>
      <c r="H465" s="3">
        <f ca="1"/>
        <v>1802848638.0757017</v>
      </c>
      <c r="I465" s="3">
        <f ca="1"/>
        <v>3706764</v>
      </c>
      <c r="J465" s="3">
        <f ca="1"/>
        <v>14783.00418</v>
      </c>
      <c r="K465" s="3">
        <f ca="1"/>
        <v>857572456.51008689</v>
      </c>
    </row>
    <row r="466" spans="1:11" x14ac:dyDescent="0.3">
      <c r="A466" s="10">
        <f ca="1"/>
        <v>45546.229166666664</v>
      </c>
      <c r="B466" s="20">
        <f ca="1"/>
        <v>57635.99</v>
      </c>
      <c r="C466" s="20">
        <f ca="1"/>
        <v>57981.71</v>
      </c>
      <c r="D466" s="20">
        <f ca="1"/>
        <v>55545.19</v>
      </c>
      <c r="E466" s="20">
        <f ca="1"/>
        <v>57338</v>
      </c>
      <c r="F466" s="3">
        <f ca="1"/>
        <v>33026.567569999999</v>
      </c>
      <c r="G466" s="10">
        <f ca="1"/>
        <v>45547.229166655095</v>
      </c>
      <c r="H466" s="3">
        <f ca="1"/>
        <v>1875738697.3784153</v>
      </c>
      <c r="I466" s="3">
        <f ca="1"/>
        <v>4045103</v>
      </c>
      <c r="J466" s="3">
        <f ca="1"/>
        <v>15979.307860000001</v>
      </c>
      <c r="K466" s="3">
        <f ca="1"/>
        <v>907634258.56498909</v>
      </c>
    </row>
    <row r="467" spans="1:11" x14ac:dyDescent="0.3">
      <c r="A467" s="10">
        <f ca="1"/>
        <v>45545.229166666664</v>
      </c>
      <c r="B467" s="20">
        <f ca="1"/>
        <v>57042.01</v>
      </c>
      <c r="C467" s="20">
        <f ca="1"/>
        <v>58044.36</v>
      </c>
      <c r="D467" s="20">
        <f ca="1"/>
        <v>56386.400000000001</v>
      </c>
      <c r="E467" s="20">
        <f ca="1"/>
        <v>57635.99</v>
      </c>
      <c r="F467" s="3">
        <f ca="1"/>
        <v>23626.78126</v>
      </c>
      <c r="G467" s="10">
        <f ca="1"/>
        <v>45546.229166655095</v>
      </c>
      <c r="H467" s="3">
        <f ca="1"/>
        <v>1349365460.0900571</v>
      </c>
      <c r="I467" s="3">
        <f ca="1"/>
        <v>2843148</v>
      </c>
      <c r="J467" s="3">
        <f ca="1"/>
        <v>11690.37506</v>
      </c>
      <c r="K467" s="3">
        <f ca="1"/>
        <v>667774722.69939113</v>
      </c>
    </row>
    <row r="468" spans="1:11" x14ac:dyDescent="0.3">
      <c r="A468" s="10">
        <f ca="1"/>
        <v>45544.229166666664</v>
      </c>
      <c r="B468" s="20">
        <f ca="1"/>
        <v>54869.95</v>
      </c>
      <c r="C468" s="20">
        <f ca="1"/>
        <v>58088</v>
      </c>
      <c r="D468" s="20">
        <f ca="1"/>
        <v>54591.96</v>
      </c>
      <c r="E468" s="20">
        <f ca="1"/>
        <v>57042</v>
      </c>
      <c r="F468" s="3">
        <f ca="1"/>
        <v>32384.517370000001</v>
      </c>
      <c r="G468" s="10">
        <f ca="1"/>
        <v>45545.229166655095</v>
      </c>
      <c r="H468" s="3">
        <f ca="1"/>
        <v>1809715390.0493293</v>
      </c>
      <c r="I468" s="3">
        <f ca="1"/>
        <v>3355912</v>
      </c>
      <c r="J468" s="3">
        <f ca="1"/>
        <v>16412.831480000001</v>
      </c>
      <c r="K468" s="3">
        <f ca="1"/>
        <v>917669512.22202933</v>
      </c>
    </row>
    <row r="469" spans="1:11" x14ac:dyDescent="0.3">
      <c r="A469" s="10">
        <f ca="1"/>
        <v>45543.229166666664</v>
      </c>
      <c r="B469" s="20">
        <f ca="1"/>
        <v>54160.86</v>
      </c>
      <c r="C469" s="20">
        <f ca="1"/>
        <v>55318</v>
      </c>
      <c r="D469" s="20">
        <f ca="1"/>
        <v>53629.01</v>
      </c>
      <c r="E469" s="20">
        <f ca="1"/>
        <v>54869.95</v>
      </c>
      <c r="F469" s="3">
        <f ca="1"/>
        <v>16274.147790000001</v>
      </c>
      <c r="G469" s="10">
        <f ca="1"/>
        <v>45544.229166655095</v>
      </c>
      <c r="H469" s="3">
        <f ca="1"/>
        <v>885743172.91847587</v>
      </c>
      <c r="I469" s="3">
        <f ca="1"/>
        <v>1796092</v>
      </c>
      <c r="J469" s="3">
        <f ca="1"/>
        <v>8031.7608399999999</v>
      </c>
      <c r="K469" s="3">
        <f ca="1"/>
        <v>437221897.11041522</v>
      </c>
    </row>
    <row r="470" spans="1:11" x14ac:dyDescent="0.3">
      <c r="A470" s="10">
        <f ca="1"/>
        <v>45542.229166666664</v>
      </c>
      <c r="B470" s="20">
        <f ca="1"/>
        <v>53962.97</v>
      </c>
      <c r="C470" s="20">
        <f ca="1"/>
        <v>54850</v>
      </c>
      <c r="D470" s="20">
        <f ca="1"/>
        <v>53745.54</v>
      </c>
      <c r="E470" s="20">
        <f ca="1"/>
        <v>54160.86</v>
      </c>
      <c r="F470" s="3">
        <f ca="1"/>
        <v>16694.047740000002</v>
      </c>
      <c r="G470" s="10">
        <f ca="1"/>
        <v>45543.229166655095</v>
      </c>
      <c r="H470" s="3">
        <f ca="1"/>
        <v>905693342.58983219</v>
      </c>
      <c r="I470" s="3">
        <f ca="1"/>
        <v>1920923</v>
      </c>
      <c r="J470" s="3">
        <f ca="1"/>
        <v>8023.9068299999999</v>
      </c>
      <c r="K470" s="3">
        <f ca="1"/>
        <v>435381439.00959557</v>
      </c>
    </row>
    <row r="471" spans="1:11" x14ac:dyDescent="0.3">
      <c r="A471" s="10">
        <f ca="1"/>
        <v>45541.229166666664</v>
      </c>
      <c r="B471" s="20">
        <f ca="1"/>
        <v>56180</v>
      </c>
      <c r="C471" s="20">
        <f ca="1"/>
        <v>57008</v>
      </c>
      <c r="D471" s="20">
        <f ca="1"/>
        <v>52550</v>
      </c>
      <c r="E471" s="20">
        <f ca="1"/>
        <v>53962.97</v>
      </c>
      <c r="F471" s="3">
        <f ca="1"/>
        <v>54447.768259999997</v>
      </c>
      <c r="G471" s="10">
        <f ca="1"/>
        <v>45542.229166655095</v>
      </c>
      <c r="H471" s="3">
        <f ca="1"/>
        <v>2988914918.924334</v>
      </c>
      <c r="I471" s="3">
        <f ca="1"/>
        <v>5287281</v>
      </c>
      <c r="J471" s="3">
        <f ca="1"/>
        <v>25325.18849</v>
      </c>
      <c r="K471" s="3">
        <f ca="1"/>
        <v>1390546230.881093</v>
      </c>
    </row>
    <row r="472" spans="1:11" x14ac:dyDescent="0.3">
      <c r="A472" s="10">
        <f ca="1"/>
        <v>45540.229166666664</v>
      </c>
      <c r="B472" s="20">
        <f ca="1"/>
        <v>57970.9</v>
      </c>
      <c r="C472" s="20">
        <f ca="1"/>
        <v>58327.07</v>
      </c>
      <c r="D472" s="20">
        <f ca="1"/>
        <v>55643.65</v>
      </c>
      <c r="E472" s="20">
        <f ca="1"/>
        <v>56180</v>
      </c>
      <c r="F472" s="3">
        <f ca="1"/>
        <v>27806.914130000001</v>
      </c>
      <c r="G472" s="10">
        <f ca="1"/>
        <v>45541.229166655095</v>
      </c>
      <c r="H472" s="3">
        <f ca="1"/>
        <v>1577770853.1007974</v>
      </c>
      <c r="I472" s="3">
        <f ca="1"/>
        <v>3368058</v>
      </c>
      <c r="J472" s="3">
        <f ca="1"/>
        <v>12955.8897</v>
      </c>
      <c r="K472" s="3">
        <f ca="1"/>
        <v>734996919.35909545</v>
      </c>
    </row>
    <row r="473" spans="1:11" x14ac:dyDescent="0.3">
      <c r="A473" s="10">
        <f ca="1"/>
        <v>45539.229166666664</v>
      </c>
      <c r="B473" s="20">
        <f ca="1"/>
        <v>57487.74</v>
      </c>
      <c r="C473" s="20">
        <f ca="1"/>
        <v>58519</v>
      </c>
      <c r="D473" s="20">
        <f ca="1"/>
        <v>55606</v>
      </c>
      <c r="E473" s="20">
        <f ca="1"/>
        <v>57970.9</v>
      </c>
      <c r="F473" s="3">
        <f ca="1"/>
        <v>35560.821459999999</v>
      </c>
      <c r="G473" s="10">
        <f ca="1"/>
        <v>45540.229166655095</v>
      </c>
      <c r="H473" s="3">
        <f ca="1"/>
        <v>2027630870.1796753</v>
      </c>
      <c r="I473" s="3">
        <f ca="1"/>
        <v>3177549</v>
      </c>
      <c r="J473" s="3">
        <f ca="1"/>
        <v>16861.754830000002</v>
      </c>
      <c r="K473" s="3">
        <f ca="1"/>
        <v>961923197.77825296</v>
      </c>
    </row>
    <row r="474" spans="1:11" x14ac:dyDescent="0.3">
      <c r="A474" s="10">
        <f ca="1"/>
        <v>45538.229166666664</v>
      </c>
      <c r="B474" s="20">
        <f ca="1"/>
        <v>59132.12</v>
      </c>
      <c r="C474" s="20">
        <f ca="1"/>
        <v>59809.65</v>
      </c>
      <c r="D474" s="20">
        <f ca="1"/>
        <v>57415</v>
      </c>
      <c r="E474" s="20">
        <f ca="1"/>
        <v>57487.73</v>
      </c>
      <c r="F474" s="3">
        <f ca="1"/>
        <v>22828.18447</v>
      </c>
      <c r="G474" s="10">
        <f ca="1"/>
        <v>45539.229166655095</v>
      </c>
      <c r="H474" s="3">
        <f ca="1"/>
        <v>1335076815.8599248</v>
      </c>
      <c r="I474" s="3">
        <f ca="1"/>
        <v>2208758</v>
      </c>
      <c r="J474" s="3">
        <f ca="1"/>
        <v>10979.79204</v>
      </c>
      <c r="K474" s="3">
        <f ca="1"/>
        <v>642252673.11321127</v>
      </c>
    </row>
    <row r="475" spans="1:11" x14ac:dyDescent="0.3">
      <c r="A475" s="10">
        <f ca="1"/>
        <v>45537.229166666664</v>
      </c>
      <c r="B475" s="20">
        <f ca="1"/>
        <v>57301.77</v>
      </c>
      <c r="C475" s="20">
        <f ca="1"/>
        <v>59425.69</v>
      </c>
      <c r="D475" s="20">
        <f ca="1"/>
        <v>57128</v>
      </c>
      <c r="E475" s="20">
        <f ca="1"/>
        <v>59132.13</v>
      </c>
      <c r="F475" s="3">
        <f ca="1"/>
        <v>22895.014609999998</v>
      </c>
      <c r="G475" s="10">
        <f ca="1"/>
        <v>45538.229166655095</v>
      </c>
      <c r="H475" s="3">
        <f ca="1"/>
        <v>1333092369.4465685</v>
      </c>
      <c r="I475" s="3">
        <f ca="1"/>
        <v>1966119</v>
      </c>
      <c r="J475" s="3">
        <f ca="1"/>
        <v>11295.25452</v>
      </c>
      <c r="K475" s="3">
        <f ca="1"/>
        <v>657496577.63048029</v>
      </c>
    </row>
    <row r="476" spans="1:11" x14ac:dyDescent="0.3">
      <c r="A476" s="10">
        <f ca="1"/>
        <v>45536.229166666664</v>
      </c>
      <c r="B476" s="20">
        <f ca="1"/>
        <v>58974</v>
      </c>
      <c r="C476" s="20">
        <f ca="1"/>
        <v>59076.59</v>
      </c>
      <c r="D476" s="20">
        <f ca="1"/>
        <v>57201</v>
      </c>
      <c r="E476" s="20">
        <f ca="1"/>
        <v>57301.86</v>
      </c>
      <c r="F476" s="3">
        <f ca="1"/>
        <v>20705.15741</v>
      </c>
      <c r="G476" s="10">
        <f ca="1"/>
        <v>45537.229166655095</v>
      </c>
      <c r="H476" s="3">
        <f ca="1"/>
        <v>1202176847.3910584</v>
      </c>
      <c r="I476" s="3">
        <f ca="1"/>
        <v>2153180</v>
      </c>
      <c r="J476" s="3">
        <f ca="1"/>
        <v>9651.5053100000005</v>
      </c>
      <c r="K476" s="3">
        <f ca="1"/>
        <v>560452387.89854741</v>
      </c>
    </row>
    <row r="477" spans="1:11" x14ac:dyDescent="0.3">
      <c r="A477" s="10">
        <f ca="1"/>
        <v>45535.229166666664</v>
      </c>
      <c r="B477" s="20">
        <f ca="1"/>
        <v>59123.99</v>
      </c>
      <c r="C477" s="20">
        <f ca="1"/>
        <v>59462.38</v>
      </c>
      <c r="D477" s="20">
        <f ca="1"/>
        <v>58744</v>
      </c>
      <c r="E477" s="20">
        <f ca="1"/>
        <v>58973.99</v>
      </c>
      <c r="F477" s="3">
        <f ca="1"/>
        <v>8798.4089999999997</v>
      </c>
      <c r="G477" s="10">
        <f ca="1"/>
        <v>45536.229166655095</v>
      </c>
      <c r="H477" s="3">
        <f ca="1"/>
        <v>519849184.8690446</v>
      </c>
      <c r="I477" s="3">
        <f ca="1"/>
        <v>895944</v>
      </c>
      <c r="J477" s="3">
        <f ca="1"/>
        <v>4195.9307900000003</v>
      </c>
      <c r="K477" s="3">
        <f ca="1"/>
        <v>247955494.3591592</v>
      </c>
    </row>
    <row r="478" spans="1:11" x14ac:dyDescent="0.3">
      <c r="A478" s="10">
        <f ca="1"/>
        <v>45534.229166666664</v>
      </c>
      <c r="B478" s="20">
        <f ca="1"/>
        <v>59359</v>
      </c>
      <c r="C478" s="20">
        <f ca="1"/>
        <v>59944.07</v>
      </c>
      <c r="D478" s="20">
        <f ca="1"/>
        <v>57701.1</v>
      </c>
      <c r="E478" s="20">
        <f ca="1"/>
        <v>59123.99</v>
      </c>
      <c r="F478" s="3">
        <f ca="1"/>
        <v>28519.321950000001</v>
      </c>
      <c r="G478" s="10">
        <f ca="1"/>
        <v>45535.229166655095</v>
      </c>
      <c r="H478" s="3">
        <f ca="1"/>
        <v>1680918972.4658496</v>
      </c>
      <c r="I478" s="3">
        <f ca="1"/>
        <v>2845696</v>
      </c>
      <c r="J478" s="3">
        <f ca="1"/>
        <v>13783.34749</v>
      </c>
      <c r="K478" s="3">
        <f ca="1"/>
        <v>812769089.28498125</v>
      </c>
    </row>
    <row r="479" spans="1:11" x14ac:dyDescent="0.3">
      <c r="A479" s="10">
        <f ca="1"/>
        <v>45533.229166666664</v>
      </c>
      <c r="B479" s="20">
        <f ca="1"/>
        <v>59034.9</v>
      </c>
      <c r="C479" s="20">
        <f ca="1"/>
        <v>61166.99</v>
      </c>
      <c r="D479" s="20">
        <f ca="1"/>
        <v>58713.09</v>
      </c>
      <c r="E479" s="20">
        <f ca="1"/>
        <v>59359.01</v>
      </c>
      <c r="F479" s="3">
        <f ca="1"/>
        <v>27020.907429999999</v>
      </c>
      <c r="G479" s="10">
        <f ca="1"/>
        <v>45534.229166655095</v>
      </c>
      <c r="H479" s="3">
        <f ca="1"/>
        <v>1617931684.2585759</v>
      </c>
      <c r="I479" s="3">
        <f ca="1"/>
        <v>2743900</v>
      </c>
      <c r="J479" s="3">
        <f ca="1"/>
        <v>13152.385899999999</v>
      </c>
      <c r="K479" s="3">
        <f ca="1"/>
        <v>787682410.35188687</v>
      </c>
    </row>
    <row r="480" spans="1:11" x14ac:dyDescent="0.3">
      <c r="A480" s="10">
        <f ca="1"/>
        <v>45532.229166666664</v>
      </c>
      <c r="B480" s="20">
        <f ca="1"/>
        <v>59415</v>
      </c>
      <c r="C480" s="20">
        <f ca="1"/>
        <v>60234.98</v>
      </c>
      <c r="D480" s="20">
        <f ca="1"/>
        <v>57860</v>
      </c>
      <c r="E480" s="20">
        <f ca="1"/>
        <v>59034.9</v>
      </c>
      <c r="F480" s="3">
        <f ca="1"/>
        <v>36868.542750000001</v>
      </c>
      <c r="G480" s="10">
        <f ca="1"/>
        <v>45533.229166655095</v>
      </c>
      <c r="H480" s="3">
        <f ca="1"/>
        <v>2183054412.9740872</v>
      </c>
      <c r="I480" s="3">
        <f ca="1"/>
        <v>3664134</v>
      </c>
      <c r="J480" s="3">
        <f ca="1"/>
        <v>17135.911619999999</v>
      </c>
      <c r="K480" s="3">
        <f ca="1"/>
        <v>1014904733.0685129</v>
      </c>
    </row>
    <row r="481" spans="1:11" x14ac:dyDescent="0.3">
      <c r="A481" s="10">
        <f ca="1"/>
        <v>45531.229166666664</v>
      </c>
      <c r="B481" s="20">
        <f ca="1"/>
        <v>62834</v>
      </c>
      <c r="C481" s="20">
        <f ca="1"/>
        <v>63212</v>
      </c>
      <c r="D481" s="20">
        <f ca="1"/>
        <v>58034.01</v>
      </c>
      <c r="E481" s="20">
        <f ca="1"/>
        <v>59415</v>
      </c>
      <c r="F481" s="3">
        <f ca="1"/>
        <v>35135.941780000001</v>
      </c>
      <c r="G481" s="10">
        <f ca="1"/>
        <v>45532.229166655095</v>
      </c>
      <c r="H481" s="3">
        <f ca="1"/>
        <v>2158144642.9929929</v>
      </c>
      <c r="I481" s="3">
        <f ca="1"/>
        <v>2995281</v>
      </c>
      <c r="J481" s="3">
        <f ca="1"/>
        <v>15873.1536</v>
      </c>
      <c r="K481" s="3">
        <f ca="1"/>
        <v>975361314.87765908</v>
      </c>
    </row>
    <row r="482" spans="1:11" x14ac:dyDescent="0.3">
      <c r="A482" s="10">
        <f ca="1"/>
        <v>45530.229166666664</v>
      </c>
      <c r="B482" s="20">
        <f ca="1"/>
        <v>64219.99</v>
      </c>
      <c r="C482" s="20">
        <f ca="1"/>
        <v>64481</v>
      </c>
      <c r="D482" s="20">
        <f ca="1"/>
        <v>62800</v>
      </c>
      <c r="E482" s="20">
        <f ca="1"/>
        <v>62834</v>
      </c>
      <c r="F482" s="3">
        <f ca="1"/>
        <v>19470.052759999999</v>
      </c>
      <c r="G482" s="10">
        <f ca="1"/>
        <v>45531.229166655095</v>
      </c>
      <c r="H482" s="3">
        <f ca="1"/>
        <v>1238341818.4320166</v>
      </c>
      <c r="I482" s="3">
        <f ca="1"/>
        <v>2152841</v>
      </c>
      <c r="J482" s="3">
        <f ca="1"/>
        <v>8995.6760900000008</v>
      </c>
      <c r="K482" s="3">
        <f ca="1"/>
        <v>572188217.6295675</v>
      </c>
    </row>
    <row r="483" spans="1:11" x14ac:dyDescent="0.3">
      <c r="A483" s="10">
        <f ca="1"/>
        <v>45529.229166666664</v>
      </c>
      <c r="B483" s="20">
        <f ca="1"/>
        <v>64157.02</v>
      </c>
      <c r="C483" s="20">
        <f ca="1"/>
        <v>65000</v>
      </c>
      <c r="D483" s="20">
        <f ca="1"/>
        <v>63773.27</v>
      </c>
      <c r="E483" s="20">
        <f ca="1"/>
        <v>64220</v>
      </c>
      <c r="F483" s="3">
        <f ca="1"/>
        <v>12305.47977</v>
      </c>
      <c r="G483" s="10">
        <f ca="1"/>
        <v>45530.229166655095</v>
      </c>
      <c r="H483" s="3">
        <f ca="1"/>
        <v>789935122.99302423</v>
      </c>
      <c r="I483" s="3">
        <f ca="1"/>
        <v>1263065</v>
      </c>
      <c r="J483" s="3">
        <f ca="1"/>
        <v>6315.7223299999996</v>
      </c>
      <c r="K483" s="3">
        <f ca="1"/>
        <v>405555580.86044377</v>
      </c>
    </row>
    <row r="484" spans="1:11" x14ac:dyDescent="0.3">
      <c r="A484" s="10">
        <f ca="1"/>
        <v>45528.229166666664</v>
      </c>
      <c r="B484" s="20">
        <f ca="1"/>
        <v>64037.24</v>
      </c>
      <c r="C484" s="20">
        <f ca="1"/>
        <v>64494.5</v>
      </c>
      <c r="D484" s="20">
        <f ca="1"/>
        <v>63531</v>
      </c>
      <c r="E484" s="20">
        <f ca="1"/>
        <v>64157.01</v>
      </c>
      <c r="F484" s="3">
        <f ca="1"/>
        <v>15857.15616</v>
      </c>
      <c r="G484" s="10">
        <f ca="1"/>
        <v>45529.229166655095</v>
      </c>
      <c r="H484" s="3">
        <f ca="1"/>
        <v>1015774255.1740764</v>
      </c>
      <c r="I484" s="3">
        <f ca="1"/>
        <v>1551856</v>
      </c>
      <c r="J484" s="3">
        <f ca="1"/>
        <v>7643.0268599999999</v>
      </c>
      <c r="K484" s="3">
        <f ca="1"/>
        <v>489673236.65980017</v>
      </c>
    </row>
    <row r="485" spans="1:11" x14ac:dyDescent="0.3">
      <c r="A485" s="10">
        <f ca="1"/>
        <v>45527.229166666664</v>
      </c>
      <c r="B485" s="20">
        <f ca="1"/>
        <v>60375.83</v>
      </c>
      <c r="C485" s="20">
        <f ca="1"/>
        <v>64955</v>
      </c>
      <c r="D485" s="20">
        <f ca="1"/>
        <v>60342.14</v>
      </c>
      <c r="E485" s="20">
        <f ca="1"/>
        <v>64037.24</v>
      </c>
      <c r="F485" s="3">
        <f ca="1"/>
        <v>38118.070890000003</v>
      </c>
      <c r="G485" s="10">
        <f ca="1"/>
        <v>45528.229166655095</v>
      </c>
      <c r="H485" s="3">
        <f ca="1"/>
        <v>2375916932.7935486</v>
      </c>
      <c r="I485" s="3">
        <f ca="1"/>
        <v>2555682</v>
      </c>
      <c r="J485" s="3">
        <f ca="1"/>
        <v>20372.88336</v>
      </c>
      <c r="K485" s="3">
        <f ca="1"/>
        <v>1270318490.0257754</v>
      </c>
    </row>
    <row r="486" spans="1:11" x14ac:dyDescent="0.3">
      <c r="A486" s="10">
        <f ca="1"/>
        <v>45526.229166666664</v>
      </c>
      <c r="B486" s="20">
        <f ca="1"/>
        <v>61156.03</v>
      </c>
      <c r="C486" s="20">
        <f ca="1"/>
        <v>61400</v>
      </c>
      <c r="D486" s="20">
        <f ca="1"/>
        <v>59724.87</v>
      </c>
      <c r="E486" s="20">
        <f ca="1"/>
        <v>60375.839999999997</v>
      </c>
      <c r="F486" s="3">
        <f ca="1"/>
        <v>21241.205880000001</v>
      </c>
      <c r="G486" s="10">
        <f ca="1"/>
        <v>45527.229166655095</v>
      </c>
      <c r="H486" s="3">
        <f ca="1"/>
        <v>1288544247.9560175</v>
      </c>
      <c r="I486" s="3">
        <f ca="1"/>
        <v>1718280</v>
      </c>
      <c r="J486" s="3">
        <f ca="1"/>
        <v>10269.33376</v>
      </c>
      <c r="K486" s="3">
        <f ca="1"/>
        <v>623042041.07817352</v>
      </c>
    </row>
    <row r="487" spans="1:11" x14ac:dyDescent="0.3">
      <c r="A487" s="10">
        <f ca="1"/>
        <v>45525.229166666664</v>
      </c>
      <c r="B487" s="20">
        <f ca="1"/>
        <v>59013.8</v>
      </c>
      <c r="C487" s="20">
        <f ca="1"/>
        <v>61820.93</v>
      </c>
      <c r="D487" s="20">
        <f ca="1"/>
        <v>58783.47</v>
      </c>
      <c r="E487" s="20">
        <f ca="1"/>
        <v>61156.03</v>
      </c>
      <c r="F487" s="3">
        <f ca="1"/>
        <v>27983.642199999998</v>
      </c>
      <c r="G487" s="10">
        <f ca="1"/>
        <v>45526.229166655095</v>
      </c>
      <c r="H487" s="3">
        <f ca="1"/>
        <v>1682529555.0960546</v>
      </c>
      <c r="I487" s="3">
        <f ca="1"/>
        <v>1981525</v>
      </c>
      <c r="J487" s="3">
        <f ca="1"/>
        <v>14156.90984</v>
      </c>
      <c r="K487" s="3">
        <f ca="1"/>
        <v>851829721.39945483</v>
      </c>
    </row>
    <row r="488" spans="1:11" x14ac:dyDescent="0.3">
      <c r="A488" s="10">
        <f ca="1"/>
        <v>45524.229166666664</v>
      </c>
      <c r="B488" s="20">
        <f ca="1"/>
        <v>59438.5</v>
      </c>
      <c r="C488" s="20">
        <f ca="1"/>
        <v>61400</v>
      </c>
      <c r="D488" s="20">
        <f ca="1"/>
        <v>58548.23</v>
      </c>
      <c r="E488" s="20">
        <f ca="1"/>
        <v>59013.8</v>
      </c>
      <c r="F488" s="3">
        <f ca="1"/>
        <v>31477.445479999998</v>
      </c>
      <c r="G488" s="10">
        <f ca="1"/>
        <v>45525.229166655095</v>
      </c>
      <c r="H488" s="3">
        <f ca="1"/>
        <v>1890620149.7910202</v>
      </c>
      <c r="I488" s="3">
        <f ca="1"/>
        <v>1904519</v>
      </c>
      <c r="J488" s="3">
        <f ca="1"/>
        <v>16041.22019</v>
      </c>
      <c r="K488" s="3">
        <f ca="1"/>
        <v>964180516.15293992</v>
      </c>
    </row>
    <row r="489" spans="1:11" x14ac:dyDescent="0.3">
      <c r="A489" s="10">
        <f ca="1"/>
        <v>45523.229166666664</v>
      </c>
      <c r="B489" s="20">
        <f ca="1"/>
        <v>58427.35</v>
      </c>
      <c r="C489" s="20">
        <f ca="1"/>
        <v>59617.63</v>
      </c>
      <c r="D489" s="20">
        <f ca="1"/>
        <v>57787.3</v>
      </c>
      <c r="E489" s="20">
        <f ca="1"/>
        <v>59438.5</v>
      </c>
      <c r="F489" s="3">
        <f ca="1"/>
        <v>22809.31251</v>
      </c>
      <c r="G489" s="10">
        <f ca="1"/>
        <v>45524.229166655095</v>
      </c>
      <c r="H489" s="3">
        <f ca="1"/>
        <v>1336287900.197634</v>
      </c>
      <c r="I489" s="3">
        <f ca="1"/>
        <v>1636295</v>
      </c>
      <c r="J489" s="3">
        <f ca="1"/>
        <v>11350.30776</v>
      </c>
      <c r="K489" s="3">
        <f ca="1"/>
        <v>665066212.75953555</v>
      </c>
    </row>
    <row r="490" spans="1:11" x14ac:dyDescent="0.3">
      <c r="A490" s="10">
        <f ca="1"/>
        <v>45522.229166666664</v>
      </c>
      <c r="B490" s="20">
        <f ca="1"/>
        <v>59491.99</v>
      </c>
      <c r="C490" s="20">
        <f ca="1"/>
        <v>60284.99</v>
      </c>
      <c r="D490" s="20">
        <f ca="1"/>
        <v>58408.92</v>
      </c>
      <c r="E490" s="20">
        <f ca="1"/>
        <v>58427.35</v>
      </c>
      <c r="F490" s="3">
        <f ca="1"/>
        <v>13634.857169999999</v>
      </c>
      <c r="G490" s="10">
        <f ca="1"/>
        <v>45523.229166655095</v>
      </c>
      <c r="H490" s="3">
        <f ca="1"/>
        <v>813166580.72648513</v>
      </c>
      <c r="I490" s="3">
        <f ca="1"/>
        <v>1099730</v>
      </c>
      <c r="J490" s="3">
        <f ca="1"/>
        <v>6660.5825400000003</v>
      </c>
      <c r="K490" s="3">
        <f ca="1"/>
        <v>397459480.87198228</v>
      </c>
    </row>
    <row r="491" spans="1:11" x14ac:dyDescent="0.3">
      <c r="A491" s="10">
        <f ca="1"/>
        <v>45521.229166666664</v>
      </c>
      <c r="B491" s="20">
        <f ca="1"/>
        <v>58874.59</v>
      </c>
      <c r="C491" s="20">
        <f ca="1"/>
        <v>59700</v>
      </c>
      <c r="D491" s="20">
        <f ca="1"/>
        <v>58785.05</v>
      </c>
      <c r="E491" s="20">
        <f ca="1"/>
        <v>59491.99</v>
      </c>
      <c r="F491" s="3">
        <f ca="1"/>
        <v>7721.7293099999997</v>
      </c>
      <c r="G491" s="10">
        <f ca="1"/>
        <v>45522.229166655095</v>
      </c>
      <c r="H491" s="3">
        <f ca="1"/>
        <v>457737705.77228391</v>
      </c>
      <c r="I491" s="3">
        <f ca="1"/>
        <v>807159</v>
      </c>
      <c r="J491" s="3">
        <f ca="1"/>
        <v>3871.6531</v>
      </c>
      <c r="K491" s="3">
        <f ca="1"/>
        <v>229477473.8098391</v>
      </c>
    </row>
    <row r="492" spans="1:11" x14ac:dyDescent="0.3">
      <c r="A492" s="10">
        <f ca="1"/>
        <v>45520.229166666664</v>
      </c>
      <c r="B492" s="20">
        <f ca="1"/>
        <v>57541.05</v>
      </c>
      <c r="C492" s="20">
        <f ca="1"/>
        <v>59817.760000000002</v>
      </c>
      <c r="D492" s="20">
        <f ca="1"/>
        <v>57098.62</v>
      </c>
      <c r="E492" s="20">
        <f ca="1"/>
        <v>58874.6</v>
      </c>
      <c r="F492" s="3">
        <f ca="1"/>
        <v>27610.843440000001</v>
      </c>
      <c r="G492" s="10">
        <f ca="1"/>
        <v>45521.229166655095</v>
      </c>
      <c r="H492" s="3">
        <f ca="1"/>
        <v>1614654900.3332715</v>
      </c>
      <c r="I492" s="3">
        <f ca="1"/>
        <v>1999539</v>
      </c>
      <c r="J492" s="3">
        <f ca="1"/>
        <v>13963.518239999999</v>
      </c>
      <c r="K492" s="3">
        <f ca="1"/>
        <v>816740633.54544616</v>
      </c>
    </row>
    <row r="493" spans="1:11" x14ac:dyDescent="0.3">
      <c r="A493" s="10">
        <f ca="1"/>
        <v>45519.229166666664</v>
      </c>
      <c r="B493" s="20">
        <f ca="1"/>
        <v>58683.39</v>
      </c>
      <c r="C493" s="20">
        <f ca="1"/>
        <v>59849.38</v>
      </c>
      <c r="D493" s="20">
        <f ca="1"/>
        <v>56078.54</v>
      </c>
      <c r="E493" s="20">
        <f ca="1"/>
        <v>57541.06</v>
      </c>
      <c r="F493" s="3">
        <f ca="1"/>
        <v>37686.176220000001</v>
      </c>
      <c r="G493" s="10">
        <f ca="1"/>
        <v>45520.229166655095</v>
      </c>
      <c r="H493" s="3">
        <f ca="1"/>
        <v>2194915865.0522289</v>
      </c>
      <c r="I493" s="3">
        <f ca="1"/>
        <v>2507858</v>
      </c>
      <c r="J493" s="3">
        <f ca="1"/>
        <v>17255.223109999999</v>
      </c>
      <c r="K493" s="3">
        <f ca="1"/>
        <v>1005337423.7264239</v>
      </c>
    </row>
    <row r="494" spans="1:11" x14ac:dyDescent="0.3">
      <c r="A494" s="10">
        <f ca="1"/>
        <v>45518.229166666664</v>
      </c>
      <c r="B494" s="20">
        <f ca="1"/>
        <v>60587.16</v>
      </c>
      <c r="C494" s="20">
        <f ca="1"/>
        <v>61800</v>
      </c>
      <c r="D494" s="20">
        <f ca="1"/>
        <v>58433.18</v>
      </c>
      <c r="E494" s="20">
        <f ca="1"/>
        <v>58683.39</v>
      </c>
      <c r="F494" s="3">
        <f ca="1"/>
        <v>28422.76326</v>
      </c>
      <c r="G494" s="10">
        <f ca="1"/>
        <v>45519.229166655095</v>
      </c>
      <c r="H494" s="3">
        <f ca="1"/>
        <v>1705464263.5058651</v>
      </c>
      <c r="I494" s="3">
        <f ca="1"/>
        <v>1729342</v>
      </c>
      <c r="J494" s="3">
        <f ca="1"/>
        <v>13263.896199999999</v>
      </c>
      <c r="K494" s="3">
        <f ca="1"/>
        <v>796386901.36411655</v>
      </c>
    </row>
    <row r="495" spans="1:11" x14ac:dyDescent="0.3">
      <c r="A495" s="10">
        <f ca="1"/>
        <v>45517.229166666664</v>
      </c>
      <c r="B495" s="20">
        <f ca="1"/>
        <v>59346.64</v>
      </c>
      <c r="C495" s="20">
        <f ca="1"/>
        <v>61578.1</v>
      </c>
      <c r="D495" s="20">
        <f ca="1"/>
        <v>58392.88</v>
      </c>
      <c r="E495" s="20">
        <f ca="1"/>
        <v>60587.15</v>
      </c>
      <c r="F495" s="3">
        <f ca="1"/>
        <v>27858.95851</v>
      </c>
      <c r="G495" s="10">
        <f ca="1"/>
        <v>45518.229166655095</v>
      </c>
      <c r="H495" s="3">
        <f ca="1"/>
        <v>1668247896.8477187</v>
      </c>
      <c r="I495" s="3">
        <f ca="1"/>
        <v>1713485</v>
      </c>
      <c r="J495" s="3">
        <f ca="1"/>
        <v>13647.223410000001</v>
      </c>
      <c r="K495" s="3">
        <f ca="1"/>
        <v>817397824.22938573</v>
      </c>
    </row>
    <row r="496" spans="1:11" x14ac:dyDescent="0.3">
      <c r="A496" s="10">
        <f ca="1"/>
        <v>45516.229166666664</v>
      </c>
      <c r="B496" s="20">
        <f ca="1"/>
        <v>58712.59</v>
      </c>
      <c r="C496" s="20">
        <f ca="1"/>
        <v>60711.09</v>
      </c>
      <c r="D496" s="20">
        <f ca="1"/>
        <v>57642.21</v>
      </c>
      <c r="E496" s="20">
        <f ca="1"/>
        <v>59346.64</v>
      </c>
      <c r="F496" s="3">
        <f ca="1"/>
        <v>37009.917430000001</v>
      </c>
      <c r="G496" s="10">
        <f ca="1"/>
        <v>45517.229166655095</v>
      </c>
      <c r="H496" s="3">
        <f ca="1"/>
        <v>2186851067.316586</v>
      </c>
      <c r="I496" s="3">
        <f ca="1"/>
        <v>2293837</v>
      </c>
      <c r="J496" s="3">
        <f ca="1"/>
        <v>18279.265960000001</v>
      </c>
      <c r="K496" s="3">
        <f ca="1"/>
        <v>1080368631.1427846</v>
      </c>
    </row>
    <row r="497" spans="1:11" x14ac:dyDescent="0.3">
      <c r="A497" s="10">
        <f ca="1"/>
        <v>45515.229166666664</v>
      </c>
      <c r="B497" s="20">
        <f ca="1"/>
        <v>60923.51</v>
      </c>
      <c r="C497" s="20">
        <f ca="1"/>
        <v>61858</v>
      </c>
      <c r="D497" s="20">
        <f ca="1"/>
        <v>58286.73</v>
      </c>
      <c r="E497" s="20">
        <f ca="1"/>
        <v>58712.59</v>
      </c>
      <c r="F497" s="3">
        <f ca="1"/>
        <v>19189.845120000002</v>
      </c>
      <c r="G497" s="10">
        <f ca="1"/>
        <v>45516.229166655095</v>
      </c>
      <c r="H497" s="3">
        <f ca="1"/>
        <v>1152081498.1567774</v>
      </c>
      <c r="I497" s="3">
        <f ca="1"/>
        <v>1319469</v>
      </c>
      <c r="J497" s="3">
        <f ca="1"/>
        <v>9094.7452099999991</v>
      </c>
      <c r="K497" s="3">
        <f ca="1"/>
        <v>546165456.9550736</v>
      </c>
    </row>
    <row r="498" spans="1:11" x14ac:dyDescent="0.3">
      <c r="A498" s="10">
        <f ca="1"/>
        <v>45514.229166666664</v>
      </c>
      <c r="B498" s="20">
        <f ca="1"/>
        <v>60837.99</v>
      </c>
      <c r="C498" s="20">
        <f ca="1"/>
        <v>61470.58</v>
      </c>
      <c r="D498" s="20">
        <f ca="1"/>
        <v>60242</v>
      </c>
      <c r="E498" s="20">
        <f ca="1"/>
        <v>60923.51</v>
      </c>
      <c r="F498" s="3">
        <f ca="1"/>
        <v>9995.2062100000003</v>
      </c>
      <c r="G498" s="10">
        <f ca="1"/>
        <v>45515.229166655095</v>
      </c>
      <c r="H498" s="3">
        <f ca="1"/>
        <v>607372221.24603975</v>
      </c>
      <c r="I498" s="3">
        <f ca="1"/>
        <v>800499</v>
      </c>
      <c r="J498" s="3">
        <f ca="1"/>
        <v>4893.6385399999999</v>
      </c>
      <c r="K498" s="3">
        <f ca="1"/>
        <v>297435046.00250793</v>
      </c>
    </row>
    <row r="499" spans="1:11" x14ac:dyDescent="0.3">
      <c r="A499" s="10">
        <f ca="1"/>
        <v>45513.229166666664</v>
      </c>
      <c r="B499" s="20">
        <f ca="1"/>
        <v>61686</v>
      </c>
      <c r="C499" s="20">
        <f ca="1"/>
        <v>61744.37</v>
      </c>
      <c r="D499" s="20">
        <f ca="1"/>
        <v>59535</v>
      </c>
      <c r="E499" s="20">
        <f ca="1"/>
        <v>60837.99</v>
      </c>
      <c r="F499" s="3">
        <f ca="1"/>
        <v>30972.480169999999</v>
      </c>
      <c r="G499" s="10">
        <f ca="1"/>
        <v>45514.229166655095</v>
      </c>
      <c r="H499" s="3">
        <f ca="1"/>
        <v>1878350555.5122633</v>
      </c>
      <c r="I499" s="3">
        <f ca="1"/>
        <v>1827809</v>
      </c>
      <c r="J499" s="3">
        <f ca="1"/>
        <v>15023.050730000001</v>
      </c>
      <c r="K499" s="3">
        <f ca="1"/>
        <v>911225295.62634361</v>
      </c>
    </row>
    <row r="500" spans="1:11" x14ac:dyDescent="0.3">
      <c r="A500" s="10">
        <f ca="1"/>
        <v>45512.229166666664</v>
      </c>
      <c r="B500" s="20">
        <f ca="1"/>
        <v>55133.760000000002</v>
      </c>
      <c r="C500" s="20">
        <f ca="1"/>
        <v>62745.14</v>
      </c>
      <c r="D500" s="20">
        <f ca="1"/>
        <v>54730</v>
      </c>
      <c r="E500" s="20">
        <f ca="1"/>
        <v>61685.99</v>
      </c>
      <c r="F500" s="3">
        <f ca="1"/>
        <v>48349.529490000001</v>
      </c>
      <c r="G500" s="10">
        <f ca="1"/>
        <v>45513.229166655095</v>
      </c>
      <c r="H500" s="3">
        <f ca="1"/>
        <v>2836312292.431818</v>
      </c>
      <c r="I500" s="3">
        <f ca="1"/>
        <v>2603042</v>
      </c>
      <c r="J500" s="3">
        <f ca="1"/>
        <v>25676.295330000001</v>
      </c>
      <c r="K500" s="3">
        <f ca="1"/>
        <v>1508140014.0005167</v>
      </c>
    </row>
    <row r="501" spans="1:11" x14ac:dyDescent="0.3">
      <c r="A501" s="10">
        <f ca="1"/>
        <v>45511.229166666664</v>
      </c>
      <c r="B501" s="20">
        <f ca="1"/>
        <v>56022</v>
      </c>
      <c r="C501" s="20">
        <f ca="1"/>
        <v>57736.05</v>
      </c>
      <c r="D501" s="20">
        <f ca="1"/>
        <v>54558.62</v>
      </c>
      <c r="E501" s="20">
        <f ca="1"/>
        <v>55134.16</v>
      </c>
      <c r="F501" s="3">
        <f ca="1"/>
        <v>44269.376839999997</v>
      </c>
      <c r="G501" s="10">
        <f ca="1"/>
        <v>45512.229166655095</v>
      </c>
      <c r="H501" s="3">
        <f ca="1"/>
        <v>2490553853.6025829</v>
      </c>
      <c r="I501" s="3">
        <f ca="1"/>
        <v>2397504</v>
      </c>
      <c r="J501" s="3">
        <f ca="1"/>
        <v>21897.149829999998</v>
      </c>
      <c r="K501" s="3">
        <f ca="1"/>
        <v>1232415104.4472857</v>
      </c>
    </row>
    <row r="502" spans="1:11" x14ac:dyDescent="0.3">
      <c r="A502" s="10">
        <f ca="1"/>
        <v>45510.229166666664</v>
      </c>
      <c r="B502" s="20">
        <f ca="1"/>
        <v>54018.82</v>
      </c>
      <c r="C502" s="20">
        <f ca="1"/>
        <v>57040.99</v>
      </c>
      <c r="D502" s="20">
        <f ca="1"/>
        <v>53950</v>
      </c>
      <c r="E502" s="20">
        <f ca="1"/>
        <v>56022.01</v>
      </c>
      <c r="F502" s="3">
        <f ca="1"/>
        <v>55884.776760000001</v>
      </c>
      <c r="G502" s="10">
        <f ca="1"/>
        <v>45511.229166655095</v>
      </c>
      <c r="H502" s="3">
        <f ca="1"/>
        <v>3119018848.3298879</v>
      </c>
      <c r="I502" s="3">
        <f ca="1"/>
        <v>3433824</v>
      </c>
      <c r="J502" s="3">
        <f ca="1"/>
        <v>27934.192879999999</v>
      </c>
      <c r="K502" s="3">
        <f ca="1"/>
        <v>1559417942.6490836</v>
      </c>
    </row>
    <row r="503" spans="1:11" x14ac:dyDescent="0.3">
      <c r="A503" s="10">
        <f ca="1"/>
        <v>45509.229166666664</v>
      </c>
      <c r="B503" s="20">
        <f ca="1"/>
        <v>58161</v>
      </c>
      <c r="C503" s="20">
        <f ca="1"/>
        <v>58305.59</v>
      </c>
      <c r="D503" s="20">
        <f ca="1"/>
        <v>49000</v>
      </c>
      <c r="E503" s="20">
        <f ca="1"/>
        <v>54018.81</v>
      </c>
      <c r="F503" s="3">
        <f ca="1"/>
        <v>162065.59185999999</v>
      </c>
      <c r="G503" s="10">
        <f ca="1"/>
        <v>45510.229166655095</v>
      </c>
      <c r="H503" s="3">
        <f ca="1"/>
        <v>8580928177.4299011</v>
      </c>
      <c r="I503" s="3">
        <f ca="1"/>
        <v>7568497</v>
      </c>
      <c r="J503" s="3">
        <f ca="1"/>
        <v>77363.263229999997</v>
      </c>
      <c r="K503" s="3">
        <f ca="1"/>
        <v>4097736999.0679235</v>
      </c>
    </row>
    <row r="504" spans="1:11" x14ac:dyDescent="0.3">
      <c r="A504" s="10">
        <f ca="1"/>
        <v>45508.229166666664</v>
      </c>
      <c r="B504" s="20">
        <f ca="1"/>
        <v>60697.99</v>
      </c>
      <c r="C504" s="20">
        <f ca="1"/>
        <v>61117.63</v>
      </c>
      <c r="D504" s="20">
        <f ca="1"/>
        <v>57122.77</v>
      </c>
      <c r="E504" s="20">
        <f ca="1"/>
        <v>58161</v>
      </c>
      <c r="F504" s="3">
        <f ca="1"/>
        <v>31616.52003</v>
      </c>
      <c r="G504" s="10">
        <f ca="1"/>
        <v>45509.229166655095</v>
      </c>
      <c r="H504" s="3">
        <f ca="1"/>
        <v>1874490041.5437353</v>
      </c>
      <c r="I504" s="3">
        <f ca="1"/>
        <v>1886195</v>
      </c>
      <c r="J504" s="3">
        <f ca="1"/>
        <v>14556.6247</v>
      </c>
      <c r="K504" s="3">
        <f ca="1"/>
        <v>863334319.96789837</v>
      </c>
    </row>
    <row r="505" spans="1:11" x14ac:dyDescent="0.3">
      <c r="A505" s="10">
        <f ca="1"/>
        <v>45507.229166666664</v>
      </c>
      <c r="B505" s="20">
        <f ca="1"/>
        <v>61498.34</v>
      </c>
      <c r="C505" s="20">
        <f ca="1"/>
        <v>62198.22</v>
      </c>
      <c r="D505" s="20">
        <f ca="1"/>
        <v>59850</v>
      </c>
      <c r="E505" s="20">
        <f ca="1"/>
        <v>60697.99</v>
      </c>
      <c r="F505" s="3">
        <f ca="1"/>
        <v>28034.715670000001</v>
      </c>
      <c r="G505" s="10">
        <f ca="1"/>
        <v>45508.229166655095</v>
      </c>
      <c r="H505" s="3">
        <f ca="1"/>
        <v>1711555901.18011</v>
      </c>
      <c r="I505" s="3">
        <f ca="1"/>
        <v>1669555</v>
      </c>
      <c r="J505" s="3">
        <f ca="1"/>
        <v>12947.957909999999</v>
      </c>
      <c r="K505" s="3">
        <f ca="1"/>
        <v>790701622.63757372</v>
      </c>
    </row>
    <row r="506" spans="1:11" x14ac:dyDescent="0.3">
      <c r="A506" s="10">
        <f ca="1"/>
        <v>45506.229166666664</v>
      </c>
      <c r="B506" s="20">
        <f ca="1"/>
        <v>65354.02</v>
      </c>
      <c r="C506" s="20">
        <f ca="1"/>
        <v>65596.14</v>
      </c>
      <c r="D506" s="20">
        <f ca="1"/>
        <v>61230.01</v>
      </c>
      <c r="E506" s="20">
        <f ca="1"/>
        <v>61498.33</v>
      </c>
      <c r="F506" s="3">
        <f ca="1"/>
        <v>38820.429369999998</v>
      </c>
      <c r="G506" s="10">
        <f ca="1"/>
        <v>45507.229166655095</v>
      </c>
      <c r="H506" s="3">
        <f ca="1"/>
        <v>2469588785.6981573</v>
      </c>
      <c r="I506" s="3">
        <f ca="1"/>
        <v>2457735</v>
      </c>
      <c r="J506" s="3">
        <f ca="1"/>
        <v>18202.357940000002</v>
      </c>
      <c r="K506" s="3">
        <f ca="1"/>
        <v>1158565579.090291</v>
      </c>
    </row>
    <row r="507" spans="1:11" x14ac:dyDescent="0.3">
      <c r="A507" s="10">
        <f ca="1"/>
        <v>45505.229166666664</v>
      </c>
      <c r="B507" s="20">
        <f ca="1"/>
        <v>64628.01</v>
      </c>
      <c r="C507" s="20">
        <f ca="1"/>
        <v>65659.78</v>
      </c>
      <c r="D507" s="20">
        <f ca="1"/>
        <v>62302</v>
      </c>
      <c r="E507" s="20">
        <f ca="1"/>
        <v>65354.02</v>
      </c>
      <c r="F507" s="3">
        <f ca="1"/>
        <v>35542.268539999997</v>
      </c>
      <c r="G507" s="10">
        <f ca="1"/>
        <v>45506.229166655095</v>
      </c>
      <c r="H507" s="3">
        <f ca="1"/>
        <v>2270877792.65868</v>
      </c>
      <c r="I507" s="3">
        <f ca="1"/>
        <v>2397257</v>
      </c>
      <c r="J507" s="3">
        <f ca="1"/>
        <v>16886.932919999999</v>
      </c>
      <c r="K507" s="3">
        <f ca="1"/>
        <v>1079221072.7580278</v>
      </c>
    </row>
    <row r="508" spans="1:11" x14ac:dyDescent="0.3">
      <c r="A508" s="10">
        <f ca="1"/>
        <v>45504.229166666664</v>
      </c>
      <c r="B508" s="20">
        <f ca="1"/>
        <v>66188</v>
      </c>
      <c r="C508" s="20">
        <f ca="1"/>
        <v>66849.240000000005</v>
      </c>
      <c r="D508" s="20">
        <f ca="1"/>
        <v>64530</v>
      </c>
      <c r="E508" s="20">
        <f ca="1"/>
        <v>64628</v>
      </c>
      <c r="F508" s="3">
        <f ca="1"/>
        <v>22625.439050000001</v>
      </c>
      <c r="G508" s="10">
        <f ca="1"/>
        <v>45505.229166655095</v>
      </c>
      <c r="H508" s="3">
        <f ca="1"/>
        <v>1489443332.5960116</v>
      </c>
      <c r="I508" s="3">
        <f ca="1"/>
        <v>1609976</v>
      </c>
      <c r="J508" s="3">
        <f ca="1"/>
        <v>10818.48504</v>
      </c>
      <c r="K508" s="3">
        <f ca="1"/>
        <v>712275323.70693696</v>
      </c>
    </row>
    <row r="509" spans="1:11" x14ac:dyDescent="0.3">
      <c r="A509" s="10">
        <f ca="1"/>
        <v>45503.229166666664</v>
      </c>
      <c r="B509" s="20">
        <f ca="1"/>
        <v>66784.679999999993</v>
      </c>
      <c r="C509" s="20">
        <f ca="1"/>
        <v>67000</v>
      </c>
      <c r="D509" s="20">
        <f ca="1"/>
        <v>65302.67</v>
      </c>
      <c r="E509" s="20">
        <f ca="1"/>
        <v>66188</v>
      </c>
      <c r="F509" s="3">
        <f ca="1"/>
        <v>23132.254410000001</v>
      </c>
      <c r="G509" s="10">
        <f ca="1"/>
        <v>45504.229166655095</v>
      </c>
      <c r="H509" s="3">
        <f ca="1"/>
        <v>1533270724.7994211</v>
      </c>
      <c r="I509" s="3">
        <f ca="1"/>
        <v>1622083</v>
      </c>
      <c r="J509" s="3">
        <f ca="1"/>
        <v>11096.82554</v>
      </c>
      <c r="K509" s="3">
        <f ca="1"/>
        <v>735708436.02368665</v>
      </c>
    </row>
    <row r="510" spans="1:11" x14ac:dyDescent="0.3">
      <c r="A510" s="10">
        <f ca="1"/>
        <v>45502.229166666664</v>
      </c>
      <c r="B510" s="20">
        <f ca="1"/>
        <v>68249.88</v>
      </c>
      <c r="C510" s="20">
        <f ca="1"/>
        <v>70079.990000000005</v>
      </c>
      <c r="D510" s="20">
        <f ca="1"/>
        <v>66428</v>
      </c>
      <c r="E510" s="20">
        <f ca="1"/>
        <v>66784.69</v>
      </c>
      <c r="F510" s="3">
        <f ca="1"/>
        <v>36467.296329999997</v>
      </c>
      <c r="G510" s="10">
        <f ca="1"/>
        <v>45503.229166655095</v>
      </c>
      <c r="H510" s="3">
        <f ca="1"/>
        <v>2499265962.091455</v>
      </c>
      <c r="I510" s="3">
        <f ca="1"/>
        <v>1952812</v>
      </c>
      <c r="J510" s="3">
        <f ca="1"/>
        <v>18196.23316</v>
      </c>
      <c r="K510" s="3">
        <f ca="1"/>
        <v>1248743452.5576787</v>
      </c>
    </row>
    <row r="511" spans="1:11" x14ac:dyDescent="0.3">
      <c r="A511" s="10">
        <f ca="1"/>
        <v>45501.229166666664</v>
      </c>
      <c r="B511" s="20">
        <f ca="1"/>
        <v>67896.490000000005</v>
      </c>
      <c r="C511" s="20">
        <f ca="1"/>
        <v>68318.429999999993</v>
      </c>
      <c r="D511" s="20">
        <f ca="1"/>
        <v>67066.66</v>
      </c>
      <c r="E511" s="20">
        <f ca="1"/>
        <v>68249.88</v>
      </c>
      <c r="F511" s="3">
        <f ca="1"/>
        <v>10868.693939999999</v>
      </c>
      <c r="G511" s="10">
        <f ca="1"/>
        <v>45502.229166655095</v>
      </c>
      <c r="H511" s="3">
        <f ca="1"/>
        <v>736755676.13774514</v>
      </c>
      <c r="I511" s="3">
        <f ca="1"/>
        <v>821210</v>
      </c>
      <c r="J511" s="3">
        <f ca="1"/>
        <v>5403.4869399999998</v>
      </c>
      <c r="K511" s="3">
        <f ca="1"/>
        <v>366295409.63502699</v>
      </c>
    </row>
    <row r="512" spans="1:11" x14ac:dyDescent="0.3">
      <c r="A512" s="10">
        <f ca="1"/>
        <v>45500.229166666664</v>
      </c>
      <c r="B512" s="20">
        <f ca="1"/>
        <v>67908</v>
      </c>
      <c r="C512" s="20">
        <f ca="1"/>
        <v>69399.990000000005</v>
      </c>
      <c r="D512" s="20">
        <f ca="1"/>
        <v>66650</v>
      </c>
      <c r="E512" s="20">
        <f ca="1"/>
        <v>67896.5</v>
      </c>
      <c r="F512" s="3">
        <f ca="1"/>
        <v>31710.219209999999</v>
      </c>
      <c r="G512" s="10">
        <f ca="1"/>
        <v>45501.229166655095</v>
      </c>
      <c r="H512" s="3">
        <f ca="1"/>
        <v>2162335067.0234175</v>
      </c>
      <c r="I512" s="3">
        <f ca="1"/>
        <v>1690591</v>
      </c>
      <c r="J512" s="3">
        <f ca="1"/>
        <v>15838.9282</v>
      </c>
      <c r="K512" s="3">
        <f ca="1"/>
        <v>1080427116.1916444</v>
      </c>
    </row>
    <row r="513" spans="1:11" x14ac:dyDescent="0.3">
      <c r="A513" s="10">
        <f ca="1"/>
        <v>45499.229166666664</v>
      </c>
      <c r="B513" s="20">
        <f ca="1"/>
        <v>65799.95</v>
      </c>
      <c r="C513" s="20">
        <f ca="1"/>
        <v>68200</v>
      </c>
      <c r="D513" s="20">
        <f ca="1"/>
        <v>65722.63</v>
      </c>
      <c r="E513" s="20">
        <f ca="1"/>
        <v>67907.990000000005</v>
      </c>
      <c r="F513" s="3">
        <f ca="1"/>
        <v>24244.360229999998</v>
      </c>
      <c r="G513" s="10">
        <f ca="1"/>
        <v>45500.229166655095</v>
      </c>
      <c r="H513" s="3">
        <f ca="1"/>
        <v>1630839588.6966548</v>
      </c>
      <c r="I513" s="3">
        <f ca="1"/>
        <v>1406982</v>
      </c>
      <c r="J513" s="3">
        <f ca="1"/>
        <v>12444.521290000001</v>
      </c>
      <c r="K513" s="3">
        <f ca="1"/>
        <v>837159298.56635022</v>
      </c>
    </row>
    <row r="514" spans="1:11" x14ac:dyDescent="0.3">
      <c r="A514" s="10">
        <f ca="1"/>
        <v>45498.229166666664</v>
      </c>
      <c r="B514" s="20">
        <f ca="1"/>
        <v>65376.01</v>
      </c>
      <c r="C514" s="20">
        <f ca="1"/>
        <v>66175.490000000005</v>
      </c>
      <c r="D514" s="20">
        <f ca="1"/>
        <v>63456.7</v>
      </c>
      <c r="E514" s="20">
        <f ca="1"/>
        <v>65799.95</v>
      </c>
      <c r="F514" s="3">
        <f ca="1"/>
        <v>35126.429340000002</v>
      </c>
      <c r="G514" s="10">
        <f ca="1"/>
        <v>45499.229166655095</v>
      </c>
      <c r="H514" s="3">
        <f ca="1"/>
        <v>2266419771.224864</v>
      </c>
      <c r="I514" s="3">
        <f ca="1"/>
        <v>1830360</v>
      </c>
      <c r="J514" s="3">
        <f ca="1"/>
        <v>16579.452580000001</v>
      </c>
      <c r="K514" s="3">
        <f ca="1"/>
        <v>1070150879.3639548</v>
      </c>
    </row>
    <row r="515" spans="1:11" x14ac:dyDescent="0.3">
      <c r="A515" s="10">
        <f ca="1"/>
        <v>45497.229166666664</v>
      </c>
      <c r="B515" s="20">
        <f ca="1"/>
        <v>65936</v>
      </c>
      <c r="C515" s="20">
        <f ca="1"/>
        <v>67102.009999999995</v>
      </c>
      <c r="D515" s="20">
        <f ca="1"/>
        <v>65111</v>
      </c>
      <c r="E515" s="20">
        <f ca="1"/>
        <v>65376</v>
      </c>
      <c r="F515" s="3">
        <f ca="1"/>
        <v>23082.56277</v>
      </c>
      <c r="G515" s="10">
        <f ca="1"/>
        <v>45498.229166655095</v>
      </c>
      <c r="H515" s="3">
        <f ca="1"/>
        <v>1526490826.4669967</v>
      </c>
      <c r="I515" s="3">
        <f ca="1"/>
        <v>1391053</v>
      </c>
      <c r="J515" s="3">
        <f ca="1"/>
        <v>10827.755510000001</v>
      </c>
      <c r="K515" s="3">
        <f ca="1"/>
        <v>716084205.20164144</v>
      </c>
    </row>
    <row r="516" spans="1:11" x14ac:dyDescent="0.3">
      <c r="A516" s="10">
        <f ca="1"/>
        <v>45496.229166666664</v>
      </c>
      <c r="B516" s="20">
        <f ca="1"/>
        <v>67532</v>
      </c>
      <c r="C516" s="20">
        <f ca="1"/>
        <v>67750.98</v>
      </c>
      <c r="D516" s="20">
        <f ca="1"/>
        <v>65441.08</v>
      </c>
      <c r="E516" s="20">
        <f ca="1"/>
        <v>65936.009999999995</v>
      </c>
      <c r="F516" s="3">
        <f ca="1"/>
        <v>31406.153160000002</v>
      </c>
      <c r="G516" s="10">
        <f ca="1"/>
        <v>45497.229166655095</v>
      </c>
      <c r="H516" s="3">
        <f ca="1"/>
        <v>2088544473.3235078</v>
      </c>
      <c r="I516" s="3">
        <f ca="1"/>
        <v>1772089</v>
      </c>
      <c r="J516" s="3">
        <f ca="1"/>
        <v>15168.84798</v>
      </c>
      <c r="K516" s="3">
        <f ca="1"/>
        <v>1008794779.0389912</v>
      </c>
    </row>
    <row r="517" spans="1:11" x14ac:dyDescent="0.3">
      <c r="A517" s="10">
        <f ca="1"/>
        <v>45495.229166666664</v>
      </c>
      <c r="B517" s="20">
        <f ca="1"/>
        <v>68165.350000000006</v>
      </c>
      <c r="C517" s="20">
        <f ca="1"/>
        <v>68474.55</v>
      </c>
      <c r="D517" s="20">
        <f ca="1"/>
        <v>66559.97</v>
      </c>
      <c r="E517" s="20">
        <f ca="1"/>
        <v>67532.009999999995</v>
      </c>
      <c r="F517" s="3">
        <f ca="1"/>
        <v>21451.043030000001</v>
      </c>
      <c r="G517" s="10">
        <f ca="1"/>
        <v>45496.229166655095</v>
      </c>
      <c r="H517" s="3">
        <f ca="1"/>
        <v>1448418369.8467097</v>
      </c>
      <c r="I517" s="3">
        <f ca="1"/>
        <v>1558140</v>
      </c>
      <c r="J517" s="3">
        <f ca="1"/>
        <v>10263.9504</v>
      </c>
      <c r="K517" s="3">
        <f ca="1"/>
        <v>693063991.11910677</v>
      </c>
    </row>
    <row r="518" spans="1:11" x14ac:dyDescent="0.3">
      <c r="A518" s="10">
        <f ca="1"/>
        <v>45494.229166666664</v>
      </c>
      <c r="B518" s="20">
        <f ca="1"/>
        <v>67139.97</v>
      </c>
      <c r="C518" s="20">
        <f ca="1"/>
        <v>68366.66</v>
      </c>
      <c r="D518" s="20">
        <f ca="1"/>
        <v>65777</v>
      </c>
      <c r="E518" s="20">
        <f ca="1"/>
        <v>68165.34</v>
      </c>
      <c r="F518" s="3">
        <f ca="1"/>
        <v>21819.11191</v>
      </c>
      <c r="G518" s="10">
        <f ca="1"/>
        <v>45495.229166655095</v>
      </c>
      <c r="H518" s="3">
        <f ca="1"/>
        <v>1465757867.9747434</v>
      </c>
      <c r="I518" s="3">
        <f ca="1"/>
        <v>1322942</v>
      </c>
      <c r="J518" s="3">
        <f ca="1"/>
        <v>11412.05459</v>
      </c>
      <c r="K518" s="3">
        <f ca="1"/>
        <v>766856991.84253764</v>
      </c>
    </row>
    <row r="519" spans="1:11" x14ac:dyDescent="0.3">
      <c r="A519" s="10">
        <f ca="1"/>
        <v>45493.229166666664</v>
      </c>
      <c r="B519" s="20">
        <f ca="1"/>
        <v>66660.009999999995</v>
      </c>
      <c r="C519" s="20">
        <f ca="1"/>
        <v>67598</v>
      </c>
      <c r="D519" s="20">
        <f ca="1"/>
        <v>66222.460000000006</v>
      </c>
      <c r="E519" s="20">
        <f ca="1"/>
        <v>67139.960000000006</v>
      </c>
      <c r="F519" s="3">
        <f ca="1"/>
        <v>14386.92434</v>
      </c>
      <c r="G519" s="10">
        <f ca="1"/>
        <v>45494.229166655095</v>
      </c>
      <c r="H519" s="3">
        <f ca="1"/>
        <v>961878801.84822106</v>
      </c>
      <c r="I519" s="3">
        <f ca="1"/>
        <v>995093</v>
      </c>
      <c r="J519" s="3">
        <f ca="1"/>
        <v>6868.63454</v>
      </c>
      <c r="K519" s="3">
        <f ca="1"/>
        <v>459313955.25348908</v>
      </c>
    </row>
    <row r="520" spans="1:11" x14ac:dyDescent="0.3">
      <c r="A520" s="10">
        <f ca="1"/>
        <v>45492.229166666664</v>
      </c>
      <c r="B520" s="20">
        <f ca="1"/>
        <v>63987.92</v>
      </c>
      <c r="C520" s="20">
        <f ca="1"/>
        <v>67386</v>
      </c>
      <c r="D520" s="20">
        <f ca="1"/>
        <v>63300.67</v>
      </c>
      <c r="E520" s="20">
        <f ca="1"/>
        <v>66660</v>
      </c>
      <c r="F520" s="3">
        <f ca="1"/>
        <v>35634.72739</v>
      </c>
      <c r="G520" s="10">
        <f ca="1"/>
        <v>45493.229166655095</v>
      </c>
      <c r="H520" s="3">
        <f ca="1"/>
        <v>2331517674.368659</v>
      </c>
      <c r="I520" s="3">
        <f ca="1"/>
        <v>2184889</v>
      </c>
      <c r="J520" s="3">
        <f ca="1"/>
        <v>17971.069490000002</v>
      </c>
      <c r="K520" s="3">
        <f ca="1"/>
        <v>1176753281.038326</v>
      </c>
    </row>
    <row r="521" spans="1:11" x14ac:dyDescent="0.3">
      <c r="A521" s="10">
        <f ca="1"/>
        <v>45491.229166666664</v>
      </c>
      <c r="B521" s="20">
        <f ca="1"/>
        <v>64087.99</v>
      </c>
      <c r="C521" s="20">
        <f ca="1"/>
        <v>65133.3</v>
      </c>
      <c r="D521" s="20">
        <f ca="1"/>
        <v>63238.48</v>
      </c>
      <c r="E521" s="20">
        <f ca="1"/>
        <v>63987.92</v>
      </c>
      <c r="F521" s="3">
        <f ca="1"/>
        <v>22568.7225</v>
      </c>
      <c r="G521" s="10">
        <f ca="1"/>
        <v>45492.229166655095</v>
      </c>
      <c r="H521" s="3">
        <f ca="1"/>
        <v>1449872437.6497972</v>
      </c>
      <c r="I521" s="3">
        <f ca="1"/>
        <v>1696742</v>
      </c>
      <c r="J521" s="3">
        <f ca="1"/>
        <v>11288.351909999999</v>
      </c>
      <c r="K521" s="3">
        <f ca="1"/>
        <v>725073622.70567405</v>
      </c>
    </row>
    <row r="522" spans="1:11" x14ac:dyDescent="0.3">
      <c r="A522" s="10">
        <f ca="1"/>
        <v>45490.229166666664</v>
      </c>
      <c r="B522" s="20">
        <f ca="1"/>
        <v>65044</v>
      </c>
      <c r="C522" s="20">
        <f ca="1"/>
        <v>66128.63</v>
      </c>
      <c r="D522" s="20">
        <f ca="1"/>
        <v>63854</v>
      </c>
      <c r="E522" s="20">
        <f ca="1"/>
        <v>64087.99</v>
      </c>
      <c r="F522" s="3">
        <f ca="1"/>
        <v>29567.52954</v>
      </c>
      <c r="G522" s="10">
        <f ca="1"/>
        <v>45491.229166655095</v>
      </c>
      <c r="H522" s="3">
        <f ca="1"/>
        <v>1922412273.0882094</v>
      </c>
      <c r="I522" s="3">
        <f ca="1"/>
        <v>1868671</v>
      </c>
      <c r="J522" s="3">
        <f ca="1"/>
        <v>14616.17013</v>
      </c>
      <c r="K522" s="3">
        <f ca="1"/>
        <v>950725865.58566082</v>
      </c>
    </row>
    <row r="523" spans="1:11" x14ac:dyDescent="0.3">
      <c r="A523" s="10">
        <f ca="1"/>
        <v>45489.229166666664</v>
      </c>
      <c r="B523" s="20">
        <f ca="1"/>
        <v>64724.06</v>
      </c>
      <c r="C523" s="20">
        <f ca="1"/>
        <v>65388.97</v>
      </c>
      <c r="D523" s="20">
        <f ca="1"/>
        <v>62373.24</v>
      </c>
      <c r="E523" s="20">
        <f ca="1"/>
        <v>65043.99</v>
      </c>
      <c r="F523" s="3">
        <f ca="1"/>
        <v>42530.529150000002</v>
      </c>
      <c r="G523" s="10">
        <f ca="1"/>
        <v>45490.229166655095</v>
      </c>
      <c r="H523" s="3">
        <f ca="1"/>
        <v>2725231969.2884507</v>
      </c>
      <c r="I523" s="3">
        <f ca="1"/>
        <v>2484783</v>
      </c>
      <c r="J523" s="3">
        <f ca="1"/>
        <v>21595.047989999999</v>
      </c>
      <c r="K523" s="3">
        <f ca="1"/>
        <v>1384337933.3310027</v>
      </c>
    </row>
    <row r="524" spans="1:11" x14ac:dyDescent="0.3">
      <c r="A524" s="10">
        <f ca="1"/>
        <v>45488.229166666664</v>
      </c>
      <c r="B524" s="20">
        <f ca="1"/>
        <v>60797.91</v>
      </c>
      <c r="C524" s="20">
        <f ca="1"/>
        <v>64900</v>
      </c>
      <c r="D524" s="20">
        <f ca="1"/>
        <v>60632.3</v>
      </c>
      <c r="E524" s="20">
        <f ca="1"/>
        <v>64724.14</v>
      </c>
      <c r="F524" s="3">
        <f ca="1"/>
        <v>38690.978199999998</v>
      </c>
      <c r="G524" s="10">
        <f ca="1"/>
        <v>45489.229166655095</v>
      </c>
      <c r="H524" s="3">
        <f ca="1"/>
        <v>2435540879.0289335</v>
      </c>
      <c r="I524" s="3">
        <f ca="1"/>
        <v>2600425</v>
      </c>
      <c r="J524" s="3">
        <f ca="1"/>
        <v>19076.542119999998</v>
      </c>
      <c r="K524" s="3">
        <f ca="1"/>
        <v>1201411783.6666038</v>
      </c>
    </row>
    <row r="525" spans="1:11" x14ac:dyDescent="0.3">
      <c r="A525" s="10">
        <f ca="1"/>
        <v>45487.229166666664</v>
      </c>
      <c r="B525" s="20">
        <f ca="1"/>
        <v>59204.01</v>
      </c>
      <c r="C525" s="20">
        <f ca="1"/>
        <v>61420.69</v>
      </c>
      <c r="D525" s="20">
        <f ca="1"/>
        <v>59194.01</v>
      </c>
      <c r="E525" s="20">
        <f ca="1"/>
        <v>60797.91</v>
      </c>
      <c r="F525" s="3">
        <f ca="1"/>
        <v>21178.339070000002</v>
      </c>
      <c r="G525" s="10">
        <f ca="1"/>
        <v>45488.229166655095</v>
      </c>
      <c r="H525" s="3">
        <f ca="1"/>
        <v>1273562988.611176</v>
      </c>
      <c r="I525" s="3">
        <f ca="1"/>
        <v>1456088</v>
      </c>
      <c r="J525" s="3">
        <f ca="1"/>
        <v>10479.46025</v>
      </c>
      <c r="K525" s="3">
        <f ca="1"/>
        <v>630300143.25984633</v>
      </c>
    </row>
    <row r="526" spans="1:11" x14ac:dyDescent="0.3">
      <c r="A526" s="10">
        <f ca="1"/>
        <v>45486.229166666664</v>
      </c>
      <c r="B526" s="20">
        <f ca="1"/>
        <v>57889.09</v>
      </c>
      <c r="C526" s="20">
        <f ca="1"/>
        <v>59850</v>
      </c>
      <c r="D526" s="20">
        <f ca="1"/>
        <v>57756.63</v>
      </c>
      <c r="E526" s="20">
        <f ca="1"/>
        <v>59204.02</v>
      </c>
      <c r="F526" s="3">
        <f ca="1"/>
        <v>15357.74519</v>
      </c>
      <c r="G526" s="10">
        <f ca="1"/>
        <v>45487.229166655095</v>
      </c>
      <c r="H526" s="3">
        <f ca="1"/>
        <v>900429281.1482327</v>
      </c>
      <c r="I526" s="3">
        <f ca="1"/>
        <v>1114391</v>
      </c>
      <c r="J526" s="3">
        <f ca="1"/>
        <v>7889.3624399999999</v>
      </c>
      <c r="K526" s="3">
        <f ca="1"/>
        <v>462600767.86107761</v>
      </c>
    </row>
    <row r="527" spans="1:11" x14ac:dyDescent="0.3">
      <c r="A527" s="10">
        <f ca="1"/>
        <v>45485.229166666664</v>
      </c>
      <c r="B527" s="20">
        <f ca="1"/>
        <v>57339.89</v>
      </c>
      <c r="C527" s="20">
        <f ca="1"/>
        <v>58526.68</v>
      </c>
      <c r="D527" s="20">
        <f ca="1"/>
        <v>56542.47</v>
      </c>
      <c r="E527" s="20">
        <f ca="1"/>
        <v>57889.1</v>
      </c>
      <c r="F527" s="3">
        <f ca="1"/>
        <v>23652.456900000001</v>
      </c>
      <c r="G527" s="10">
        <f ca="1"/>
        <v>45486.229166655095</v>
      </c>
      <c r="H527" s="3">
        <f ca="1"/>
        <v>1360201319.0761504</v>
      </c>
      <c r="I527" s="3">
        <f ca="1"/>
        <v>1749738</v>
      </c>
      <c r="J527" s="3">
        <f ca="1"/>
        <v>11488.82545</v>
      </c>
      <c r="K527" s="3">
        <f ca="1"/>
        <v>661028735.66443121</v>
      </c>
    </row>
    <row r="528" spans="1:11" x14ac:dyDescent="0.3">
      <c r="A528" s="10">
        <f ca="1"/>
        <v>45484.229166666664</v>
      </c>
      <c r="B528" s="20">
        <f ca="1"/>
        <v>57725.85</v>
      </c>
      <c r="C528" s="20">
        <f ca="1"/>
        <v>59650</v>
      </c>
      <c r="D528" s="20">
        <f ca="1"/>
        <v>57050</v>
      </c>
      <c r="E528" s="20">
        <f ca="1"/>
        <v>57339.89</v>
      </c>
      <c r="F528" s="3">
        <f ca="1"/>
        <v>29761.057349999999</v>
      </c>
      <c r="G528" s="10">
        <f ca="1"/>
        <v>45485.229166655095</v>
      </c>
      <c r="H528" s="3">
        <f ca="1"/>
        <v>1728929618.0583844</v>
      </c>
      <c r="I528" s="3">
        <f ca="1"/>
        <v>2157661</v>
      </c>
      <c r="J528" s="3">
        <f ca="1"/>
        <v>15019.30135</v>
      </c>
      <c r="K528" s="3">
        <f ca="1"/>
        <v>872986677.11952734</v>
      </c>
    </row>
    <row r="529" spans="1:11" x14ac:dyDescent="0.3">
      <c r="A529" s="10">
        <f ca="1"/>
        <v>45483.229166666664</v>
      </c>
      <c r="B529" s="20">
        <f ca="1"/>
        <v>58050</v>
      </c>
      <c r="C529" s="20">
        <f ca="1"/>
        <v>59470</v>
      </c>
      <c r="D529" s="20">
        <f ca="1"/>
        <v>57157.79</v>
      </c>
      <c r="E529" s="20">
        <f ca="1"/>
        <v>57725.85</v>
      </c>
      <c r="F529" s="3">
        <f ca="1"/>
        <v>24951.737990000001</v>
      </c>
      <c r="G529" s="10">
        <f ca="1"/>
        <v>45484.229166655095</v>
      </c>
      <c r="H529" s="3">
        <f ca="1"/>
        <v>1452293495.6501489</v>
      </c>
      <c r="I529" s="3">
        <f ca="1"/>
        <v>1766696</v>
      </c>
      <c r="J529" s="3">
        <f ca="1"/>
        <v>12423.53162</v>
      </c>
      <c r="K529" s="3">
        <f ca="1"/>
        <v>723209557.64967549</v>
      </c>
    </row>
    <row r="530" spans="1:11" x14ac:dyDescent="0.3">
      <c r="A530" s="10">
        <f ca="1"/>
        <v>45482.229166666664</v>
      </c>
      <c r="B530" s="20">
        <f ca="1"/>
        <v>56714.61</v>
      </c>
      <c r="C530" s="20">
        <f ca="1"/>
        <v>58296</v>
      </c>
      <c r="D530" s="20">
        <f ca="1"/>
        <v>56289.45</v>
      </c>
      <c r="E530" s="20">
        <f ca="1"/>
        <v>58050</v>
      </c>
      <c r="F530" s="3">
        <f ca="1"/>
        <v>27732.207880000002</v>
      </c>
      <c r="G530" s="10">
        <f ca="1"/>
        <v>45483.229166655095</v>
      </c>
      <c r="H530" s="3">
        <f ca="1"/>
        <v>1592351321.6553869</v>
      </c>
      <c r="I530" s="3">
        <f ca="1"/>
        <v>1757693</v>
      </c>
      <c r="J530" s="3">
        <f ca="1"/>
        <v>14143.25001</v>
      </c>
      <c r="K530" s="3">
        <f ca="1"/>
        <v>812249336.7493434</v>
      </c>
    </row>
    <row r="531" spans="1:11" x14ac:dyDescent="0.3">
      <c r="A531" s="10">
        <f ca="1"/>
        <v>45481.229166666664</v>
      </c>
      <c r="B531" s="20">
        <f ca="1"/>
        <v>55857.81</v>
      </c>
      <c r="C531" s="20">
        <f ca="1"/>
        <v>58236.73</v>
      </c>
      <c r="D531" s="20">
        <f ca="1"/>
        <v>54260.160000000003</v>
      </c>
      <c r="E531" s="20">
        <f ca="1"/>
        <v>56714.62</v>
      </c>
      <c r="F531" s="3">
        <f ca="1"/>
        <v>48090.204899999997</v>
      </c>
      <c r="G531" s="10">
        <f ca="1"/>
        <v>45482.229166655095</v>
      </c>
      <c r="H531" s="3">
        <f ca="1"/>
        <v>2699942701.3755112</v>
      </c>
      <c r="I531" s="3">
        <f ca="1"/>
        <v>2554389</v>
      </c>
      <c r="J531" s="3">
        <f ca="1"/>
        <v>23963.90684</v>
      </c>
      <c r="K531" s="3">
        <f ca="1"/>
        <v>1346497811.2117922</v>
      </c>
    </row>
    <row r="532" spans="1:11" x14ac:dyDescent="0.3">
      <c r="A532" s="10">
        <f ca="1"/>
        <v>45480.229166666664</v>
      </c>
      <c r="B532" s="20">
        <f ca="1"/>
        <v>58230.13</v>
      </c>
      <c r="C532" s="20">
        <f ca="1"/>
        <v>58449.46</v>
      </c>
      <c r="D532" s="20">
        <f ca="1"/>
        <v>55724.37</v>
      </c>
      <c r="E532" s="20">
        <f ca="1"/>
        <v>55857.81</v>
      </c>
      <c r="F532" s="3">
        <f ca="1"/>
        <v>19118.939180000001</v>
      </c>
      <c r="G532" s="10">
        <f ca="1"/>
        <v>45481.229166655095</v>
      </c>
      <c r="H532" s="3">
        <f ca="1"/>
        <v>1094135752.4528689</v>
      </c>
      <c r="I532" s="3">
        <f ca="1"/>
        <v>1289229</v>
      </c>
      <c r="J532" s="3">
        <f ca="1"/>
        <v>9081.6687199999997</v>
      </c>
      <c r="K532" s="3">
        <f ca="1"/>
        <v>519830378.93556303</v>
      </c>
    </row>
    <row r="533" spans="1:11" x14ac:dyDescent="0.3">
      <c r="A533" s="10">
        <f ca="1"/>
        <v>45479.229166666664</v>
      </c>
      <c r="B533" s="20">
        <f ca="1"/>
        <v>56628.79</v>
      </c>
      <c r="C533" s="20">
        <f ca="1"/>
        <v>58475</v>
      </c>
      <c r="D533" s="20">
        <f ca="1"/>
        <v>56018</v>
      </c>
      <c r="E533" s="20">
        <f ca="1"/>
        <v>58230.13</v>
      </c>
      <c r="F533" s="3">
        <f ca="1"/>
        <v>21651.315579999999</v>
      </c>
      <c r="G533" s="10">
        <f ca="1"/>
        <v>45480.229166655095</v>
      </c>
      <c r="H533" s="3">
        <f ca="1"/>
        <v>1235398733.4357028</v>
      </c>
      <c r="I533" s="3">
        <f ca="1"/>
        <v>1411065</v>
      </c>
      <c r="J533" s="3">
        <f ca="1"/>
        <v>11083.504010000001</v>
      </c>
      <c r="K533" s="3">
        <f ca="1"/>
        <v>632724011.54747283</v>
      </c>
    </row>
    <row r="534" spans="1:11" x14ac:dyDescent="0.3">
      <c r="A534" s="10">
        <f ca="1"/>
        <v>45478.229166666664</v>
      </c>
      <c r="B534" s="20">
        <f ca="1"/>
        <v>57050.02</v>
      </c>
      <c r="C534" s="20">
        <f ca="1"/>
        <v>57546</v>
      </c>
      <c r="D534" s="20">
        <f ca="1"/>
        <v>53485.93</v>
      </c>
      <c r="E534" s="20">
        <f ca="1"/>
        <v>56628.79</v>
      </c>
      <c r="F534" s="3">
        <f ca="1"/>
        <v>81348.247560000003</v>
      </c>
      <c r="G534" s="10">
        <f ca="1"/>
        <v>45479.229166655095</v>
      </c>
      <c r="H534" s="3">
        <f ca="1"/>
        <v>4515040083.5365152</v>
      </c>
      <c r="I534" s="3">
        <f ca="1"/>
        <v>3749255</v>
      </c>
      <c r="J534" s="3">
        <f ca="1"/>
        <v>37926.651619999997</v>
      </c>
      <c r="K534" s="3">
        <f ca="1"/>
        <v>2104682004.5166821</v>
      </c>
    </row>
    <row r="535" spans="1:11" x14ac:dyDescent="0.3">
      <c r="A535" s="10">
        <f ca="1"/>
        <v>45477.229166666664</v>
      </c>
      <c r="B535" s="20">
        <f ca="1"/>
        <v>60208.57</v>
      </c>
      <c r="C535" s="20">
        <f ca="1"/>
        <v>60498.19</v>
      </c>
      <c r="D535" s="20">
        <f ca="1"/>
        <v>56771</v>
      </c>
      <c r="E535" s="20">
        <f ca="1"/>
        <v>57050.01</v>
      </c>
      <c r="F535" s="3">
        <f ca="1"/>
        <v>54568.77276</v>
      </c>
      <c r="G535" s="10">
        <f ca="1"/>
        <v>45478.229166655095</v>
      </c>
      <c r="H535" s="3">
        <f ca="1"/>
        <v>3168619756.2436485</v>
      </c>
      <c r="I535" s="3">
        <f ca="1"/>
        <v>2523236</v>
      </c>
      <c r="J535" s="3">
        <f ca="1"/>
        <v>24982.988219999999</v>
      </c>
      <c r="K535" s="3">
        <f ca="1"/>
        <v>1450509608.6804216</v>
      </c>
    </row>
    <row r="536" spans="1:11" x14ac:dyDescent="0.3">
      <c r="A536" s="10">
        <f ca="1"/>
        <v>45476.229166666664</v>
      </c>
      <c r="B536" s="20">
        <f ca="1"/>
        <v>62135.46</v>
      </c>
      <c r="C536" s="20">
        <f ca="1"/>
        <v>62285.94</v>
      </c>
      <c r="D536" s="20">
        <f ca="1"/>
        <v>59400</v>
      </c>
      <c r="E536" s="20">
        <f ca="1"/>
        <v>60208.58</v>
      </c>
      <c r="F536" s="3">
        <f ca="1"/>
        <v>32160.111270000001</v>
      </c>
      <c r="G536" s="10">
        <f ca="1"/>
        <v>45477.229166655095</v>
      </c>
      <c r="H536" s="3">
        <f ca="1"/>
        <v>1945901232.9066572</v>
      </c>
      <c r="I536" s="3">
        <f ca="1"/>
        <v>1839372</v>
      </c>
      <c r="J536" s="3">
        <f ca="1"/>
        <v>15055.45492</v>
      </c>
      <c r="K536" s="3">
        <f ca="1"/>
        <v>910631739.67384827</v>
      </c>
    </row>
    <row r="537" spans="1:11" x14ac:dyDescent="0.3">
      <c r="A537" s="10">
        <f ca="1"/>
        <v>45475.229166666664</v>
      </c>
      <c r="B537" s="20">
        <f ca="1"/>
        <v>62900</v>
      </c>
      <c r="C537" s="20">
        <f ca="1"/>
        <v>63288.83</v>
      </c>
      <c r="D537" s="20">
        <f ca="1"/>
        <v>61806.28</v>
      </c>
      <c r="E537" s="20">
        <f ca="1"/>
        <v>62135.47</v>
      </c>
      <c r="F537" s="3">
        <f ca="1"/>
        <v>18573.118750000001</v>
      </c>
      <c r="G537" s="10">
        <f ca="1"/>
        <v>45476.229166655095</v>
      </c>
      <c r="H537" s="3">
        <f ca="1"/>
        <v>1160792332.6175597</v>
      </c>
      <c r="I537" s="3">
        <f ca="1"/>
        <v>1308816</v>
      </c>
      <c r="J537" s="3">
        <f ca="1"/>
        <v>9453.1793099999995</v>
      </c>
      <c r="K537" s="3">
        <f ca="1"/>
        <v>590763216.57998252</v>
      </c>
    </row>
    <row r="538" spans="1:11" x14ac:dyDescent="0.3">
      <c r="A538" s="10">
        <f ca="1"/>
        <v>45474.229166666664</v>
      </c>
      <c r="B538" s="20">
        <f ca="1"/>
        <v>62772.01</v>
      </c>
      <c r="C538" s="20">
        <f ca="1"/>
        <v>63861.760000000002</v>
      </c>
      <c r="D538" s="20">
        <f ca="1"/>
        <v>62497.2</v>
      </c>
      <c r="E538" s="20">
        <f ca="1"/>
        <v>62899.99</v>
      </c>
      <c r="F538" s="3">
        <f ca="1"/>
        <v>24547.105380000001</v>
      </c>
      <c r="G538" s="10">
        <f ca="1"/>
        <v>45475.229166655095</v>
      </c>
      <c r="H538" s="3">
        <f ca="1"/>
        <v>1550980813.6701345</v>
      </c>
      <c r="I538" s="3">
        <f ca="1"/>
        <v>1461508</v>
      </c>
      <c r="J538" s="3">
        <f ca="1"/>
        <v>12388.606540000001</v>
      </c>
      <c r="K538" s="3">
        <f ca="1"/>
        <v>782785773.83555925</v>
      </c>
    </row>
    <row r="539" spans="1:11" x14ac:dyDescent="0.3">
      <c r="A539" s="10">
        <f ca="1"/>
        <v>45473.229166666664</v>
      </c>
      <c r="B539" s="20">
        <f ca="1"/>
        <v>60986.68</v>
      </c>
      <c r="C539" s="20">
        <f ca="1"/>
        <v>63058.76</v>
      </c>
      <c r="D539" s="20">
        <f ca="1"/>
        <v>60712.21</v>
      </c>
      <c r="E539" s="20">
        <f ca="1"/>
        <v>62772.01</v>
      </c>
      <c r="F539" s="3">
        <f ca="1"/>
        <v>17326.301360000001</v>
      </c>
      <c r="G539" s="10">
        <f ca="1"/>
        <v>45474.229166655095</v>
      </c>
      <c r="H539" s="3">
        <f ca="1"/>
        <v>1070250012.5446604</v>
      </c>
      <c r="I539" s="3">
        <f ca="1"/>
        <v>1108912</v>
      </c>
      <c r="J539" s="3">
        <f ca="1"/>
        <v>8224.4460099999997</v>
      </c>
      <c r="K539" s="3">
        <f ca="1"/>
        <v>508208752.08569872</v>
      </c>
    </row>
    <row r="540" spans="1:11" x14ac:dyDescent="0.3">
      <c r="A540" s="10">
        <f ca="1"/>
        <v>45472.229166666664</v>
      </c>
      <c r="B540" s="20">
        <f ca="1"/>
        <v>60427.839999999997</v>
      </c>
      <c r="C540" s="20">
        <f ca="1"/>
        <v>61224</v>
      </c>
      <c r="D540" s="20">
        <f ca="1"/>
        <v>60383.77</v>
      </c>
      <c r="E540" s="20">
        <f ca="1"/>
        <v>60986.68</v>
      </c>
      <c r="F540" s="3">
        <f ca="1"/>
        <v>11509.55904</v>
      </c>
      <c r="G540" s="10">
        <f ca="1"/>
        <v>45473.229166655095</v>
      </c>
      <c r="H540" s="3">
        <f ca="1"/>
        <v>701345872.48811436</v>
      </c>
      <c r="I540" s="3">
        <f ca="1"/>
        <v>767669</v>
      </c>
      <c r="J540" s="3">
        <f ca="1"/>
        <v>5461.6891100000003</v>
      </c>
      <c r="K540" s="3">
        <f ca="1"/>
        <v>332791254.69089931</v>
      </c>
    </row>
    <row r="541" spans="1:11" x14ac:dyDescent="0.3">
      <c r="A541" s="10">
        <f ca="1"/>
        <v>45471.229166666664</v>
      </c>
      <c r="B541" s="20">
        <f ca="1"/>
        <v>61706.46</v>
      </c>
      <c r="C541" s="20">
        <f ca="1"/>
        <v>62225.31</v>
      </c>
      <c r="D541" s="20">
        <f ca="1"/>
        <v>60063</v>
      </c>
      <c r="E541" s="20">
        <f ca="1"/>
        <v>60427.839999999997</v>
      </c>
      <c r="F541" s="3">
        <f ca="1"/>
        <v>24821.19255</v>
      </c>
      <c r="G541" s="10">
        <f ca="1"/>
        <v>45472.229166655095</v>
      </c>
      <c r="H541" s="3">
        <f ca="1"/>
        <v>1519872032.0266359</v>
      </c>
      <c r="I541" s="3">
        <f ca="1"/>
        <v>1479626</v>
      </c>
      <c r="J541" s="3">
        <f ca="1"/>
        <v>12661.53908</v>
      </c>
      <c r="K541" s="3">
        <f ca="1"/>
        <v>775499790.79123461</v>
      </c>
    </row>
    <row r="542" spans="1:11" x14ac:dyDescent="0.3">
      <c r="A542" s="10">
        <f ca="1"/>
        <v>45470.229166666664</v>
      </c>
      <c r="B542" s="20">
        <f ca="1"/>
        <v>60864.98</v>
      </c>
      <c r="C542" s="20">
        <f ca="1"/>
        <v>62389.22</v>
      </c>
      <c r="D542" s="20">
        <f ca="1"/>
        <v>60606.63</v>
      </c>
      <c r="E542" s="20">
        <f ca="1"/>
        <v>61706.47</v>
      </c>
      <c r="F542" s="3">
        <f ca="1"/>
        <v>18344.28631</v>
      </c>
      <c r="G542" s="10">
        <f ca="1"/>
        <v>45471.229166655095</v>
      </c>
      <c r="H542" s="3">
        <f ca="1"/>
        <v>1126705164.782892</v>
      </c>
      <c r="I542" s="3">
        <f ca="1"/>
        <v>1062176</v>
      </c>
      <c r="J542" s="3">
        <f ca="1"/>
        <v>9298.2649999999994</v>
      </c>
      <c r="K542" s="3">
        <f ca="1"/>
        <v>570914131.05718338</v>
      </c>
    </row>
    <row r="543" spans="1:11" x14ac:dyDescent="0.3">
      <c r="A543" s="10">
        <f ca="1"/>
        <v>45469.229166666664</v>
      </c>
      <c r="B543" s="20">
        <f ca="1"/>
        <v>61806.01</v>
      </c>
      <c r="C543" s="20">
        <f ca="1"/>
        <v>62487.81</v>
      </c>
      <c r="D543" s="20">
        <f ca="1"/>
        <v>60712</v>
      </c>
      <c r="E543" s="20">
        <f ca="1"/>
        <v>60864.99</v>
      </c>
      <c r="F543" s="3">
        <f ca="1"/>
        <v>22485.664629999999</v>
      </c>
      <c r="G543" s="10">
        <f ca="1"/>
        <v>45470.229166655095</v>
      </c>
      <c r="H543" s="3">
        <f ca="1"/>
        <v>1381716993.3554919</v>
      </c>
      <c r="I543" s="3">
        <f ca="1"/>
        <v>1112152</v>
      </c>
      <c r="J543" s="3">
        <f ca="1"/>
        <v>11435.026529999999</v>
      </c>
      <c r="K543" s="3">
        <f ca="1"/>
        <v>702676210.43654811</v>
      </c>
    </row>
    <row r="544" spans="1:11" x14ac:dyDescent="0.3">
      <c r="A544" s="10">
        <f ca="1"/>
        <v>45468.229166666664</v>
      </c>
      <c r="B544" s="20">
        <f ca="1"/>
        <v>60293.3</v>
      </c>
      <c r="C544" s="20">
        <f ca="1"/>
        <v>62420</v>
      </c>
      <c r="D544" s="20">
        <f ca="1"/>
        <v>60257.06</v>
      </c>
      <c r="E544" s="20">
        <f ca="1"/>
        <v>61806.01</v>
      </c>
      <c r="F544" s="3">
        <f ca="1"/>
        <v>31189.243610000001</v>
      </c>
      <c r="G544" s="10">
        <f ca="1"/>
        <v>45469.229166655095</v>
      </c>
      <c r="H544" s="3">
        <f ca="1"/>
        <v>1914901308.84587</v>
      </c>
      <c r="I544" s="3">
        <f ca="1"/>
        <v>1277481</v>
      </c>
      <c r="J544" s="3">
        <f ca="1"/>
        <v>15360.084580000001</v>
      </c>
      <c r="K544" s="3">
        <f ca="1"/>
        <v>943071608.51094151</v>
      </c>
    </row>
    <row r="545" spans="1:11" x14ac:dyDescent="0.3">
      <c r="A545" s="10">
        <f ca="1"/>
        <v>45467.229166666664</v>
      </c>
      <c r="B545" s="20">
        <f ca="1"/>
        <v>63210.01</v>
      </c>
      <c r="C545" s="20">
        <f ca="1"/>
        <v>63369.8</v>
      </c>
      <c r="D545" s="20">
        <f ca="1"/>
        <v>58402</v>
      </c>
      <c r="E545" s="20">
        <f ca="1"/>
        <v>60293.3</v>
      </c>
      <c r="F545" s="3">
        <f ca="1"/>
        <v>52161.354140000003</v>
      </c>
      <c r="G545" s="10">
        <f ca="1"/>
        <v>45468.229166655095</v>
      </c>
      <c r="H545" s="3">
        <f ca="1"/>
        <v>3180853460.9247508</v>
      </c>
      <c r="I545" s="3">
        <f ca="1"/>
        <v>2190787</v>
      </c>
      <c r="J545" s="3">
        <f ca="1"/>
        <v>24495.594280000001</v>
      </c>
      <c r="K545" s="3">
        <f ca="1"/>
        <v>1493633137.5266542</v>
      </c>
    </row>
    <row r="546" spans="1:11" x14ac:dyDescent="0.3">
      <c r="A546" s="10">
        <f ca="1"/>
        <v>45466.229166666664</v>
      </c>
      <c r="B546" s="20">
        <f ca="1"/>
        <v>64262.01</v>
      </c>
      <c r="C546" s="20">
        <f ca="1"/>
        <v>64521</v>
      </c>
      <c r="D546" s="20">
        <f ca="1"/>
        <v>63178.32</v>
      </c>
      <c r="E546" s="20">
        <f ca="1"/>
        <v>63210.01</v>
      </c>
      <c r="F546" s="3">
        <f ca="1"/>
        <v>8224.4544700000006</v>
      </c>
      <c r="G546" s="10">
        <f ca="1"/>
        <v>45467.229166655095</v>
      </c>
      <c r="H546" s="3">
        <f ca="1"/>
        <v>526848525.00294518</v>
      </c>
      <c r="I546" s="3">
        <f ca="1"/>
        <v>592759</v>
      </c>
      <c r="J546" s="3">
        <f ca="1"/>
        <v>3974.6796399999998</v>
      </c>
      <c r="K546" s="3">
        <f ca="1"/>
        <v>254685735.53387731</v>
      </c>
    </row>
    <row r="547" spans="1:11" x14ac:dyDescent="0.3">
      <c r="A547" s="10">
        <f ca="1"/>
        <v>45465.229166666664</v>
      </c>
      <c r="B547" s="20">
        <f ca="1"/>
        <v>64143.56</v>
      </c>
      <c r="C547" s="20">
        <f ca="1"/>
        <v>64546.81</v>
      </c>
      <c r="D547" s="20">
        <f ca="1"/>
        <v>63943.82</v>
      </c>
      <c r="E547" s="20">
        <f ca="1"/>
        <v>64262.01</v>
      </c>
      <c r="F547" s="3">
        <f ca="1"/>
        <v>7308.9554200000002</v>
      </c>
      <c r="G547" s="10">
        <f ca="1"/>
        <v>45466.229166655095</v>
      </c>
      <c r="H547" s="3">
        <f ca="1"/>
        <v>470027247.34020829</v>
      </c>
      <c r="I547" s="3">
        <f ca="1"/>
        <v>562832</v>
      </c>
      <c r="J547" s="3">
        <f ca="1"/>
        <v>3756.29045</v>
      </c>
      <c r="K547" s="3">
        <f ca="1"/>
        <v>241583895.4543618</v>
      </c>
    </row>
    <row r="548" spans="1:11" x14ac:dyDescent="0.3">
      <c r="A548" s="10">
        <f ca="1"/>
        <v>45464.229166666664</v>
      </c>
      <c r="B548" s="20">
        <f ca="1"/>
        <v>64869.99</v>
      </c>
      <c r="C548" s="20">
        <f ca="1"/>
        <v>65066.66</v>
      </c>
      <c r="D548" s="20">
        <f ca="1"/>
        <v>63379.35</v>
      </c>
      <c r="E548" s="20">
        <f ca="1"/>
        <v>64143.56</v>
      </c>
      <c r="F548" s="3">
        <f ca="1"/>
        <v>25993.564419999999</v>
      </c>
      <c r="G548" s="10">
        <f ca="1"/>
        <v>45465.229166655095</v>
      </c>
      <c r="H548" s="3">
        <f ca="1"/>
        <v>1665541539.708616</v>
      </c>
      <c r="I548" s="3">
        <f ca="1"/>
        <v>1362617</v>
      </c>
      <c r="J548" s="3">
        <f ca="1"/>
        <v>12543.259599999999</v>
      </c>
      <c r="K548" s="3">
        <f ca="1"/>
        <v>803462610.6919086</v>
      </c>
    </row>
    <row r="549" spans="1:11" x14ac:dyDescent="0.3">
      <c r="A549" s="10">
        <f ca="1"/>
        <v>45463.229166666664</v>
      </c>
      <c r="B549" s="20">
        <f ca="1"/>
        <v>64974.37</v>
      </c>
      <c r="C549" s="20">
        <f ca="1"/>
        <v>66482.94</v>
      </c>
      <c r="D549" s="20">
        <f ca="1"/>
        <v>64559.15</v>
      </c>
      <c r="E549" s="20">
        <f ca="1"/>
        <v>64869.99</v>
      </c>
      <c r="F549" s="3">
        <f ca="1"/>
        <v>24265.29031</v>
      </c>
      <c r="G549" s="10">
        <f ca="1"/>
        <v>45464.229166655095</v>
      </c>
      <c r="H549" s="3">
        <f ca="1"/>
        <v>1584896152.1663702</v>
      </c>
      <c r="I549" s="3">
        <f ca="1"/>
        <v>1282687</v>
      </c>
      <c r="J549" s="3">
        <f ca="1"/>
        <v>11828.87934</v>
      </c>
      <c r="K549" s="3">
        <f ca="1"/>
        <v>772646071.21699655</v>
      </c>
    </row>
    <row r="550" spans="1:11" x14ac:dyDescent="0.3">
      <c r="A550" s="10">
        <f ca="1"/>
        <v>45462.229166666664</v>
      </c>
      <c r="B550" s="20">
        <f ca="1"/>
        <v>65175.32</v>
      </c>
      <c r="C550" s="20">
        <f ca="1"/>
        <v>65727.539999999994</v>
      </c>
      <c r="D550" s="20">
        <f ca="1"/>
        <v>64666</v>
      </c>
      <c r="E550" s="20">
        <f ca="1"/>
        <v>64974.37</v>
      </c>
      <c r="F550" s="3">
        <f ca="1"/>
        <v>20060.795760000001</v>
      </c>
      <c r="G550" s="10">
        <f ca="1"/>
        <v>45463.229166655095</v>
      </c>
      <c r="H550" s="3">
        <f ca="1"/>
        <v>1307731953.9545317</v>
      </c>
      <c r="I550" s="3">
        <f ca="1"/>
        <v>1078458</v>
      </c>
      <c r="J550" s="3">
        <f ca="1"/>
        <v>10289.781800000001</v>
      </c>
      <c r="K550" s="3">
        <f ca="1"/>
        <v>670875724.31372845</v>
      </c>
    </row>
    <row r="551" spans="1:11" x14ac:dyDescent="0.3">
      <c r="A551" s="10">
        <f ca="1"/>
        <v>45461.229166666664</v>
      </c>
      <c r="B551" s="20">
        <f ca="1"/>
        <v>66504.33</v>
      </c>
      <c r="C551" s="20">
        <f ca="1"/>
        <v>66588.23</v>
      </c>
      <c r="D551" s="20">
        <f ca="1"/>
        <v>64060</v>
      </c>
      <c r="E551" s="20">
        <f ca="1"/>
        <v>65175.32</v>
      </c>
      <c r="F551" s="3">
        <f ca="1"/>
        <v>42350.102440000002</v>
      </c>
      <c r="G551" s="10">
        <f ca="1"/>
        <v>45462.229166655095</v>
      </c>
      <c r="H551" s="3">
        <f ca="1"/>
        <v>2755141806.0310903</v>
      </c>
      <c r="I551" s="3">
        <f ca="1"/>
        <v>2151711</v>
      </c>
      <c r="J551" s="3">
        <f ca="1"/>
        <v>20076.41361</v>
      </c>
      <c r="K551" s="3">
        <f ca="1"/>
        <v>1305946733.5892808</v>
      </c>
    </row>
    <row r="552" spans="1:11" x14ac:dyDescent="0.3">
      <c r="A552" s="10">
        <f ca="1"/>
        <v>45460.229166666664</v>
      </c>
      <c r="B552" s="20">
        <f ca="1"/>
        <v>66676.86</v>
      </c>
      <c r="C552" s="20">
        <f ca="1"/>
        <v>67298.81</v>
      </c>
      <c r="D552" s="20">
        <f ca="1"/>
        <v>65130</v>
      </c>
      <c r="E552" s="20">
        <f ca="1"/>
        <v>66504.33</v>
      </c>
      <c r="F552" s="3">
        <f ca="1"/>
        <v>27386.16851</v>
      </c>
      <c r="G552" s="10">
        <f ca="1"/>
        <v>45461.229166655095</v>
      </c>
      <c r="H552" s="3">
        <f ca="1"/>
        <v>1812061226.7565656</v>
      </c>
      <c r="I552" s="3">
        <f ca="1"/>
        <v>1542620</v>
      </c>
      <c r="J552" s="3">
        <f ca="1"/>
        <v>13716.89431</v>
      </c>
      <c r="K552" s="3">
        <f ca="1"/>
        <v>907703353.53049529</v>
      </c>
    </row>
    <row r="553" spans="1:11" x14ac:dyDescent="0.3">
      <c r="A553" s="10">
        <f ca="1"/>
        <v>45459.229166666664</v>
      </c>
      <c r="B553" s="20">
        <f ca="1"/>
        <v>66228.25</v>
      </c>
      <c r="C553" s="20">
        <f ca="1"/>
        <v>66998.7</v>
      </c>
      <c r="D553" s="20">
        <f ca="1"/>
        <v>66034.5</v>
      </c>
      <c r="E553" s="20">
        <f ca="1"/>
        <v>66676.87</v>
      </c>
      <c r="F553" s="3">
        <f ca="1"/>
        <v>9392.5222300000005</v>
      </c>
      <c r="G553" s="10">
        <f ca="1"/>
        <v>45460.229166655095</v>
      </c>
      <c r="H553" s="3">
        <f ca="1"/>
        <v>624653672.61385751</v>
      </c>
      <c r="I553" s="3">
        <f ca="1"/>
        <v>703295</v>
      </c>
      <c r="J553" s="3">
        <f ca="1"/>
        <v>4750.0516600000001</v>
      </c>
      <c r="K553" s="3">
        <f ca="1"/>
        <v>315940653.99261212</v>
      </c>
    </row>
    <row r="554" spans="1:11" x14ac:dyDescent="0.3">
      <c r="A554" s="10">
        <f ca="1"/>
        <v>45458.229166666664</v>
      </c>
      <c r="B554" s="20">
        <f ca="1"/>
        <v>66043.990000000005</v>
      </c>
      <c r="C554" s="20">
        <f ca="1"/>
        <v>66478.48</v>
      </c>
      <c r="D554" s="20">
        <f ca="1"/>
        <v>65857.100000000006</v>
      </c>
      <c r="E554" s="20">
        <f ca="1"/>
        <v>66228.25</v>
      </c>
      <c r="F554" s="3">
        <f ca="1"/>
        <v>11451.80242</v>
      </c>
      <c r="G554" s="10">
        <f ca="1"/>
        <v>45459.229166655095</v>
      </c>
      <c r="H554" s="3">
        <f ca="1"/>
        <v>758175888.02833724</v>
      </c>
      <c r="I554" s="3">
        <f ca="1"/>
        <v>700886</v>
      </c>
      <c r="J554" s="3">
        <f ca="1"/>
        <v>5495.0208300000004</v>
      </c>
      <c r="K554" s="3">
        <f ca="1"/>
        <v>363796116.45357519</v>
      </c>
    </row>
    <row r="555" spans="1:11" x14ac:dyDescent="0.3">
      <c r="A555" s="10">
        <f ca="1"/>
        <v>45457.229166666664</v>
      </c>
      <c r="B555" s="20">
        <f ca="1"/>
        <v>66773.009999999995</v>
      </c>
      <c r="C555" s="20">
        <f ca="1"/>
        <v>67370.240000000005</v>
      </c>
      <c r="D555" s="20">
        <f ca="1"/>
        <v>65078</v>
      </c>
      <c r="E555" s="20">
        <f ca="1"/>
        <v>66043.990000000005</v>
      </c>
      <c r="F555" s="3">
        <f ca="1"/>
        <v>28408.187969999999</v>
      </c>
      <c r="G555" s="10">
        <f ca="1"/>
        <v>45458.229166655095</v>
      </c>
      <c r="H555" s="3">
        <f ca="1"/>
        <v>1884451554.4282849</v>
      </c>
      <c r="I555" s="3">
        <f ca="1"/>
        <v>1736314</v>
      </c>
      <c r="J555" s="3">
        <f ca="1"/>
        <v>13619.40861</v>
      </c>
      <c r="K555" s="3">
        <f ca="1"/>
        <v>903708200.78497493</v>
      </c>
    </row>
    <row r="556" spans="1:11" x14ac:dyDescent="0.3">
      <c r="A556" s="10">
        <f ca="1"/>
        <v>45456.229166666664</v>
      </c>
      <c r="B556" s="20">
        <f ca="1"/>
        <v>68263.98</v>
      </c>
      <c r="C556" s="20">
        <f ca="1"/>
        <v>68449.3</v>
      </c>
      <c r="D556" s="20">
        <f ca="1"/>
        <v>66251.78</v>
      </c>
      <c r="E556" s="20">
        <f ca="1"/>
        <v>66773.009999999995</v>
      </c>
      <c r="F556" s="3">
        <f ca="1"/>
        <v>29079.555710000001</v>
      </c>
      <c r="G556" s="10">
        <f ca="1"/>
        <v>45457.229166655095</v>
      </c>
      <c r="H556" s="3">
        <f ca="1"/>
        <v>1958897960.9172916</v>
      </c>
      <c r="I556" s="3">
        <f ca="1"/>
        <v>1518202</v>
      </c>
      <c r="J556" s="3">
        <f ca="1"/>
        <v>13886.140069999999</v>
      </c>
      <c r="K556" s="3">
        <f ca="1"/>
        <v>935614189.69868112</v>
      </c>
    </row>
    <row r="557" spans="1:11" x14ac:dyDescent="0.3">
      <c r="A557" s="10">
        <f ca="1"/>
        <v>45455.229166666664</v>
      </c>
      <c r="B557" s="20">
        <f ca="1"/>
        <v>67314.23</v>
      </c>
      <c r="C557" s="20">
        <f ca="1"/>
        <v>69999</v>
      </c>
      <c r="D557" s="20">
        <f ca="1"/>
        <v>66905</v>
      </c>
      <c r="E557" s="20">
        <f ca="1"/>
        <v>68263.990000000005</v>
      </c>
      <c r="F557" s="3">
        <f ca="1"/>
        <v>37175.323559999997</v>
      </c>
      <c r="G557" s="10">
        <f ca="1"/>
        <v>45456.229166655095</v>
      </c>
      <c r="H557" s="3">
        <f ca="1"/>
        <v>2550285139.1843719</v>
      </c>
      <c r="I557" s="3">
        <f ca="1"/>
        <v>1670745</v>
      </c>
      <c r="J557" s="3">
        <f ca="1"/>
        <v>18975.890810000001</v>
      </c>
      <c r="K557" s="3">
        <f ca="1"/>
        <v>1302069589.6416814</v>
      </c>
    </row>
    <row r="558" spans="1:11" x14ac:dyDescent="0.3">
      <c r="A558" s="10">
        <f ca="1"/>
        <v>45454.229166666664</v>
      </c>
      <c r="B558" s="20">
        <f ca="1"/>
        <v>69540</v>
      </c>
      <c r="C558" s="20">
        <f ca="1"/>
        <v>69590.009999999995</v>
      </c>
      <c r="D558" s="20">
        <f ca="1"/>
        <v>66051</v>
      </c>
      <c r="E558" s="20">
        <f ca="1"/>
        <v>67314.240000000005</v>
      </c>
      <c r="F558" s="3">
        <f ca="1"/>
        <v>41436.015879999999</v>
      </c>
      <c r="G558" s="10">
        <f ca="1"/>
        <v>45455.229166655095</v>
      </c>
      <c r="H558" s="3">
        <f ca="1"/>
        <v>2793799020.4691243</v>
      </c>
      <c r="I558" s="3">
        <f ca="1"/>
        <v>1782415</v>
      </c>
      <c r="J558" s="3">
        <f ca="1"/>
        <v>19839.823199999999</v>
      </c>
      <c r="K558" s="3">
        <f ca="1"/>
        <v>1337254654.9989924</v>
      </c>
    </row>
    <row r="559" spans="1:11" x14ac:dyDescent="0.3">
      <c r="A559" s="10">
        <f ca="1"/>
        <v>45453.229166666664</v>
      </c>
      <c r="B559" s="20">
        <f ca="1"/>
        <v>69648.149999999994</v>
      </c>
      <c r="C559" s="20">
        <f ca="1"/>
        <v>70195.94</v>
      </c>
      <c r="D559" s="20">
        <f ca="1"/>
        <v>69172.289999999994</v>
      </c>
      <c r="E559" s="20">
        <f ca="1"/>
        <v>69540</v>
      </c>
      <c r="F559" s="3">
        <f ca="1"/>
        <v>17122.669409999999</v>
      </c>
      <c r="G559" s="10">
        <f ca="1"/>
        <v>45454.229166655095</v>
      </c>
      <c r="H559" s="3">
        <f ca="1"/>
        <v>1192466549.9691226</v>
      </c>
      <c r="I559" s="3">
        <f ca="1"/>
        <v>936731</v>
      </c>
      <c r="J559" s="3">
        <f ca="1"/>
        <v>8412.0024599999997</v>
      </c>
      <c r="K559" s="3">
        <f ca="1"/>
        <v>585909223.77581298</v>
      </c>
    </row>
    <row r="560" spans="1:11" x14ac:dyDescent="0.3">
      <c r="A560" s="10">
        <f ca="1"/>
        <v>45452.229166666664</v>
      </c>
      <c r="B560" s="20">
        <f ca="1"/>
        <v>69310.460000000006</v>
      </c>
      <c r="C560" s="20">
        <f ca="1"/>
        <v>69857.14</v>
      </c>
      <c r="D560" s="20">
        <f ca="1"/>
        <v>69130.240000000005</v>
      </c>
      <c r="E560" s="20">
        <f ca="1"/>
        <v>69648.14</v>
      </c>
      <c r="F560" s="3">
        <f ca="1"/>
        <v>9890.5670900000005</v>
      </c>
      <c r="G560" s="10">
        <f ca="1"/>
        <v>45453.229166655095</v>
      </c>
      <c r="H560" s="3">
        <f ca="1"/>
        <v>687344656.07255661</v>
      </c>
      <c r="I560" s="3">
        <f ca="1"/>
        <v>575583</v>
      </c>
      <c r="J560" s="3">
        <f ca="1"/>
        <v>4883.6929600000003</v>
      </c>
      <c r="K560" s="3">
        <f ca="1"/>
        <v>339405376.0815447</v>
      </c>
    </row>
    <row r="561" spans="1:11" x14ac:dyDescent="0.3">
      <c r="A561" s="10">
        <f ca="1"/>
        <v>45451.229166666664</v>
      </c>
      <c r="B561" s="20">
        <f ca="1"/>
        <v>69355.600000000006</v>
      </c>
      <c r="C561" s="20">
        <f ca="1"/>
        <v>69582.2</v>
      </c>
      <c r="D561" s="20">
        <f ca="1"/>
        <v>69168.02</v>
      </c>
      <c r="E561" s="20">
        <f ca="1"/>
        <v>69310.460000000006</v>
      </c>
      <c r="F561" s="3">
        <f ca="1"/>
        <v>9773.8296699999992</v>
      </c>
      <c r="G561" s="10">
        <f ca="1"/>
        <v>45452.229166655095</v>
      </c>
      <c r="H561" s="3">
        <f ca="1"/>
        <v>678267390.53103876</v>
      </c>
      <c r="I561" s="3">
        <f ca="1"/>
        <v>714103</v>
      </c>
      <c r="J561" s="3">
        <f ca="1"/>
        <v>4772.2303599999996</v>
      </c>
      <c r="K561" s="3">
        <f ca="1"/>
        <v>331182466.90034252</v>
      </c>
    </row>
    <row r="562" spans="1:11" x14ac:dyDescent="0.3">
      <c r="A562" s="10">
        <f ca="1"/>
        <v>45450.229166666664</v>
      </c>
      <c r="B562" s="20">
        <f ca="1"/>
        <v>70799.06</v>
      </c>
      <c r="C562" s="20">
        <f ca="1"/>
        <v>71997.02</v>
      </c>
      <c r="D562" s="20">
        <f ca="1"/>
        <v>68420</v>
      </c>
      <c r="E562" s="20">
        <f ca="1"/>
        <v>69355.600000000006</v>
      </c>
      <c r="F562" s="3">
        <f ca="1"/>
        <v>35598.450449999997</v>
      </c>
      <c r="G562" s="10">
        <f ca="1"/>
        <v>45451.229166655095</v>
      </c>
      <c r="H562" s="3">
        <f ca="1"/>
        <v>2507250591.3329782</v>
      </c>
      <c r="I562" s="3">
        <f ca="1"/>
        <v>1516415</v>
      </c>
      <c r="J562" s="3">
        <f ca="1"/>
        <v>17318.780510000001</v>
      </c>
      <c r="K562" s="3">
        <f ca="1"/>
        <v>1220810920.3444331</v>
      </c>
    </row>
    <row r="563" spans="1:11" x14ac:dyDescent="0.3">
      <c r="A563" s="10">
        <f ca="1"/>
        <v>45449.229166666664</v>
      </c>
      <c r="B563" s="20">
        <f ca="1"/>
        <v>71108</v>
      </c>
      <c r="C563" s="20">
        <f ca="1"/>
        <v>71700</v>
      </c>
      <c r="D563" s="20">
        <f ca="1"/>
        <v>70117.64</v>
      </c>
      <c r="E563" s="20">
        <f ca="1"/>
        <v>70799.06</v>
      </c>
      <c r="F563" s="3">
        <f ca="1"/>
        <v>21842.004489999999</v>
      </c>
      <c r="G563" s="10">
        <f ca="1"/>
        <v>45450.229166655095</v>
      </c>
      <c r="H563" s="3">
        <f ca="1"/>
        <v>1551467659.1542966</v>
      </c>
      <c r="I563" s="3">
        <f ca="1"/>
        <v>900226</v>
      </c>
      <c r="J563" s="3">
        <f ca="1"/>
        <v>10287.391100000001</v>
      </c>
      <c r="K563" s="3">
        <f ca="1"/>
        <v>730849194.23039901</v>
      </c>
    </row>
    <row r="564" spans="1:11" x14ac:dyDescent="0.3">
      <c r="A564" s="10">
        <f ca="1"/>
        <v>45448.229166666664</v>
      </c>
      <c r="B564" s="20">
        <f ca="1"/>
        <v>70537.83</v>
      </c>
      <c r="C564" s="20">
        <f ca="1"/>
        <v>71758</v>
      </c>
      <c r="D564" s="20">
        <f ca="1"/>
        <v>70383.66</v>
      </c>
      <c r="E564" s="20">
        <f ca="1"/>
        <v>71108</v>
      </c>
      <c r="F564" s="3">
        <f ca="1"/>
        <v>28703.180820000001</v>
      </c>
      <c r="G564" s="10">
        <f ca="1"/>
        <v>45449.229166655095</v>
      </c>
      <c r="H564" s="3">
        <f ca="1"/>
        <v>2040073765.8676395</v>
      </c>
      <c r="I564" s="3">
        <f ca="1"/>
        <v>1055115</v>
      </c>
      <c r="J564" s="3">
        <f ca="1"/>
        <v>14210.233920000001</v>
      </c>
      <c r="K564" s="3">
        <f ca="1"/>
        <v>1010053925.7910814</v>
      </c>
    </row>
    <row r="565" spans="1:11" x14ac:dyDescent="0.3">
      <c r="A565" s="10">
        <f ca="1"/>
        <v>45447.229166666664</v>
      </c>
      <c r="B565" s="20">
        <f ca="1"/>
        <v>68809.89</v>
      </c>
      <c r="C565" s="20">
        <f ca="1"/>
        <v>71063.45</v>
      </c>
      <c r="D565" s="20">
        <f ca="1"/>
        <v>68567.320000000007</v>
      </c>
      <c r="E565" s="20">
        <f ca="1"/>
        <v>70537.84</v>
      </c>
      <c r="F565" s="3">
        <f ca="1"/>
        <v>29619.784889999999</v>
      </c>
      <c r="G565" s="10">
        <f ca="1"/>
        <v>45448.229166655095</v>
      </c>
      <c r="H565" s="3">
        <f ca="1"/>
        <v>2069902136.9932401</v>
      </c>
      <c r="I565" s="3">
        <f ca="1"/>
        <v>1254515</v>
      </c>
      <c r="J565" s="3">
        <f ca="1"/>
        <v>14922.967339999999</v>
      </c>
      <c r="K565" s="3">
        <f ca="1"/>
        <v>1043071241.6284808</v>
      </c>
    </row>
    <row r="566" spans="1:11" x14ac:dyDescent="0.3">
      <c r="A566" s="10">
        <f ca="1"/>
        <v>45446.229166666664</v>
      </c>
      <c r="B566" s="20">
        <f ca="1"/>
        <v>67765.62</v>
      </c>
      <c r="C566" s="20">
        <f ca="1"/>
        <v>70288</v>
      </c>
      <c r="D566" s="20">
        <f ca="1"/>
        <v>67612.479999999996</v>
      </c>
      <c r="E566" s="20">
        <f ca="1"/>
        <v>68809.899999999994</v>
      </c>
      <c r="F566" s="3">
        <f ca="1"/>
        <v>29633.374</v>
      </c>
      <c r="G566" s="10">
        <f ca="1"/>
        <v>45447.229166655095</v>
      </c>
      <c r="H566" s="3">
        <f ca="1"/>
        <v>2047757076.2268357</v>
      </c>
      <c r="I566" s="3">
        <f ca="1"/>
        <v>1253789</v>
      </c>
      <c r="J566" s="3">
        <f ca="1"/>
        <v>15308.67275</v>
      </c>
      <c r="K566" s="3">
        <f ca="1"/>
        <v>1058024704.3533732</v>
      </c>
    </row>
    <row r="567" spans="1:11" x14ac:dyDescent="0.3">
      <c r="A567" s="10">
        <f ca="1"/>
        <v>45445.229166666664</v>
      </c>
      <c r="B567" s="20">
        <f ca="1"/>
        <v>67766.84</v>
      </c>
      <c r="C567" s="20">
        <f ca="1"/>
        <v>68460</v>
      </c>
      <c r="D567" s="20">
        <f ca="1"/>
        <v>67257.47</v>
      </c>
      <c r="E567" s="20">
        <f ca="1"/>
        <v>67765.63</v>
      </c>
      <c r="F567" s="3">
        <f ca="1"/>
        <v>15426.325290000001</v>
      </c>
      <c r="G567" s="10">
        <f ca="1"/>
        <v>45446.229166655095</v>
      </c>
      <c r="H567" s="3">
        <f ca="1"/>
        <v>1046827665.3829314</v>
      </c>
      <c r="I567" s="3">
        <f ca="1"/>
        <v>812348</v>
      </c>
      <c r="J567" s="3">
        <f ca="1"/>
        <v>7760.2337699999998</v>
      </c>
      <c r="K567" s="3">
        <f ca="1"/>
        <v>526768921.12622219</v>
      </c>
    </row>
    <row r="568" spans="1:11" x14ac:dyDescent="0.3">
      <c r="A568" s="10">
        <f ca="1"/>
        <v>45444.229166666664</v>
      </c>
      <c r="B568" s="20">
        <f ca="1"/>
        <v>67540.009999999995</v>
      </c>
      <c r="C568" s="20">
        <f ca="1"/>
        <v>67900</v>
      </c>
      <c r="D568" s="20">
        <f ca="1"/>
        <v>67428.44</v>
      </c>
      <c r="E568" s="20">
        <f ca="1"/>
        <v>67766.850000000006</v>
      </c>
      <c r="F568" s="3">
        <f ca="1"/>
        <v>8837.6613300000008</v>
      </c>
      <c r="G568" s="10">
        <f ca="1"/>
        <v>45445.229166655095</v>
      </c>
      <c r="H568" s="3">
        <f ca="1"/>
        <v>598305207.99320459</v>
      </c>
      <c r="I568" s="3">
        <f ca="1"/>
        <v>638484</v>
      </c>
      <c r="J568" s="3">
        <f ca="1"/>
        <v>4235.27045</v>
      </c>
      <c r="K568" s="3">
        <f ca="1"/>
        <v>286752060.40289289</v>
      </c>
    </row>
    <row r="569" spans="1:11" x14ac:dyDescent="0.3">
      <c r="A569" s="10">
        <f ca="1"/>
        <v>45443.229166666664</v>
      </c>
      <c r="B569" s="20">
        <f ca="1"/>
        <v>68352.17</v>
      </c>
      <c r="C569" s="20">
        <f ca="1"/>
        <v>69044.100000000006</v>
      </c>
      <c r="D569" s="20">
        <f ca="1"/>
        <v>66670</v>
      </c>
      <c r="E569" s="20">
        <f ca="1"/>
        <v>67540.009999999995</v>
      </c>
      <c r="F569" s="3">
        <f ca="1"/>
        <v>26690.321840000001</v>
      </c>
      <c r="G569" s="10">
        <f ca="1"/>
        <v>45444.229166655095</v>
      </c>
      <c r="H569" s="3">
        <f ca="1"/>
        <v>1812659052.2496767</v>
      </c>
      <c r="I569" s="3">
        <f ca="1"/>
        <v>1177860</v>
      </c>
      <c r="J569" s="3">
        <f ca="1"/>
        <v>13258.10182</v>
      </c>
      <c r="K569" s="3">
        <f ca="1"/>
        <v>900414200.11617684</v>
      </c>
    </row>
    <row r="570" spans="1:11" x14ac:dyDescent="0.3">
      <c r="A570" s="10">
        <f ca="1"/>
        <v>45442.229166666664</v>
      </c>
      <c r="B570" s="20">
        <f ca="1"/>
        <v>67652.41</v>
      </c>
      <c r="C570" s="20">
        <f ca="1"/>
        <v>69500</v>
      </c>
      <c r="D570" s="20">
        <f ca="1"/>
        <v>67128</v>
      </c>
      <c r="E570" s="20">
        <f ca="1"/>
        <v>68352.17</v>
      </c>
      <c r="F570" s="3">
        <f ca="1"/>
        <v>28478.218400000002</v>
      </c>
      <c r="G570" s="10">
        <f ca="1"/>
        <v>45443.229166655095</v>
      </c>
      <c r="H570" s="3">
        <f ca="1"/>
        <v>1945001081.5215867</v>
      </c>
      <c r="I570" s="3">
        <f ca="1"/>
        <v>1272851</v>
      </c>
      <c r="J570" s="3">
        <f ca="1"/>
        <v>14074.366550000001</v>
      </c>
      <c r="K570" s="3">
        <f ca="1"/>
        <v>961595245.17878342</v>
      </c>
    </row>
    <row r="571" spans="1:11" x14ac:dyDescent="0.3">
      <c r="A571" s="10">
        <f ca="1"/>
        <v>45441.229166666664</v>
      </c>
      <c r="B571" s="20">
        <f ca="1"/>
        <v>68398.399999999994</v>
      </c>
      <c r="C571" s="20">
        <f ca="1"/>
        <v>68935.679999999993</v>
      </c>
      <c r="D571" s="20">
        <f ca="1"/>
        <v>67124.649999999994</v>
      </c>
      <c r="E571" s="20">
        <f ca="1"/>
        <v>67652.42</v>
      </c>
      <c r="F571" s="3">
        <f ca="1"/>
        <v>23159.83149</v>
      </c>
      <c r="G571" s="10">
        <f ca="1"/>
        <v>45442.229166655095</v>
      </c>
      <c r="H571" s="3">
        <f ca="1"/>
        <v>1573095221.6483984</v>
      </c>
      <c r="I571" s="3">
        <f ca="1"/>
        <v>1221044</v>
      </c>
      <c r="J571" s="3">
        <f ca="1"/>
        <v>11748.55954</v>
      </c>
      <c r="K571" s="3">
        <f ca="1"/>
        <v>797928379.36691785</v>
      </c>
    </row>
    <row r="572" spans="1:11" x14ac:dyDescent="0.3">
      <c r="A572" s="10">
        <f ca="1"/>
        <v>45440.229166666664</v>
      </c>
      <c r="B572" s="20">
        <f ca="1"/>
        <v>69436.429999999993</v>
      </c>
      <c r="C572" s="20">
        <f ca="1"/>
        <v>69591.81</v>
      </c>
      <c r="D572" s="20">
        <f ca="1"/>
        <v>67277.91</v>
      </c>
      <c r="E572" s="20">
        <f ca="1"/>
        <v>68398.39</v>
      </c>
      <c r="F572" s="3">
        <f ca="1"/>
        <v>32622.970420000001</v>
      </c>
      <c r="G572" s="10">
        <f ca="1"/>
        <v>45441.229166655095</v>
      </c>
      <c r="H572" s="3">
        <f ca="1"/>
        <v>2224860225.7992225</v>
      </c>
      <c r="I572" s="3">
        <f ca="1"/>
        <v>1459351</v>
      </c>
      <c r="J572" s="3">
        <f ca="1"/>
        <v>15543.097760000001</v>
      </c>
      <c r="K572" s="3">
        <f ca="1"/>
        <v>1059920452.3146172</v>
      </c>
    </row>
    <row r="573" spans="1:11" x14ac:dyDescent="0.3">
      <c r="A573" s="10">
        <f ca="1"/>
        <v>45439.229166666664</v>
      </c>
      <c r="B573" s="20">
        <f ca="1"/>
        <v>68507.67</v>
      </c>
      <c r="C573" s="20">
        <f ca="1"/>
        <v>70687.56</v>
      </c>
      <c r="D573" s="20">
        <f ca="1"/>
        <v>68250</v>
      </c>
      <c r="E573" s="20">
        <f ca="1"/>
        <v>69436.429999999993</v>
      </c>
      <c r="F573" s="3">
        <f ca="1"/>
        <v>23136.927370000001</v>
      </c>
      <c r="G573" s="10">
        <f ca="1"/>
        <v>45440.229166655095</v>
      </c>
      <c r="H573" s="3">
        <f ca="1"/>
        <v>1604722197.8374028</v>
      </c>
      <c r="I573" s="3">
        <f ca="1"/>
        <v>1219341</v>
      </c>
      <c r="J573" s="3">
        <f ca="1"/>
        <v>11709.621740000001</v>
      </c>
      <c r="K573" s="3">
        <f ca="1"/>
        <v>812172288.25763726</v>
      </c>
    </row>
    <row r="574" spans="1:11" x14ac:dyDescent="0.3">
      <c r="A574" s="10">
        <f ca="1"/>
        <v>45438.229166666664</v>
      </c>
      <c r="B574" s="20">
        <f ca="1"/>
        <v>69290.559999999998</v>
      </c>
      <c r="C574" s="20">
        <f ca="1"/>
        <v>69562.23</v>
      </c>
      <c r="D574" s="20">
        <f ca="1"/>
        <v>68128.009999999995</v>
      </c>
      <c r="E574" s="20">
        <f ca="1"/>
        <v>68507.67</v>
      </c>
      <c r="F574" s="3">
        <f ca="1"/>
        <v>11872.117969999999</v>
      </c>
      <c r="G574" s="10">
        <f ca="1"/>
        <v>45439.229166655095</v>
      </c>
      <c r="H574" s="3">
        <f ca="1"/>
        <v>818914878.99088979</v>
      </c>
      <c r="I574" s="3">
        <f ca="1"/>
        <v>722849</v>
      </c>
      <c r="J574" s="3">
        <f ca="1"/>
        <v>5934.6208299999998</v>
      </c>
      <c r="K574" s="3">
        <f ca="1"/>
        <v>409411078.54609239</v>
      </c>
    </row>
    <row r="575" spans="1:11" x14ac:dyDescent="0.3">
      <c r="A575" s="10">
        <f ca="1"/>
        <v>45437.229166666664</v>
      </c>
      <c r="B575" s="20">
        <f ca="1"/>
        <v>68549.990000000005</v>
      </c>
      <c r="C575" s="20">
        <f ca="1"/>
        <v>69610</v>
      </c>
      <c r="D575" s="20">
        <f ca="1"/>
        <v>68500</v>
      </c>
      <c r="E575" s="20">
        <f ca="1"/>
        <v>69290.570000000007</v>
      </c>
      <c r="F575" s="3">
        <f ca="1"/>
        <v>12130.394179999999</v>
      </c>
      <c r="G575" s="10">
        <f ca="1"/>
        <v>45438.229166655095</v>
      </c>
      <c r="H575" s="3">
        <f ca="1"/>
        <v>837339788.98389614</v>
      </c>
      <c r="I575" s="3">
        <f ca="1"/>
        <v>703803</v>
      </c>
      <c r="J575" s="3">
        <f ca="1"/>
        <v>5851.9599099999996</v>
      </c>
      <c r="K575" s="3">
        <f ca="1"/>
        <v>403954862.66947919</v>
      </c>
    </row>
    <row r="576" spans="1:11" x14ac:dyDescent="0.3">
      <c r="A576" s="10">
        <f ca="1"/>
        <v>45436.229166666664</v>
      </c>
      <c r="B576" s="20">
        <f ca="1"/>
        <v>67969.66</v>
      </c>
      <c r="C576" s="20">
        <f ca="1"/>
        <v>69250</v>
      </c>
      <c r="D576" s="20">
        <f ca="1"/>
        <v>66600.12</v>
      </c>
      <c r="E576" s="20">
        <f ca="1"/>
        <v>68549.990000000005</v>
      </c>
      <c r="F576" s="3">
        <f ca="1"/>
        <v>28095.836640000001</v>
      </c>
      <c r="G576" s="10">
        <f ca="1"/>
        <v>45437.229166655095</v>
      </c>
      <c r="H576" s="3">
        <f ca="1"/>
        <v>1906438696.7156012</v>
      </c>
      <c r="I576" s="3">
        <f ca="1"/>
        <v>1165907</v>
      </c>
      <c r="J576" s="3">
        <f ca="1"/>
        <v>14344.29889</v>
      </c>
      <c r="K576" s="3">
        <f ca="1"/>
        <v>973457354.69577575</v>
      </c>
    </row>
    <row r="577" spans="1:11" x14ac:dyDescent="0.3">
      <c r="A577" s="10">
        <f ca="1"/>
        <v>45435.229166666664</v>
      </c>
      <c r="B577" s="20">
        <f ca="1"/>
        <v>69166.62</v>
      </c>
      <c r="C577" s="20">
        <f ca="1"/>
        <v>70096.12</v>
      </c>
      <c r="D577" s="20">
        <f ca="1"/>
        <v>66312.160000000003</v>
      </c>
      <c r="E577" s="20">
        <f ca="1"/>
        <v>67969.649999999994</v>
      </c>
      <c r="F577" s="3">
        <f ca="1"/>
        <v>40513.173739999998</v>
      </c>
      <c r="G577" s="10">
        <f ca="1"/>
        <v>45436.229166655095</v>
      </c>
      <c r="H577" s="3">
        <f ca="1"/>
        <v>2766790260.7886024</v>
      </c>
      <c r="I577" s="3">
        <f ca="1"/>
        <v>1827855</v>
      </c>
      <c r="J577" s="3">
        <f ca="1"/>
        <v>19791.15119</v>
      </c>
      <c r="K577" s="3">
        <f ca="1"/>
        <v>1351640092.5813658</v>
      </c>
    </row>
    <row r="578" spans="1:11" x14ac:dyDescent="0.3">
      <c r="A578" s="10">
        <f ca="1"/>
        <v>45434.229166666664</v>
      </c>
      <c r="B578" s="20">
        <f ca="1"/>
        <v>70148.34</v>
      </c>
      <c r="C578" s="20">
        <f ca="1"/>
        <v>70666</v>
      </c>
      <c r="D578" s="20">
        <f ca="1"/>
        <v>68842.19</v>
      </c>
      <c r="E578" s="20">
        <f ca="1"/>
        <v>69166.62</v>
      </c>
      <c r="F578" s="3">
        <f ca="1"/>
        <v>27673.180260000001</v>
      </c>
      <c r="G578" s="10">
        <f ca="1"/>
        <v>45435.229166655095</v>
      </c>
      <c r="H578" s="3">
        <f ca="1"/>
        <v>1931700812.3032143</v>
      </c>
      <c r="I578" s="3">
        <f ca="1"/>
        <v>1371973</v>
      </c>
      <c r="J578" s="3">
        <f ca="1"/>
        <v>13124.78731</v>
      </c>
      <c r="K578" s="3">
        <f ca="1"/>
        <v>916344293.91047573</v>
      </c>
    </row>
    <row r="579" spans="1:11" x14ac:dyDescent="0.3">
      <c r="A579" s="10">
        <f ca="1"/>
        <v>45433.229166666664</v>
      </c>
      <c r="B579" s="20">
        <f ca="1"/>
        <v>71446.62</v>
      </c>
      <c r="C579" s="20">
        <f ca="1"/>
        <v>71979</v>
      </c>
      <c r="D579" s="20">
        <f ca="1"/>
        <v>69162.94</v>
      </c>
      <c r="E579" s="20">
        <f ca="1"/>
        <v>70148.34</v>
      </c>
      <c r="F579" s="3">
        <f ca="1"/>
        <v>49607.433599999997</v>
      </c>
      <c r="G579" s="10">
        <f ca="1"/>
        <v>45434.229166655095</v>
      </c>
      <c r="H579" s="3">
        <f ca="1"/>
        <v>3509345769.2336078</v>
      </c>
      <c r="I579" s="3">
        <f ca="1"/>
        <v>2137448</v>
      </c>
      <c r="J579" s="3">
        <f ca="1"/>
        <v>24686.279109999999</v>
      </c>
      <c r="K579" s="3">
        <f ca="1"/>
        <v>1746693652.328722</v>
      </c>
    </row>
    <row r="580" spans="1:11" x14ac:dyDescent="0.3">
      <c r="A580" s="10">
        <f ca="1"/>
        <v>45432.229166666664</v>
      </c>
      <c r="B580" s="20">
        <f ca="1"/>
        <v>66274</v>
      </c>
      <c r="C580" s="20">
        <f ca="1"/>
        <v>71515.56</v>
      </c>
      <c r="D580" s="20">
        <f ca="1"/>
        <v>66060.31</v>
      </c>
      <c r="E580" s="20">
        <f ca="1"/>
        <v>71446.62</v>
      </c>
      <c r="F580" s="3">
        <f ca="1"/>
        <v>50816.701099999998</v>
      </c>
      <c r="G580" s="10">
        <f ca="1"/>
        <v>45433.229166655095</v>
      </c>
      <c r="H580" s="3">
        <f ca="1"/>
        <v>3485474763.7522941</v>
      </c>
      <c r="I580" s="3">
        <f ca="1"/>
        <v>1930939</v>
      </c>
      <c r="J580" s="3">
        <f ca="1"/>
        <v>26792.52994</v>
      </c>
      <c r="K580" s="3">
        <f ca="1"/>
        <v>1839346667.5407889</v>
      </c>
    </row>
    <row r="581" spans="1:11" x14ac:dyDescent="0.3">
      <c r="A581" s="10">
        <f ca="1"/>
        <v>45431.229166666664</v>
      </c>
      <c r="B581" s="20">
        <f ca="1"/>
        <v>66915.199999999997</v>
      </c>
      <c r="C581" s="20">
        <f ca="1"/>
        <v>67700</v>
      </c>
      <c r="D581" s="20">
        <f ca="1"/>
        <v>65857.25</v>
      </c>
      <c r="E581" s="20">
        <f ca="1"/>
        <v>66274.009999999995</v>
      </c>
      <c r="F581" s="3">
        <f ca="1"/>
        <v>18025.304090000001</v>
      </c>
      <c r="G581" s="10">
        <f ca="1"/>
        <v>45432.229166655095</v>
      </c>
      <c r="H581" s="3">
        <f ca="1"/>
        <v>1204989222.8768685</v>
      </c>
      <c r="I581" s="3">
        <f ca="1"/>
        <v>823729</v>
      </c>
      <c r="J581" s="3">
        <f ca="1"/>
        <v>8692.1750699999993</v>
      </c>
      <c r="K581" s="3">
        <f ca="1"/>
        <v>581378180.33745968</v>
      </c>
    </row>
    <row r="582" spans="1:11" x14ac:dyDescent="0.3">
      <c r="A582" s="10">
        <f ca="1"/>
        <v>45430.229166666664</v>
      </c>
      <c r="B582" s="20">
        <f ca="1"/>
        <v>67024</v>
      </c>
      <c r="C582" s="20">
        <f ca="1"/>
        <v>67400.009999999995</v>
      </c>
      <c r="D582" s="20">
        <f ca="1"/>
        <v>66600</v>
      </c>
      <c r="E582" s="20">
        <f ca="1"/>
        <v>66915.199999999997</v>
      </c>
      <c r="F582" s="3">
        <f ca="1"/>
        <v>14441.257739999999</v>
      </c>
      <c r="G582" s="10">
        <f ca="1"/>
        <v>45431.229166655095</v>
      </c>
      <c r="H582" s="3">
        <f ca="1"/>
        <v>967145944.68353164</v>
      </c>
      <c r="I582" s="3">
        <f ca="1"/>
        <v>734067</v>
      </c>
      <c r="J582" s="3">
        <f ca="1"/>
        <v>6911.1342400000003</v>
      </c>
      <c r="K582" s="3">
        <f ca="1"/>
        <v>462859253.58791077</v>
      </c>
    </row>
    <row r="583" spans="1:11" x14ac:dyDescent="0.3">
      <c r="A583" s="10">
        <f ca="1"/>
        <v>45429.229166666664</v>
      </c>
      <c r="B583" s="20">
        <f ca="1"/>
        <v>65235.21</v>
      </c>
      <c r="C583" s="20">
        <f ca="1"/>
        <v>67451.199999999997</v>
      </c>
      <c r="D583" s="20">
        <f ca="1"/>
        <v>65106.38</v>
      </c>
      <c r="E583" s="20">
        <f ca="1"/>
        <v>67024</v>
      </c>
      <c r="F583" s="3">
        <f ca="1"/>
        <v>26292.234090000002</v>
      </c>
      <c r="G583" s="10">
        <f ca="1"/>
        <v>45430.229166655095</v>
      </c>
      <c r="H583" s="3">
        <f ca="1"/>
        <v>1745971822.3447454</v>
      </c>
      <c r="I583" s="3">
        <f ca="1"/>
        <v>1117254</v>
      </c>
      <c r="J583" s="3">
        <f ca="1"/>
        <v>13301.09525</v>
      </c>
      <c r="K583" s="3">
        <f ca="1"/>
        <v>883129353.16334295</v>
      </c>
    </row>
    <row r="584" spans="1:11" x14ac:dyDescent="0.3">
      <c r="A584" s="10">
        <f ca="1"/>
        <v>45428.229166666664</v>
      </c>
      <c r="B584" s="20">
        <f ca="1"/>
        <v>66206.509999999995</v>
      </c>
      <c r="C584" s="20">
        <f ca="1"/>
        <v>66752.009999999995</v>
      </c>
      <c r="D584" s="20">
        <f ca="1"/>
        <v>64602.77</v>
      </c>
      <c r="E584" s="20">
        <f ca="1"/>
        <v>65235.21</v>
      </c>
      <c r="F584" s="3">
        <f ca="1"/>
        <v>31106.367099999999</v>
      </c>
      <c r="G584" s="10">
        <f ca="1"/>
        <v>45429.229166655095</v>
      </c>
      <c r="H584" s="3">
        <f ca="1"/>
        <v>2045507646.8293848</v>
      </c>
      <c r="I584" s="3">
        <f ca="1"/>
        <v>1269793</v>
      </c>
      <c r="J584" s="3">
        <f ca="1"/>
        <v>15645.11263</v>
      </c>
      <c r="K584" s="3">
        <f ca="1"/>
        <v>1028962305.1043839</v>
      </c>
    </row>
    <row r="585" spans="1:11" x14ac:dyDescent="0.3">
      <c r="A585" s="10">
        <f ca="1"/>
        <v>45427.229166666664</v>
      </c>
      <c r="B585" s="20">
        <f ca="1"/>
        <v>61577.49</v>
      </c>
      <c r="C585" s="20">
        <f ca="1"/>
        <v>66444.160000000003</v>
      </c>
      <c r="D585" s="20">
        <f ca="1"/>
        <v>61319.47</v>
      </c>
      <c r="E585" s="20">
        <f ca="1"/>
        <v>66206.5</v>
      </c>
      <c r="F585" s="3">
        <f ca="1"/>
        <v>43559.747190000002</v>
      </c>
      <c r="G585" s="10">
        <f ca="1"/>
        <v>45428.229166655095</v>
      </c>
      <c r="H585" s="3">
        <f ca="1"/>
        <v>2794259631.8910465</v>
      </c>
      <c r="I585" s="3">
        <f ca="1"/>
        <v>1729454</v>
      </c>
      <c r="J585" s="3">
        <f ca="1"/>
        <v>21797.840939999998</v>
      </c>
      <c r="K585" s="3">
        <f ca="1"/>
        <v>1398781701.4413886</v>
      </c>
    </row>
    <row r="586" spans="1:11" x14ac:dyDescent="0.3">
      <c r="A586" s="10">
        <f ca="1"/>
        <v>45426.229166666664</v>
      </c>
      <c r="B586" s="20">
        <f ca="1"/>
        <v>62940.09</v>
      </c>
      <c r="C586" s="20">
        <f ca="1"/>
        <v>63118.36</v>
      </c>
      <c r="D586" s="20">
        <f ca="1"/>
        <v>61142.77</v>
      </c>
      <c r="E586" s="20">
        <f ca="1"/>
        <v>61577.49</v>
      </c>
      <c r="F586" s="3">
        <f ca="1"/>
        <v>29088.720410000002</v>
      </c>
      <c r="G586" s="10">
        <f ca="1"/>
        <v>45427.229166655095</v>
      </c>
      <c r="H586" s="3">
        <f ca="1"/>
        <v>1800171876.1676655</v>
      </c>
      <c r="I586" s="3">
        <f ca="1"/>
        <v>1127939</v>
      </c>
      <c r="J586" s="3">
        <f ca="1"/>
        <v>13815.81443</v>
      </c>
      <c r="K586" s="3">
        <f ca="1"/>
        <v>855088066.21248806</v>
      </c>
    </row>
    <row r="587" spans="1:11" x14ac:dyDescent="0.3">
      <c r="A587" s="10">
        <f ca="1"/>
        <v>45425.229166666664</v>
      </c>
      <c r="B587" s="20">
        <f ca="1"/>
        <v>61484</v>
      </c>
      <c r="C587" s="20">
        <f ca="1"/>
        <v>63450</v>
      </c>
      <c r="D587" s="20">
        <f ca="1"/>
        <v>60749.21</v>
      </c>
      <c r="E587" s="20">
        <f ca="1"/>
        <v>62940.08</v>
      </c>
      <c r="F587" s="3">
        <f ca="1"/>
        <v>32733.418389999999</v>
      </c>
      <c r="G587" s="10">
        <f ca="1"/>
        <v>45426.229166655095</v>
      </c>
      <c r="H587" s="3">
        <f ca="1"/>
        <v>2041896626.6108148</v>
      </c>
      <c r="I587" s="3">
        <f ca="1"/>
        <v>1371433</v>
      </c>
      <c r="J587" s="3">
        <f ca="1"/>
        <v>16717.908630000002</v>
      </c>
      <c r="K587" s="3">
        <f ca="1"/>
        <v>1043060982.3574601</v>
      </c>
    </row>
    <row r="588" spans="1:11" x14ac:dyDescent="0.3">
      <c r="A588" s="10">
        <f ca="1"/>
        <v>45424.229166666664</v>
      </c>
      <c r="B588" s="20">
        <f ca="1"/>
        <v>60825.99</v>
      </c>
      <c r="C588" s="20">
        <f ca="1"/>
        <v>61888</v>
      </c>
      <c r="D588" s="20">
        <f ca="1"/>
        <v>60610</v>
      </c>
      <c r="E588" s="20">
        <f ca="1"/>
        <v>61483.99</v>
      </c>
      <c r="F588" s="3">
        <f ca="1"/>
        <v>12753.13236</v>
      </c>
      <c r="G588" s="10">
        <f ca="1"/>
        <v>45425.229166655095</v>
      </c>
      <c r="H588" s="3">
        <f ca="1"/>
        <v>781041632.46238351</v>
      </c>
      <c r="I588" s="3">
        <f ca="1"/>
        <v>727113</v>
      </c>
      <c r="J588" s="3">
        <f ca="1"/>
        <v>6416.9110799999999</v>
      </c>
      <c r="K588" s="3">
        <f ca="1"/>
        <v>393132351.88839251</v>
      </c>
    </row>
    <row r="589" spans="1:11" x14ac:dyDescent="0.3">
      <c r="A589" s="10">
        <f ca="1"/>
        <v>45423.229166666664</v>
      </c>
      <c r="B589" s="20">
        <f ca="1"/>
        <v>60799.99</v>
      </c>
      <c r="C589" s="20">
        <f ca="1"/>
        <v>61515</v>
      </c>
      <c r="D589" s="20">
        <f ca="1"/>
        <v>60487.09</v>
      </c>
      <c r="E589" s="20">
        <f ca="1"/>
        <v>60825.99</v>
      </c>
      <c r="F589" s="3">
        <f ca="1"/>
        <v>13374.56936</v>
      </c>
      <c r="G589" s="10">
        <f ca="1"/>
        <v>45424.229166655095</v>
      </c>
      <c r="H589" s="3">
        <f ca="1"/>
        <v>814928013.4573288</v>
      </c>
      <c r="I589" s="3">
        <f ca="1"/>
        <v>753281</v>
      </c>
      <c r="J589" s="3">
        <f ca="1"/>
        <v>6223.09555</v>
      </c>
      <c r="K589" s="3">
        <f ca="1"/>
        <v>379263096.21513301</v>
      </c>
    </row>
    <row r="590" spans="1:11" x14ac:dyDescent="0.3">
      <c r="A590" s="10">
        <f ca="1"/>
        <v>45422.229166666664</v>
      </c>
      <c r="B590" s="20">
        <f ca="1"/>
        <v>63074</v>
      </c>
      <c r="C590" s="20">
        <f ca="1"/>
        <v>63469.13</v>
      </c>
      <c r="D590" s="20">
        <f ca="1"/>
        <v>60187.12</v>
      </c>
      <c r="E590" s="20">
        <f ca="1"/>
        <v>60799.99</v>
      </c>
      <c r="F590" s="3">
        <f ca="1"/>
        <v>36529.340250000001</v>
      </c>
      <c r="G590" s="10">
        <f ca="1"/>
        <v>45423.229166655095</v>
      </c>
      <c r="H590" s="3">
        <f ca="1"/>
        <v>2255550468.4138522</v>
      </c>
      <c r="I590" s="3">
        <f ca="1"/>
        <v>1500643</v>
      </c>
      <c r="J590" s="3">
        <f ca="1"/>
        <v>18066.831740000001</v>
      </c>
      <c r="K590" s="3">
        <f ca="1"/>
        <v>1116494638.2804892</v>
      </c>
    </row>
    <row r="591" spans="1:11" x14ac:dyDescent="0.3">
      <c r="A591" s="10">
        <f ca="1"/>
        <v>45421.229166666664</v>
      </c>
      <c r="B591" s="20">
        <f ca="1"/>
        <v>61193.03</v>
      </c>
      <c r="C591" s="20">
        <f ca="1"/>
        <v>63429.03</v>
      </c>
      <c r="D591" s="20">
        <f ca="1"/>
        <v>60630</v>
      </c>
      <c r="E591" s="20">
        <f ca="1"/>
        <v>63074.01</v>
      </c>
      <c r="F591" s="3">
        <f ca="1"/>
        <v>30660.806100000002</v>
      </c>
      <c r="G591" s="10">
        <f ca="1"/>
        <v>45422.229166655095</v>
      </c>
      <c r="H591" s="3">
        <f ca="1"/>
        <v>1895849912.7734754</v>
      </c>
      <c r="I591" s="3">
        <f ca="1"/>
        <v>1381957</v>
      </c>
      <c r="J591" s="3">
        <f ca="1"/>
        <v>15120.014709999999</v>
      </c>
      <c r="K591" s="3">
        <f ca="1"/>
        <v>935341755.67823541</v>
      </c>
    </row>
    <row r="592" spans="1:11" x14ac:dyDescent="0.3">
      <c r="A592" s="10">
        <f ca="1"/>
        <v>45420.229166666664</v>
      </c>
      <c r="B592" s="20">
        <f ca="1"/>
        <v>62312.07</v>
      </c>
      <c r="C592" s="20">
        <f ca="1"/>
        <v>63020.22</v>
      </c>
      <c r="D592" s="20">
        <f ca="1"/>
        <v>60888</v>
      </c>
      <c r="E592" s="20">
        <f ca="1"/>
        <v>61193.03</v>
      </c>
      <c r="F592" s="3">
        <f ca="1"/>
        <v>26121.190040000001</v>
      </c>
      <c r="G592" s="10">
        <f ca="1"/>
        <v>45421.229166655095</v>
      </c>
      <c r="H592" s="3">
        <f ca="1"/>
        <v>1623561041.1255188</v>
      </c>
      <c r="I592" s="3">
        <f ca="1"/>
        <v>1415152</v>
      </c>
      <c r="J592" s="3">
        <f ca="1"/>
        <v>12669.58179</v>
      </c>
      <c r="K592" s="3">
        <f ca="1"/>
        <v>787749415.5480814</v>
      </c>
    </row>
    <row r="593" spans="1:11" x14ac:dyDescent="0.3">
      <c r="A593" s="10">
        <f ca="1"/>
        <v>45419.229166666664</v>
      </c>
      <c r="B593" s="20">
        <f ca="1"/>
        <v>63165.18</v>
      </c>
      <c r="C593" s="20">
        <f ca="1"/>
        <v>64422.41</v>
      </c>
      <c r="D593" s="20">
        <f ca="1"/>
        <v>62261</v>
      </c>
      <c r="E593" s="20">
        <f ca="1"/>
        <v>62312.08</v>
      </c>
      <c r="F593" s="3">
        <f ca="1"/>
        <v>25598.794720000002</v>
      </c>
      <c r="G593" s="10">
        <f ca="1"/>
        <v>45420.229166655095</v>
      </c>
      <c r="H593" s="3">
        <f ca="1"/>
        <v>1624531631.5923769</v>
      </c>
      <c r="I593" s="3">
        <f ca="1"/>
        <v>1272898</v>
      </c>
      <c r="J593" s="3">
        <f ca="1"/>
        <v>12502.382809999999</v>
      </c>
      <c r="K593" s="3">
        <f ca="1"/>
        <v>793575994.21410251</v>
      </c>
    </row>
    <row r="594" spans="1:11" x14ac:dyDescent="0.3">
      <c r="A594" s="10">
        <f ca="1"/>
        <v>45418.229166666664</v>
      </c>
      <c r="B594" s="20">
        <f ca="1"/>
        <v>64012</v>
      </c>
      <c r="C594" s="20">
        <f ca="1"/>
        <v>65500</v>
      </c>
      <c r="D594" s="20">
        <f ca="1"/>
        <v>62700</v>
      </c>
      <c r="E594" s="20">
        <f ca="1"/>
        <v>63165.19</v>
      </c>
      <c r="F594" s="3">
        <f ca="1"/>
        <v>34674.91949</v>
      </c>
      <c r="G594" s="10">
        <f ca="1"/>
        <v>45419.229166655095</v>
      </c>
      <c r="H594" s="3">
        <f ca="1"/>
        <v>2218131198.4661326</v>
      </c>
      <c r="I594" s="3">
        <f ca="1"/>
        <v>1392557</v>
      </c>
      <c r="J594" s="3">
        <f ca="1"/>
        <v>17179.560310000001</v>
      </c>
      <c r="K594" s="3">
        <f ca="1"/>
        <v>1099303474.2805216</v>
      </c>
    </row>
    <row r="595" spans="1:11" x14ac:dyDescent="0.3">
      <c r="A595" s="10">
        <f ca="1"/>
        <v>45417.229166666664</v>
      </c>
      <c r="B595" s="20">
        <f ca="1"/>
        <v>63892.03</v>
      </c>
      <c r="C595" s="20">
        <f ca="1"/>
        <v>64646</v>
      </c>
      <c r="D595" s="20">
        <f ca="1"/>
        <v>62822.17</v>
      </c>
      <c r="E595" s="20">
        <f ca="1"/>
        <v>64012</v>
      </c>
      <c r="F595" s="3">
        <f ca="1"/>
        <v>18526.75029</v>
      </c>
      <c r="G595" s="10">
        <f ca="1"/>
        <v>45418.229166655095</v>
      </c>
      <c r="H595" s="3">
        <f ca="1"/>
        <v>1182572239.5306182</v>
      </c>
      <c r="I595" s="3">
        <f ca="1"/>
        <v>992921</v>
      </c>
      <c r="J595" s="3">
        <f ca="1"/>
        <v>8954.9343900000003</v>
      </c>
      <c r="K595" s="3">
        <f ca="1"/>
        <v>571783428.23947072</v>
      </c>
    </row>
    <row r="596" spans="1:11" x14ac:dyDescent="0.3">
      <c r="A596" s="10">
        <f ca="1"/>
        <v>45416.229166666664</v>
      </c>
      <c r="B596" s="20">
        <f ca="1"/>
        <v>62882.01</v>
      </c>
      <c r="C596" s="20">
        <f ca="1"/>
        <v>64540</v>
      </c>
      <c r="D596" s="20">
        <f ca="1"/>
        <v>62541.03</v>
      </c>
      <c r="E596" s="20">
        <f ca="1"/>
        <v>63892.04</v>
      </c>
      <c r="F596" s="3">
        <f ca="1"/>
        <v>24368.69282</v>
      </c>
      <c r="G596" s="10">
        <f ca="1"/>
        <v>45417.229166655095</v>
      </c>
      <c r="H596" s="3">
        <f ca="1"/>
        <v>1547468697.8765798</v>
      </c>
      <c r="I596" s="3">
        <f ca="1"/>
        <v>1113509</v>
      </c>
      <c r="J596" s="3">
        <f ca="1"/>
        <v>12671.20599</v>
      </c>
      <c r="K596" s="3">
        <f ca="1"/>
        <v>804768764.3062501</v>
      </c>
    </row>
    <row r="597" spans="1:11" x14ac:dyDescent="0.3">
      <c r="A597" s="10">
        <f ca="1"/>
        <v>45415.229166666664</v>
      </c>
      <c r="B597" s="20">
        <f ca="1"/>
        <v>59060.6</v>
      </c>
      <c r="C597" s="20">
        <f ca="1"/>
        <v>63333</v>
      </c>
      <c r="D597" s="20">
        <f ca="1"/>
        <v>58811.32</v>
      </c>
      <c r="E597" s="20">
        <f ca="1"/>
        <v>62882.01</v>
      </c>
      <c r="F597" s="3">
        <f ca="1"/>
        <v>43628.401429999998</v>
      </c>
      <c r="G597" s="10">
        <f ca="1"/>
        <v>45416.229166655095</v>
      </c>
      <c r="H597" s="3">
        <f ca="1"/>
        <v>2658193708.3479042</v>
      </c>
      <c r="I597" s="3">
        <f ca="1"/>
        <v>1558661</v>
      </c>
      <c r="J597" s="3">
        <f ca="1"/>
        <v>22145.443340000002</v>
      </c>
      <c r="K597" s="3">
        <f ca="1"/>
        <v>1349687455.5957608</v>
      </c>
    </row>
    <row r="598" spans="1:11" x14ac:dyDescent="0.3">
      <c r="A598" s="10">
        <f ca="1"/>
        <v>45414.229166666664</v>
      </c>
      <c r="B598" s="20">
        <f ca="1"/>
        <v>58364.97</v>
      </c>
      <c r="C598" s="20">
        <f ca="1"/>
        <v>59625</v>
      </c>
      <c r="D598" s="20">
        <f ca="1"/>
        <v>56911.839999999997</v>
      </c>
      <c r="E598" s="20">
        <f ca="1"/>
        <v>59060.61</v>
      </c>
      <c r="F598" s="3">
        <f ca="1"/>
        <v>47583.819609999999</v>
      </c>
      <c r="G598" s="10">
        <f ca="1"/>
        <v>45415.229166655095</v>
      </c>
      <c r="H598" s="3">
        <f ca="1"/>
        <v>2778840305.0505786</v>
      </c>
      <c r="I598" s="3">
        <f ca="1"/>
        <v>1572898</v>
      </c>
      <c r="J598" s="3">
        <f ca="1"/>
        <v>23240.753700000001</v>
      </c>
      <c r="K598" s="3">
        <f ca="1"/>
        <v>1356148775.8867364</v>
      </c>
    </row>
    <row r="599" spans="1:11" x14ac:dyDescent="0.3">
      <c r="A599" s="10">
        <f ca="1"/>
        <v>45413.229166666664</v>
      </c>
      <c r="B599" s="20">
        <f ca="1"/>
        <v>60672.01</v>
      </c>
      <c r="C599" s="20">
        <f ca="1"/>
        <v>60841.63</v>
      </c>
      <c r="D599" s="20">
        <f ca="1"/>
        <v>56552.82</v>
      </c>
      <c r="E599" s="20">
        <f ca="1"/>
        <v>58364.97</v>
      </c>
      <c r="F599" s="3">
        <f ca="1"/>
        <v>81166.468229999999</v>
      </c>
      <c r="G599" s="10">
        <f ca="1"/>
        <v>45414.229166655095</v>
      </c>
      <c r="H599" s="3">
        <f ca="1"/>
        <v>4705572361.7402</v>
      </c>
      <c r="I599" s="3">
        <f ca="1"/>
        <v>2401089</v>
      </c>
      <c r="J599" s="3">
        <f ca="1"/>
        <v>38203.573770000003</v>
      </c>
      <c r="K599" s="3">
        <f ca="1"/>
        <v>2213404278.5900111</v>
      </c>
    </row>
    <row r="600" spans="1:11" x14ac:dyDescent="0.3">
      <c r="A600" s="10">
        <f ca="1"/>
        <v>45412.229166666664</v>
      </c>
      <c r="B600" s="20">
        <f ca="1"/>
        <v>63866</v>
      </c>
      <c r="C600" s="20">
        <f ca="1"/>
        <v>64734</v>
      </c>
      <c r="D600" s="20">
        <f ca="1"/>
        <v>59191.6</v>
      </c>
      <c r="E600" s="20">
        <f ca="1"/>
        <v>60672</v>
      </c>
      <c r="F600" s="3">
        <f ca="1"/>
        <v>54947.655350000001</v>
      </c>
      <c r="G600" s="10">
        <f ca="1"/>
        <v>45413.229166655095</v>
      </c>
      <c r="H600" s="3">
        <f ca="1"/>
        <v>3372142467.4322524</v>
      </c>
      <c r="I600" s="3">
        <f ca="1"/>
        <v>1985671</v>
      </c>
      <c r="J600" s="3">
        <f ca="1"/>
        <v>26385.416140000001</v>
      </c>
      <c r="K600" s="3">
        <f ca="1"/>
        <v>1620421850.5786991</v>
      </c>
    </row>
    <row r="601" spans="1:11" x14ac:dyDescent="0.3">
      <c r="A601" s="10">
        <f ca="1"/>
        <v>45411.229166666664</v>
      </c>
      <c r="B601" s="20">
        <f ca="1"/>
        <v>63118.62</v>
      </c>
      <c r="C601" s="20">
        <f ca="1"/>
        <v>64228.35</v>
      </c>
      <c r="D601" s="20">
        <f ca="1"/>
        <v>61765.53</v>
      </c>
      <c r="E601" s="20">
        <f ca="1"/>
        <v>63866</v>
      </c>
      <c r="F601" s="3">
        <f ca="1"/>
        <v>28150.229469999998</v>
      </c>
      <c r="G601" s="10">
        <f ca="1"/>
        <v>45412.229166655095</v>
      </c>
      <c r="H601" s="3">
        <f ca="1"/>
        <v>1765038324.6837213</v>
      </c>
      <c r="I601" s="3">
        <f ca="1"/>
        <v>1152296</v>
      </c>
      <c r="J601" s="3">
        <f ca="1"/>
        <v>13986.594370000001</v>
      </c>
      <c r="K601" s="3">
        <f ca="1"/>
        <v>877053322.30799687</v>
      </c>
    </row>
    <row r="602" spans="1:11" x14ac:dyDescent="0.3">
      <c r="A602" s="10">
        <f ca="1"/>
        <v>45410.229166666664</v>
      </c>
      <c r="B602" s="20">
        <f ca="1"/>
        <v>63461.98</v>
      </c>
      <c r="C602" s="20">
        <f ca="1"/>
        <v>64370</v>
      </c>
      <c r="D602" s="20">
        <f ca="1"/>
        <v>62781</v>
      </c>
      <c r="E602" s="20">
        <f ca="1"/>
        <v>63118.62</v>
      </c>
      <c r="F602" s="3">
        <f ca="1"/>
        <v>16949.200049999999</v>
      </c>
      <c r="G602" s="10">
        <f ca="1"/>
        <v>45411.229166655095</v>
      </c>
      <c r="H602" s="3">
        <f ca="1"/>
        <v>1078450016.4732296</v>
      </c>
      <c r="I602" s="3">
        <f ca="1"/>
        <v>790652</v>
      </c>
      <c r="J602" s="3">
        <f ca="1"/>
        <v>7941.3381099999997</v>
      </c>
      <c r="K602" s="3">
        <f ca="1"/>
        <v>505261267.56950521</v>
      </c>
    </row>
    <row r="603" spans="1:11" x14ac:dyDescent="0.3">
      <c r="A603" s="10">
        <f ca="1"/>
        <v>45409.229166666664</v>
      </c>
      <c r="B603" s="20">
        <f ca="1"/>
        <v>63770</v>
      </c>
      <c r="C603" s="20">
        <f ca="1"/>
        <v>63923.41</v>
      </c>
      <c r="D603" s="20">
        <f ca="1"/>
        <v>62391.24</v>
      </c>
      <c r="E603" s="20">
        <f ca="1"/>
        <v>63461.98</v>
      </c>
      <c r="F603" s="3">
        <f ca="1"/>
        <v>20933.060519999999</v>
      </c>
      <c r="G603" s="10">
        <f ca="1"/>
        <v>45410.229166655095</v>
      </c>
      <c r="H603" s="3">
        <f ca="1"/>
        <v>1320337707.7871158</v>
      </c>
      <c r="I603" s="3">
        <f ca="1"/>
        <v>912422</v>
      </c>
      <c r="J603" s="3">
        <f ca="1"/>
        <v>9903.9532500000005</v>
      </c>
      <c r="K603" s="3">
        <f ca="1"/>
        <v>624733409.21128786</v>
      </c>
    </row>
    <row r="604" spans="1:11" x14ac:dyDescent="0.3">
      <c r="A604" s="10">
        <f ca="1"/>
        <v>45408.229166666664</v>
      </c>
      <c r="B604" s="20">
        <f ca="1"/>
        <v>64498.33</v>
      </c>
      <c r="C604" s="20">
        <f ca="1"/>
        <v>64820.01</v>
      </c>
      <c r="D604" s="20">
        <f ca="1"/>
        <v>63297.48</v>
      </c>
      <c r="E604" s="20">
        <f ca="1"/>
        <v>63770.01</v>
      </c>
      <c r="F604" s="3">
        <f ca="1"/>
        <v>27085.193459999999</v>
      </c>
      <c r="G604" s="10">
        <f ca="1"/>
        <v>45409.229166655095</v>
      </c>
      <c r="H604" s="3">
        <f ca="1"/>
        <v>1736631357.3537388</v>
      </c>
      <c r="I604" s="3">
        <f ca="1"/>
        <v>1025561</v>
      </c>
      <c r="J604" s="3">
        <f ca="1"/>
        <v>13570.23647</v>
      </c>
      <c r="K604" s="3">
        <f ca="1"/>
        <v>870093757.51889896</v>
      </c>
    </row>
    <row r="605" spans="1:11" x14ac:dyDescent="0.3">
      <c r="A605" s="10">
        <f ca="1"/>
        <v>45407.229166666664</v>
      </c>
      <c r="B605" s="20">
        <f ca="1"/>
        <v>64289.58</v>
      </c>
      <c r="C605" s="20">
        <f ca="1"/>
        <v>65297.94</v>
      </c>
      <c r="D605" s="20">
        <f ca="1"/>
        <v>62794</v>
      </c>
      <c r="E605" s="20">
        <f ca="1"/>
        <v>64498.34</v>
      </c>
      <c r="F605" s="3">
        <f ca="1"/>
        <v>31341.463380000001</v>
      </c>
      <c r="G605" s="10">
        <f ca="1"/>
        <v>45408.229166655095</v>
      </c>
      <c r="H605" s="3">
        <f ca="1"/>
        <v>2007704069.2622728</v>
      </c>
      <c r="I605" s="3">
        <f ca="1"/>
        <v>1375324</v>
      </c>
      <c r="J605" s="3">
        <f ca="1"/>
        <v>14808.62959</v>
      </c>
      <c r="K605" s="3">
        <f ca="1"/>
        <v>948738136.26843798</v>
      </c>
    </row>
    <row r="606" spans="1:11" x14ac:dyDescent="0.3">
      <c r="A606" s="10">
        <f ca="1"/>
        <v>45406.229166666664</v>
      </c>
      <c r="B606" s="20">
        <f ca="1"/>
        <v>66414</v>
      </c>
      <c r="C606" s="20">
        <f ca="1"/>
        <v>67070.429999999993</v>
      </c>
      <c r="D606" s="20">
        <f ca="1"/>
        <v>63606.06</v>
      </c>
      <c r="E606" s="20">
        <f ca="1"/>
        <v>64289.59</v>
      </c>
      <c r="F606" s="3">
        <f ca="1"/>
        <v>33595.696369999998</v>
      </c>
      <c r="G606" s="10">
        <f ca="1"/>
        <v>45407.229166655095</v>
      </c>
      <c r="H606" s="3">
        <f ca="1"/>
        <v>2195714861.6576557</v>
      </c>
      <c r="I606" s="3">
        <f ca="1"/>
        <v>1784897</v>
      </c>
      <c r="J606" s="3">
        <f ca="1"/>
        <v>16899.509689999999</v>
      </c>
      <c r="K606" s="3">
        <f ca="1"/>
        <v>1104368114.1058698</v>
      </c>
    </row>
    <row r="607" spans="1:11" x14ac:dyDescent="0.3">
      <c r="A607" s="10">
        <f ca="1"/>
        <v>45405.229166666664</v>
      </c>
      <c r="B607" s="20">
        <f ca="1"/>
        <v>66819.320000000007</v>
      </c>
      <c r="C607" s="20">
        <f ca="1"/>
        <v>67183.009999999995</v>
      </c>
      <c r="D607" s="20">
        <f ca="1"/>
        <v>65765.81</v>
      </c>
      <c r="E607" s="20">
        <f ca="1"/>
        <v>66414</v>
      </c>
      <c r="F607" s="3">
        <f ca="1"/>
        <v>22599.90004</v>
      </c>
      <c r="G607" s="10">
        <f ca="1"/>
        <v>45406.229166655095</v>
      </c>
      <c r="H607" s="3">
        <f ca="1"/>
        <v>1502139968.7198818</v>
      </c>
      <c r="I607" s="3">
        <f ca="1"/>
        <v>1433915</v>
      </c>
      <c r="J607" s="3">
        <f ca="1"/>
        <v>10854.17402</v>
      </c>
      <c r="K607" s="3">
        <f ca="1"/>
        <v>721404825.84704101</v>
      </c>
    </row>
    <row r="608" spans="1:11" x14ac:dyDescent="0.3">
      <c r="A608" s="10">
        <f ca="1"/>
        <v>45404.229166666664</v>
      </c>
      <c r="B608" s="20">
        <f ca="1"/>
        <v>64941.15</v>
      </c>
      <c r="C608" s="20">
        <f ca="1"/>
        <v>67232.350000000006</v>
      </c>
      <c r="D608" s="20">
        <f ca="1"/>
        <v>64500</v>
      </c>
      <c r="E608" s="20">
        <f ca="1"/>
        <v>66819.320000000007</v>
      </c>
      <c r="F608" s="3">
        <f ca="1"/>
        <v>31397.993709999999</v>
      </c>
      <c r="G608" s="10">
        <f ca="1"/>
        <v>45405.229166655095</v>
      </c>
      <c r="H608" s="3">
        <f ca="1"/>
        <v>2071690434.976552</v>
      </c>
      <c r="I608" s="3">
        <f ca="1"/>
        <v>1816591</v>
      </c>
      <c r="J608" s="3">
        <f ca="1"/>
        <v>16466.054970000001</v>
      </c>
      <c r="K608" s="3">
        <f ca="1"/>
        <v>1086399264.6092272</v>
      </c>
    </row>
    <row r="609" spans="1:11" x14ac:dyDescent="0.3">
      <c r="A609" s="10">
        <f ca="1"/>
        <v>45403.229166666664</v>
      </c>
      <c r="B609" s="20">
        <f ca="1"/>
        <v>64940.58</v>
      </c>
      <c r="C609" s="20">
        <f ca="1"/>
        <v>65695.56</v>
      </c>
      <c r="D609" s="20">
        <f ca="1"/>
        <v>64237.5</v>
      </c>
      <c r="E609" s="20">
        <f ca="1"/>
        <v>64941.15</v>
      </c>
      <c r="F609" s="3">
        <f ca="1"/>
        <v>19316.42152</v>
      </c>
      <c r="G609" s="10">
        <f ca="1"/>
        <v>45404.229166655095</v>
      </c>
      <c r="H609" s="3">
        <f ca="1"/>
        <v>1254396628.1531765</v>
      </c>
      <c r="I609" s="3">
        <f ca="1"/>
        <v>1390153</v>
      </c>
      <c r="J609" s="3">
        <f ca="1"/>
        <v>9734.71767</v>
      </c>
      <c r="K609" s="3">
        <f ca="1"/>
        <v>632257865.00824988</v>
      </c>
    </row>
    <row r="610" spans="1:11" x14ac:dyDescent="0.3">
      <c r="A610" s="10">
        <f ca="1"/>
        <v>45402.229166666664</v>
      </c>
      <c r="B610" s="20">
        <f ca="1"/>
        <v>63818.01</v>
      </c>
      <c r="C610" s="20">
        <f ca="1"/>
        <v>65419</v>
      </c>
      <c r="D610" s="20">
        <f ca="1"/>
        <v>63090.07</v>
      </c>
      <c r="E610" s="20">
        <f ca="1"/>
        <v>64940.59</v>
      </c>
      <c r="F610" s="3">
        <f ca="1"/>
        <v>23137.429749999999</v>
      </c>
      <c r="G610" s="10">
        <f ca="1"/>
        <v>45403.229166655095</v>
      </c>
      <c r="H610" s="3">
        <f ca="1"/>
        <v>1486949581.4394791</v>
      </c>
      <c r="I610" s="3">
        <f ca="1"/>
        <v>1376712</v>
      </c>
      <c r="J610" s="3">
        <f ca="1"/>
        <v>11811.8444</v>
      </c>
      <c r="K610" s="3">
        <f ca="1"/>
        <v>759077474.29729044</v>
      </c>
    </row>
    <row r="611" spans="1:11" x14ac:dyDescent="0.3">
      <c r="A611" s="10">
        <f ca="1"/>
        <v>45401.229166666664</v>
      </c>
      <c r="B611" s="20">
        <f ca="1"/>
        <v>63470.09</v>
      </c>
      <c r="C611" s="20">
        <f ca="1"/>
        <v>65450</v>
      </c>
      <c r="D611" s="20">
        <f ca="1"/>
        <v>59600.01</v>
      </c>
      <c r="E611" s="20">
        <f ca="1"/>
        <v>63818.01</v>
      </c>
      <c r="F611" s="3">
        <f ca="1"/>
        <v>69774.302710000004</v>
      </c>
      <c r="G611" s="10">
        <f ca="1"/>
        <v>45402.229166655095</v>
      </c>
      <c r="H611" s="3">
        <f ca="1"/>
        <v>4419893235.1832876</v>
      </c>
      <c r="I611" s="3">
        <f ca="1"/>
        <v>2828284</v>
      </c>
      <c r="J611" s="3">
        <f ca="1"/>
        <v>34941.502159999996</v>
      </c>
      <c r="K611" s="3">
        <f ca="1"/>
        <v>2214809735.2402415</v>
      </c>
    </row>
    <row r="612" spans="1:11" x14ac:dyDescent="0.3">
      <c r="A612" s="10">
        <f ca="1"/>
        <v>45400.229166666664</v>
      </c>
      <c r="B612" s="20">
        <f ca="1"/>
        <v>61277.38</v>
      </c>
      <c r="C612" s="20">
        <f ca="1"/>
        <v>64117.09</v>
      </c>
      <c r="D612" s="20">
        <f ca="1"/>
        <v>60803.35</v>
      </c>
      <c r="E612" s="20">
        <f ca="1"/>
        <v>63470.080000000002</v>
      </c>
      <c r="F612" s="3">
        <f ca="1"/>
        <v>43601.609179999999</v>
      </c>
      <c r="G612" s="10">
        <f ca="1"/>
        <v>45401.229166655095</v>
      </c>
      <c r="H612" s="3">
        <f ca="1"/>
        <v>2726741448.8868022</v>
      </c>
      <c r="I612" s="3">
        <f ca="1"/>
        <v>2142511</v>
      </c>
      <c r="J612" s="3">
        <f ca="1"/>
        <v>20870.207050000001</v>
      </c>
      <c r="K612" s="3">
        <f ca="1"/>
        <v>1305027167.9395082</v>
      </c>
    </row>
    <row r="613" spans="1:11" x14ac:dyDescent="0.3">
      <c r="A613" s="10">
        <f ca="1"/>
        <v>45399.229166666664</v>
      </c>
      <c r="B613" s="20">
        <f ca="1"/>
        <v>63793.4</v>
      </c>
      <c r="C613" s="20">
        <f ca="1"/>
        <v>64499</v>
      </c>
      <c r="D613" s="20">
        <f ca="1"/>
        <v>59678.16</v>
      </c>
      <c r="E613" s="20">
        <f ca="1"/>
        <v>61277.37</v>
      </c>
      <c r="F613" s="3">
        <f ca="1"/>
        <v>50610.54509</v>
      </c>
      <c r="G613" s="10">
        <f ca="1"/>
        <v>45400.229166655095</v>
      </c>
      <c r="H613" s="3">
        <f ca="1"/>
        <v>3128625247.4738536</v>
      </c>
      <c r="I613" s="3">
        <f ca="1"/>
        <v>2458327</v>
      </c>
      <c r="J613" s="3">
        <f ca="1"/>
        <v>24346.746709999999</v>
      </c>
      <c r="K613" s="3">
        <f ca="1"/>
        <v>1506361259.7013583</v>
      </c>
    </row>
    <row r="614" spans="1:11" x14ac:dyDescent="0.3">
      <c r="A614" s="10">
        <f ca="1"/>
        <v>45398.229166666664</v>
      </c>
      <c r="B614" s="20">
        <f ca="1"/>
        <v>63419.99</v>
      </c>
      <c r="C614" s="20">
        <f ca="1"/>
        <v>64365</v>
      </c>
      <c r="D614" s="20">
        <f ca="1"/>
        <v>61600</v>
      </c>
      <c r="E614" s="20">
        <f ca="1"/>
        <v>63793.39</v>
      </c>
      <c r="F614" s="3">
        <f ca="1"/>
        <v>53435.293310000001</v>
      </c>
      <c r="G614" s="10">
        <f ca="1"/>
        <v>45399.229166655095</v>
      </c>
      <c r="H614" s="3">
        <f ca="1"/>
        <v>3355338198.4469132</v>
      </c>
      <c r="I614" s="3">
        <f ca="1"/>
        <v>2604354</v>
      </c>
      <c r="J614" s="3">
        <f ca="1"/>
        <v>26041.2664</v>
      </c>
      <c r="K614" s="3">
        <f ca="1"/>
        <v>1635683129.3076532</v>
      </c>
    </row>
    <row r="615" spans="1:11" x14ac:dyDescent="0.3">
      <c r="A615" s="10">
        <f ca="1"/>
        <v>45397.229166666664</v>
      </c>
      <c r="B615" s="20">
        <f ca="1"/>
        <v>65661.850000000006</v>
      </c>
      <c r="C615" s="20">
        <f ca="1"/>
        <v>66867.070000000007</v>
      </c>
      <c r="D615" s="20">
        <f ca="1"/>
        <v>62274.400000000001</v>
      </c>
      <c r="E615" s="20">
        <f ca="1"/>
        <v>63419.99</v>
      </c>
      <c r="F615" s="3">
        <f ca="1"/>
        <v>52389.53069</v>
      </c>
      <c r="G615" s="10">
        <f ca="1"/>
        <v>45398.229166655095</v>
      </c>
      <c r="H615" s="3">
        <f ca="1"/>
        <v>3398072231.5612235</v>
      </c>
      <c r="I615" s="3">
        <f ca="1"/>
        <v>2539048</v>
      </c>
      <c r="J615" s="3">
        <f ca="1"/>
        <v>25206.680079999998</v>
      </c>
      <c r="K615" s="3">
        <f ca="1"/>
        <v>1634572976.9398127</v>
      </c>
    </row>
    <row r="616" spans="1:11" x14ac:dyDescent="0.3">
      <c r="A616" s="10">
        <f ca="1"/>
        <v>45396.229166666664</v>
      </c>
      <c r="B616" s="20">
        <f ca="1"/>
        <v>63924.52</v>
      </c>
      <c r="C616" s="20">
        <f ca="1"/>
        <v>65840</v>
      </c>
      <c r="D616" s="20">
        <f ca="1"/>
        <v>62134</v>
      </c>
      <c r="E616" s="20">
        <f ca="1"/>
        <v>65661.84</v>
      </c>
      <c r="F616" s="3">
        <f ca="1"/>
        <v>61599.178180000003</v>
      </c>
      <c r="G616" s="10">
        <f ca="1"/>
        <v>45397.229166655095</v>
      </c>
      <c r="H616" s="3">
        <f ca="1"/>
        <v>3946124834.6970353</v>
      </c>
      <c r="I616" s="3">
        <f ca="1"/>
        <v>2657953</v>
      </c>
      <c r="J616" s="3">
        <f ca="1"/>
        <v>29732.296340000001</v>
      </c>
      <c r="K616" s="3">
        <f ca="1"/>
        <v>1904847012.5093086</v>
      </c>
    </row>
    <row r="617" spans="1:11" x14ac:dyDescent="0.3">
      <c r="A617" s="10">
        <f ca="1"/>
        <v>45395.229166666664</v>
      </c>
      <c r="B617" s="20">
        <f ca="1"/>
        <v>67116.52</v>
      </c>
      <c r="C617" s="20">
        <f ca="1"/>
        <v>67929</v>
      </c>
      <c r="D617" s="20">
        <f ca="1"/>
        <v>60660.57</v>
      </c>
      <c r="E617" s="20">
        <f ca="1"/>
        <v>63924.51</v>
      </c>
      <c r="F617" s="3">
        <f ca="1"/>
        <v>71395.220189999993</v>
      </c>
      <c r="G617" s="10">
        <f ca="1"/>
        <v>45396.229166655095</v>
      </c>
      <c r="H617" s="3">
        <f ca="1"/>
        <v>4614468627.8090448</v>
      </c>
      <c r="I617" s="3">
        <f ca="1"/>
        <v>3341340</v>
      </c>
      <c r="J617" s="3">
        <f ca="1"/>
        <v>33221.669500000004</v>
      </c>
      <c r="K617" s="3">
        <f ca="1"/>
        <v>2144846149.680918</v>
      </c>
    </row>
    <row r="618" spans="1:11" x14ac:dyDescent="0.3">
      <c r="A618" s="10">
        <f ca="1"/>
        <v>45394.229166666664</v>
      </c>
      <c r="B618" s="20">
        <f ca="1"/>
        <v>70006.22</v>
      </c>
      <c r="C618" s="20">
        <f ca="1"/>
        <v>71227.460000000006</v>
      </c>
      <c r="D618" s="20">
        <f ca="1"/>
        <v>65086.86</v>
      </c>
      <c r="E618" s="20">
        <f ca="1"/>
        <v>67116.52</v>
      </c>
      <c r="F618" s="3">
        <f ca="1"/>
        <v>56072.862289999997</v>
      </c>
      <c r="G618" s="10">
        <f ca="1"/>
        <v>45395.229166655095</v>
      </c>
      <c r="H618" s="3">
        <f ca="1"/>
        <v>3843551585.3212748</v>
      </c>
      <c r="I618" s="3">
        <f ca="1"/>
        <v>2496617</v>
      </c>
      <c r="J618" s="3">
        <f ca="1"/>
        <v>25935.86464</v>
      </c>
      <c r="K618" s="3">
        <f ca="1"/>
        <v>1777808491.1704543</v>
      </c>
    </row>
    <row r="619" spans="1:11" x14ac:dyDescent="0.3">
      <c r="A619" s="10">
        <f ca="1"/>
        <v>45393.229166666664</v>
      </c>
      <c r="B619" s="20">
        <f ca="1"/>
        <v>70631.08</v>
      </c>
      <c r="C619" s="20">
        <f ca="1"/>
        <v>71305.89</v>
      </c>
      <c r="D619" s="20">
        <f ca="1"/>
        <v>69567.210000000006</v>
      </c>
      <c r="E619" s="20">
        <f ca="1"/>
        <v>70006.23</v>
      </c>
      <c r="F619" s="3">
        <f ca="1"/>
        <v>31917.255949999999</v>
      </c>
      <c r="G619" s="10">
        <f ca="1"/>
        <v>45394.229166655095</v>
      </c>
      <c r="H619" s="3">
        <f ca="1"/>
        <v>2247473274.6162577</v>
      </c>
      <c r="I619" s="3">
        <f ca="1"/>
        <v>1658995</v>
      </c>
      <c r="J619" s="3">
        <f ca="1"/>
        <v>15908.491239999999</v>
      </c>
      <c r="K619" s="3">
        <f ca="1"/>
        <v>1120249990.7357526</v>
      </c>
    </row>
    <row r="620" spans="1:11" x14ac:dyDescent="0.3">
      <c r="A620" s="10">
        <f ca="1"/>
        <v>45392.229166666664</v>
      </c>
      <c r="B620" s="20">
        <f ca="1"/>
        <v>69146</v>
      </c>
      <c r="C620" s="20">
        <f ca="1"/>
        <v>71172.08</v>
      </c>
      <c r="D620" s="20">
        <f ca="1"/>
        <v>67518</v>
      </c>
      <c r="E620" s="20">
        <f ca="1"/>
        <v>70631.08</v>
      </c>
      <c r="F620" s="3">
        <f ca="1"/>
        <v>42006.02377</v>
      </c>
      <c r="G620" s="10">
        <f ca="1"/>
        <v>45393.229166655095</v>
      </c>
      <c r="H620" s="3">
        <f ca="1"/>
        <v>2901564970.815804</v>
      </c>
      <c r="I620" s="3">
        <f ca="1"/>
        <v>1852170</v>
      </c>
      <c r="J620" s="3">
        <f ca="1"/>
        <v>20269.34809</v>
      </c>
      <c r="K620" s="3">
        <f ca="1"/>
        <v>1401023003.7318227</v>
      </c>
    </row>
    <row r="621" spans="1:11" x14ac:dyDescent="0.3">
      <c r="A621" s="10">
        <f ca="1"/>
        <v>45391.229166666664</v>
      </c>
      <c r="B621" s="20">
        <f ca="1"/>
        <v>71620</v>
      </c>
      <c r="C621" s="20">
        <f ca="1"/>
        <v>71758.19</v>
      </c>
      <c r="D621" s="20">
        <f ca="1"/>
        <v>68210</v>
      </c>
      <c r="E621" s="20">
        <f ca="1"/>
        <v>69146</v>
      </c>
      <c r="F621" s="3">
        <f ca="1"/>
        <v>39293.902419999999</v>
      </c>
      <c r="G621" s="10">
        <f ca="1"/>
        <v>45392.229166655095</v>
      </c>
      <c r="H621" s="3">
        <f ca="1"/>
        <v>2749007421.6421075</v>
      </c>
      <c r="I621" s="3">
        <f ca="1"/>
        <v>1804157</v>
      </c>
      <c r="J621" s="3">
        <f ca="1"/>
        <v>18896.537560000001</v>
      </c>
      <c r="K621" s="3">
        <f ca="1"/>
        <v>1321865585.2380521</v>
      </c>
    </row>
    <row r="622" spans="1:11" x14ac:dyDescent="0.3">
      <c r="A622" s="10">
        <f ca="1"/>
        <v>45390.229166666664</v>
      </c>
      <c r="B622" s="20">
        <f ca="1"/>
        <v>69360.38</v>
      </c>
      <c r="C622" s="20">
        <f ca="1"/>
        <v>72797.990000000005</v>
      </c>
      <c r="D622" s="20">
        <f ca="1"/>
        <v>69043.240000000005</v>
      </c>
      <c r="E622" s="20">
        <f ca="1"/>
        <v>71620</v>
      </c>
      <c r="F622" s="3">
        <f ca="1"/>
        <v>45723.876239999998</v>
      </c>
      <c r="G622" s="10">
        <f ca="1"/>
        <v>45391.229166655095</v>
      </c>
      <c r="H622" s="3">
        <f ca="1"/>
        <v>3270853309.6629424</v>
      </c>
      <c r="I622" s="3">
        <f ca="1"/>
        <v>2037025</v>
      </c>
      <c r="J622" s="3">
        <f ca="1"/>
        <v>25309.904869999998</v>
      </c>
      <c r="K622" s="3">
        <f ca="1"/>
        <v>1811209901.7163539</v>
      </c>
    </row>
    <row r="623" spans="1:11" x14ac:dyDescent="0.3">
      <c r="A623" s="10">
        <f ca="1"/>
        <v>45389.229166666664</v>
      </c>
      <c r="B623" s="20">
        <f ca="1"/>
        <v>68896</v>
      </c>
      <c r="C623" s="20">
        <f ca="1"/>
        <v>70326.289999999994</v>
      </c>
      <c r="D623" s="20">
        <f ca="1"/>
        <v>68824</v>
      </c>
      <c r="E623" s="20">
        <f ca="1"/>
        <v>69360.39</v>
      </c>
      <c r="F623" s="3">
        <f ca="1"/>
        <v>21534.744330000001</v>
      </c>
      <c r="G623" s="10">
        <f ca="1"/>
        <v>45390.229166655095</v>
      </c>
      <c r="H623" s="3">
        <f ca="1"/>
        <v>1496213373.1855776</v>
      </c>
      <c r="I623" s="3">
        <f ca="1"/>
        <v>1269048</v>
      </c>
      <c r="J623" s="3">
        <f ca="1"/>
        <v>11149.903979999999</v>
      </c>
      <c r="K623" s="3">
        <f ca="1"/>
        <v>774906774.52828121</v>
      </c>
    </row>
    <row r="624" spans="1:11" x14ac:dyDescent="0.3">
      <c r="A624" s="10">
        <f ca="1"/>
        <v>45388.229166666664</v>
      </c>
      <c r="B624" s="20">
        <f ca="1"/>
        <v>67820.63</v>
      </c>
      <c r="C624" s="20">
        <f ca="1"/>
        <v>69692</v>
      </c>
      <c r="D624" s="20">
        <f ca="1"/>
        <v>67447.83</v>
      </c>
      <c r="E624" s="20">
        <f ca="1"/>
        <v>68896</v>
      </c>
      <c r="F624" s="3">
        <f ca="1"/>
        <v>20134.28919</v>
      </c>
      <c r="G624" s="10">
        <f ca="1"/>
        <v>45389.229166655095</v>
      </c>
      <c r="H624" s="3">
        <f ca="1"/>
        <v>1373131967.7648187</v>
      </c>
      <c r="I624" s="3">
        <f ca="1"/>
        <v>1171460</v>
      </c>
      <c r="J624" s="3">
        <f ca="1"/>
        <v>9973.8641200000002</v>
      </c>
      <c r="K624" s="3">
        <f ca="1"/>
        <v>680800856.20965052</v>
      </c>
    </row>
    <row r="625" spans="1:11" x14ac:dyDescent="0.3">
      <c r="A625" s="10">
        <f ca="1"/>
        <v>45387.229166666664</v>
      </c>
      <c r="B625" s="20">
        <f ca="1"/>
        <v>68487.8</v>
      </c>
      <c r="C625" s="20">
        <f ca="1"/>
        <v>68756.67</v>
      </c>
      <c r="D625" s="20">
        <f ca="1"/>
        <v>65952.56</v>
      </c>
      <c r="E625" s="20">
        <f ca="1"/>
        <v>67820.62</v>
      </c>
      <c r="F625" s="3">
        <f ca="1"/>
        <v>37915.230730000003</v>
      </c>
      <c r="G625" s="10">
        <f ca="1"/>
        <v>45388.229166655095</v>
      </c>
      <c r="H625" s="3">
        <f ca="1"/>
        <v>2555458935.2360091</v>
      </c>
      <c r="I625" s="3">
        <f ca="1"/>
        <v>1901980</v>
      </c>
      <c r="J625" s="3">
        <f ca="1"/>
        <v>18889.984530000002</v>
      </c>
      <c r="K625" s="3">
        <f ca="1"/>
        <v>1273220222.7625887</v>
      </c>
    </row>
    <row r="626" spans="1:11" x14ac:dyDescent="0.3">
      <c r="A626" s="10">
        <f ca="1"/>
        <v>45386.229166666664</v>
      </c>
      <c r="B626" s="20">
        <f ca="1"/>
        <v>65963.27</v>
      </c>
      <c r="C626" s="20">
        <f ca="1"/>
        <v>69309.91</v>
      </c>
      <c r="D626" s="20">
        <f ca="1"/>
        <v>65064.52</v>
      </c>
      <c r="E626" s="20">
        <f ca="1"/>
        <v>68487.789999999994</v>
      </c>
      <c r="F626" s="3">
        <f ca="1"/>
        <v>41510.484530000002</v>
      </c>
      <c r="G626" s="10">
        <f ca="1"/>
        <v>45387.229166655095</v>
      </c>
      <c r="H626" s="3">
        <f ca="1"/>
        <v>2795469450.5723858</v>
      </c>
      <c r="I626" s="3">
        <f ca="1"/>
        <v>2000945</v>
      </c>
      <c r="J626" s="3">
        <f ca="1"/>
        <v>21013.32173</v>
      </c>
      <c r="K626" s="3">
        <f ca="1"/>
        <v>1415699952.0381584</v>
      </c>
    </row>
    <row r="627" spans="1:11" x14ac:dyDescent="0.3">
      <c r="A627" s="10">
        <f ca="1"/>
        <v>45385.229166666664</v>
      </c>
      <c r="B627" s="20">
        <f ca="1"/>
        <v>65463.99</v>
      </c>
      <c r="C627" s="20">
        <f ca="1"/>
        <v>66903.63</v>
      </c>
      <c r="D627" s="20">
        <f ca="1"/>
        <v>64493.07</v>
      </c>
      <c r="E627" s="20">
        <f ca="1"/>
        <v>65963.28</v>
      </c>
      <c r="F627" s="3">
        <f ca="1"/>
        <v>39887.217779999999</v>
      </c>
      <c r="G627" s="10">
        <f ca="1"/>
        <v>45386.229166655095</v>
      </c>
      <c r="H627" s="3">
        <f ca="1"/>
        <v>2630556596.1359286</v>
      </c>
      <c r="I627" s="3">
        <f ca="1"/>
        <v>2172096</v>
      </c>
      <c r="J627" s="3">
        <f ca="1"/>
        <v>20618.587469999999</v>
      </c>
      <c r="K627" s="3">
        <f ca="1"/>
        <v>1360363531.1659517</v>
      </c>
    </row>
    <row r="628" spans="1:11" x14ac:dyDescent="0.3">
      <c r="A628" s="10">
        <f ca="1"/>
        <v>45384.229166666664</v>
      </c>
      <c r="B628" s="20">
        <f ca="1"/>
        <v>69649.81</v>
      </c>
      <c r="C628" s="20">
        <f ca="1"/>
        <v>69674.23</v>
      </c>
      <c r="D628" s="20">
        <f ca="1"/>
        <v>64550</v>
      </c>
      <c r="E628" s="20">
        <f ca="1"/>
        <v>65463.99</v>
      </c>
      <c r="F628" s="3">
        <f ca="1"/>
        <v>71799.827929999999</v>
      </c>
      <c r="G628" s="10">
        <f ca="1"/>
        <v>45385.229166655095</v>
      </c>
      <c r="H628" s="3">
        <f ca="1"/>
        <v>4750030717.9224253</v>
      </c>
      <c r="I628" s="3">
        <f ca="1"/>
        <v>2662410</v>
      </c>
      <c r="J628" s="3">
        <f ca="1"/>
        <v>35520.174010000002</v>
      </c>
      <c r="K628" s="3">
        <f ca="1"/>
        <v>2348263612.3034706</v>
      </c>
    </row>
    <row r="629" spans="1:11" x14ac:dyDescent="0.3">
      <c r="A629" s="10">
        <f ca="1"/>
        <v>45383.229166666664</v>
      </c>
      <c r="B629" s="20">
        <f ca="1"/>
        <v>71280</v>
      </c>
      <c r="C629" s="20">
        <f ca="1"/>
        <v>71288.23</v>
      </c>
      <c r="D629" s="20">
        <f ca="1"/>
        <v>68062.86</v>
      </c>
      <c r="E629" s="20">
        <f ca="1"/>
        <v>69649.8</v>
      </c>
      <c r="F629" s="3">
        <f ca="1"/>
        <v>41445.320390000001</v>
      </c>
      <c r="G629" s="10">
        <f ca="1"/>
        <v>45384.229166655095</v>
      </c>
      <c r="H629" s="3">
        <f ca="1"/>
        <v>2876486469.4655228</v>
      </c>
      <c r="I629" s="3">
        <f ca="1"/>
        <v>1893438</v>
      </c>
      <c r="J629" s="3">
        <f ca="1"/>
        <v>20211.150239999999</v>
      </c>
      <c r="K629" s="3">
        <f ca="1"/>
        <v>1402849944.782289</v>
      </c>
    </row>
    <row r="630" spans="1:11" x14ac:dyDescent="0.3">
      <c r="A630" s="10">
        <f ca="1"/>
        <v>45382.229166666664</v>
      </c>
      <c r="B630" s="20">
        <f ca="1"/>
        <v>69582.17</v>
      </c>
      <c r="C630" s="20">
        <f ca="1"/>
        <v>71366</v>
      </c>
      <c r="D630" s="20">
        <f ca="1"/>
        <v>69562.990000000005</v>
      </c>
      <c r="E630" s="20">
        <f ca="1"/>
        <v>71280.009999999995</v>
      </c>
      <c r="F630" s="3">
        <f ca="1"/>
        <v>19396.34433</v>
      </c>
      <c r="G630" s="10">
        <f ca="1"/>
        <v>45383.229166655095</v>
      </c>
      <c r="H630" s="3">
        <f ca="1"/>
        <v>1367523707.261245</v>
      </c>
      <c r="I630" s="3">
        <f ca="1"/>
        <v>1181926</v>
      </c>
      <c r="J630" s="3">
        <f ca="1"/>
        <v>10142.479880000001</v>
      </c>
      <c r="K630" s="3">
        <f ca="1"/>
        <v>715151368.94630206</v>
      </c>
    </row>
    <row r="631" spans="1:11" x14ac:dyDescent="0.3">
      <c r="A631" s="10">
        <f ca="1"/>
        <v>45381.229166666664</v>
      </c>
      <c r="B631" s="20">
        <f ca="1"/>
        <v>69850.53</v>
      </c>
      <c r="C631" s="20">
        <f ca="1"/>
        <v>70321.100000000006</v>
      </c>
      <c r="D631" s="20">
        <f ca="1"/>
        <v>69540</v>
      </c>
      <c r="E631" s="20">
        <f ca="1"/>
        <v>69582.179999999993</v>
      </c>
      <c r="F631" s="3">
        <f ca="1"/>
        <v>13644.611419999999</v>
      </c>
      <c r="G631" s="10">
        <f ca="1"/>
        <v>45382.229166655095</v>
      </c>
      <c r="H631" s="3">
        <f ca="1"/>
        <v>954555919.68557453</v>
      </c>
      <c r="I631" s="3">
        <f ca="1"/>
        <v>1110488</v>
      </c>
      <c r="J631" s="3">
        <f ca="1"/>
        <v>6423.8936700000004</v>
      </c>
      <c r="K631" s="3">
        <f ca="1"/>
        <v>449436189.73361897</v>
      </c>
    </row>
    <row r="632" spans="1:11" x14ac:dyDescent="0.3">
      <c r="A632" s="10">
        <f ca="1"/>
        <v>45380.229166666664</v>
      </c>
      <c r="B632" s="20">
        <f ca="1"/>
        <v>70780.600000000006</v>
      </c>
      <c r="C632" s="20">
        <f ca="1"/>
        <v>70916.160000000003</v>
      </c>
      <c r="D632" s="20">
        <f ca="1"/>
        <v>69009</v>
      </c>
      <c r="E632" s="20">
        <f ca="1"/>
        <v>69850.539999999994</v>
      </c>
      <c r="F632" s="3">
        <f ca="1"/>
        <v>25445.08353</v>
      </c>
      <c r="G632" s="10">
        <f ca="1"/>
        <v>45381.229166655095</v>
      </c>
      <c r="H632" s="3">
        <f ca="1"/>
        <v>1779608477.3224537</v>
      </c>
      <c r="I632" s="3">
        <f ca="1"/>
        <v>1522607</v>
      </c>
      <c r="J632" s="3">
        <f ca="1"/>
        <v>11839.0929</v>
      </c>
      <c r="K632" s="3">
        <f ca="1"/>
        <v>828039936.6854533</v>
      </c>
    </row>
    <row r="633" spans="1:11" x14ac:dyDescent="0.3">
      <c r="A633" s="10">
        <f ca="1"/>
        <v>45379.229166666664</v>
      </c>
      <c r="B633" s="20">
        <f ca="1"/>
        <v>69469.990000000005</v>
      </c>
      <c r="C633" s="20">
        <f ca="1"/>
        <v>71552.06</v>
      </c>
      <c r="D633" s="20">
        <f ca="1"/>
        <v>68903.62</v>
      </c>
      <c r="E633" s="20">
        <f ca="1"/>
        <v>70780.600000000006</v>
      </c>
      <c r="F633" s="3">
        <f ca="1"/>
        <v>35439.03239</v>
      </c>
      <c r="G633" s="10">
        <f ca="1"/>
        <v>45380.229166655095</v>
      </c>
      <c r="H633" s="3">
        <f ca="1"/>
        <v>2500571208.0026274</v>
      </c>
      <c r="I633" s="3">
        <f ca="1"/>
        <v>1799897</v>
      </c>
      <c r="J633" s="3">
        <f ca="1"/>
        <v>18007.268830000001</v>
      </c>
      <c r="K633" s="3">
        <f ca="1"/>
        <v>1270852446.7077451</v>
      </c>
    </row>
    <row r="634" spans="1:11" x14ac:dyDescent="0.3">
      <c r="A634" s="10">
        <f ca="1"/>
        <v>45378.229166666664</v>
      </c>
      <c r="B634" s="20">
        <f ca="1"/>
        <v>69987.990000000005</v>
      </c>
      <c r="C634" s="20">
        <f ca="1"/>
        <v>71769.539999999994</v>
      </c>
      <c r="D634" s="20">
        <f ca="1"/>
        <v>68359.179999999993</v>
      </c>
      <c r="E634" s="20">
        <f ca="1"/>
        <v>69469.990000000005</v>
      </c>
      <c r="F634" s="3">
        <f ca="1"/>
        <v>49119.356849999996</v>
      </c>
      <c r="G634" s="10">
        <f ca="1"/>
        <v>45379.229166655095</v>
      </c>
      <c r="H634" s="3">
        <f ca="1"/>
        <v>3426458581.9433432</v>
      </c>
      <c r="I634" s="3">
        <f ca="1"/>
        <v>2453366</v>
      </c>
      <c r="J634" s="3">
        <f ca="1"/>
        <v>24902.334699999999</v>
      </c>
      <c r="K634" s="3">
        <f ca="1"/>
        <v>1737325915.8344178</v>
      </c>
    </row>
    <row r="635" spans="1:11" x14ac:dyDescent="0.3">
      <c r="A635" s="10">
        <f ca="1"/>
        <v>45377.229166666664</v>
      </c>
      <c r="B635" s="20">
        <f ca="1"/>
        <v>69880</v>
      </c>
      <c r="C635" s="20">
        <f ca="1"/>
        <v>71561.100000000006</v>
      </c>
      <c r="D635" s="20">
        <f ca="1"/>
        <v>69280</v>
      </c>
      <c r="E635" s="20">
        <f ca="1"/>
        <v>69988</v>
      </c>
      <c r="F635" s="3">
        <f ca="1"/>
        <v>38934.384169999998</v>
      </c>
      <c r="G635" s="10">
        <f ca="1"/>
        <v>45378.229166655095</v>
      </c>
      <c r="H635" s="3">
        <f ca="1"/>
        <v>2738537345.3358798</v>
      </c>
      <c r="I635" s="3">
        <f ca="1"/>
        <v>2176807</v>
      </c>
      <c r="J635" s="3">
        <f ca="1"/>
        <v>19498.856660000001</v>
      </c>
      <c r="K635" s="3">
        <f ca="1"/>
        <v>1371708206.538872</v>
      </c>
    </row>
    <row r="636" spans="1:11" x14ac:dyDescent="0.3">
      <c r="A636" s="10">
        <f ca="1"/>
        <v>45376.229166666664</v>
      </c>
      <c r="B636" s="20">
        <f ca="1"/>
        <v>67210</v>
      </c>
      <c r="C636" s="20">
        <f ca="1"/>
        <v>71150</v>
      </c>
      <c r="D636" s="20">
        <f ca="1"/>
        <v>66385.06</v>
      </c>
      <c r="E636" s="20">
        <f ca="1"/>
        <v>69880.009999999995</v>
      </c>
      <c r="F636" s="3">
        <f ca="1"/>
        <v>53431.14486</v>
      </c>
      <c r="G636" s="10">
        <f ca="1"/>
        <v>45377.229166655095</v>
      </c>
      <c r="H636" s="3">
        <f ca="1"/>
        <v>3679964073.8112125</v>
      </c>
      <c r="I636" s="3">
        <f ca="1"/>
        <v>2632220</v>
      </c>
      <c r="J636" s="3">
        <f ca="1"/>
        <v>27815.58769</v>
      </c>
      <c r="K636" s="3">
        <f ca="1"/>
        <v>1915614174.2397635</v>
      </c>
    </row>
    <row r="637" spans="1:11" x14ac:dyDescent="0.3">
      <c r="A637" s="10">
        <f ca="1"/>
        <v>45375.229166666664</v>
      </c>
      <c r="B637" s="20">
        <f ca="1"/>
        <v>63990.02</v>
      </c>
      <c r="C637" s="20">
        <f ca="1"/>
        <v>67628.69</v>
      </c>
      <c r="D637" s="20">
        <f ca="1"/>
        <v>63772.29</v>
      </c>
      <c r="E637" s="20">
        <f ca="1"/>
        <v>67209.990000000005</v>
      </c>
      <c r="F637" s="3">
        <f ca="1"/>
        <v>31395.780149999999</v>
      </c>
      <c r="G637" s="10">
        <f ca="1"/>
        <v>45376.229166655095</v>
      </c>
      <c r="H637" s="3">
        <f ca="1"/>
        <v>2059312948.6486874</v>
      </c>
      <c r="I637" s="3">
        <f ca="1"/>
        <v>1880774</v>
      </c>
      <c r="J637" s="3">
        <f ca="1"/>
        <v>16689.656169999998</v>
      </c>
      <c r="K637" s="3">
        <f ca="1"/>
        <v>1095820626.0291996</v>
      </c>
    </row>
    <row r="638" spans="1:11" x14ac:dyDescent="0.3">
      <c r="A638" s="10">
        <f ca="1"/>
        <v>45374.229166666664</v>
      </c>
      <c r="B638" s="20">
        <f ca="1"/>
        <v>63796.639999999999</v>
      </c>
      <c r="C638" s="20">
        <f ca="1"/>
        <v>65999</v>
      </c>
      <c r="D638" s="20">
        <f ca="1"/>
        <v>63000</v>
      </c>
      <c r="E638" s="20">
        <f ca="1"/>
        <v>63990.01</v>
      </c>
      <c r="F638" s="3">
        <f ca="1"/>
        <v>26410.114089999999</v>
      </c>
      <c r="G638" s="10">
        <f ca="1"/>
        <v>45375.229166655095</v>
      </c>
      <c r="H638" s="3">
        <f ca="1"/>
        <v>1706152172.6316135</v>
      </c>
      <c r="I638" s="3">
        <f ca="1"/>
        <v>1753566</v>
      </c>
      <c r="J638" s="3">
        <f ca="1"/>
        <v>12749.008229999999</v>
      </c>
      <c r="K638" s="3">
        <f ca="1"/>
        <v>823892846.71497703</v>
      </c>
    </row>
    <row r="639" spans="1:11" x14ac:dyDescent="0.3">
      <c r="A639" s="10">
        <f ca="1"/>
        <v>45373.229166666664</v>
      </c>
      <c r="B639" s="20">
        <f ca="1"/>
        <v>65501.279999999999</v>
      </c>
      <c r="C639" s="20">
        <f ca="1"/>
        <v>66649.62</v>
      </c>
      <c r="D639" s="20">
        <f ca="1"/>
        <v>62260</v>
      </c>
      <c r="E639" s="20">
        <f ca="1"/>
        <v>63796.639999999999</v>
      </c>
      <c r="F639" s="3">
        <f ca="1"/>
        <v>51482.378210000003</v>
      </c>
      <c r="G639" s="10">
        <f ca="1"/>
        <v>45374.229166655095</v>
      </c>
      <c r="H639" s="3">
        <f ca="1"/>
        <v>3310481978.1076455</v>
      </c>
      <c r="I639" s="3">
        <f ca="1"/>
        <v>2492881</v>
      </c>
      <c r="J639" s="3">
        <f ca="1"/>
        <v>24578.879570000001</v>
      </c>
      <c r="K639" s="3">
        <f ca="1"/>
        <v>1580940164.1212375</v>
      </c>
    </row>
    <row r="640" spans="1:11" x14ac:dyDescent="0.3">
      <c r="A640" s="10">
        <f ca="1"/>
        <v>45372.229166666664</v>
      </c>
      <c r="B640" s="20">
        <f ca="1"/>
        <v>67840.509999999995</v>
      </c>
      <c r="C640" s="20">
        <f ca="1"/>
        <v>68240.47</v>
      </c>
      <c r="D640" s="20">
        <f ca="1"/>
        <v>64529.01</v>
      </c>
      <c r="E640" s="20">
        <f ca="1"/>
        <v>65501.27</v>
      </c>
      <c r="F640" s="3">
        <f ca="1"/>
        <v>53357.480020000003</v>
      </c>
      <c r="G640" s="10">
        <f ca="1"/>
        <v>45373.229166655095</v>
      </c>
      <c r="H640" s="3">
        <f ca="1"/>
        <v>3551223142.964417</v>
      </c>
      <c r="I640" s="3">
        <f ca="1"/>
        <v>2388390</v>
      </c>
      <c r="J640" s="3">
        <f ca="1"/>
        <v>26650.097860000002</v>
      </c>
      <c r="K640" s="3">
        <f ca="1"/>
        <v>1774833851.2215245</v>
      </c>
    </row>
    <row r="641" spans="1:11" x14ac:dyDescent="0.3">
      <c r="A641" s="10">
        <f ca="1"/>
        <v>45371.229166666664</v>
      </c>
      <c r="B641" s="20">
        <f ca="1"/>
        <v>61937.41</v>
      </c>
      <c r="C641" s="20">
        <f ca="1"/>
        <v>68100</v>
      </c>
      <c r="D641" s="20">
        <f ca="1"/>
        <v>60775</v>
      </c>
      <c r="E641" s="20">
        <f ca="1"/>
        <v>67840.509999999995</v>
      </c>
      <c r="F641" s="3">
        <f ca="1"/>
        <v>90420.585919999998</v>
      </c>
      <c r="G641" s="10">
        <f ca="1"/>
        <v>45372.229166655095</v>
      </c>
      <c r="H641" s="3">
        <f ca="1"/>
        <v>5769770052.062583</v>
      </c>
      <c r="I641" s="3">
        <f ca="1"/>
        <v>3549793</v>
      </c>
      <c r="J641" s="3">
        <f ca="1"/>
        <v>45523.842810000002</v>
      </c>
      <c r="K641" s="3">
        <f ca="1"/>
        <v>2907222064.1312914</v>
      </c>
    </row>
    <row r="642" spans="1:11" x14ac:dyDescent="0.3">
      <c r="A642" s="10">
        <f ca="1"/>
        <v>45370.229166666664</v>
      </c>
      <c r="B642" s="20">
        <f ca="1"/>
        <v>67610</v>
      </c>
      <c r="C642" s="20">
        <f ca="1"/>
        <v>68124.11</v>
      </c>
      <c r="D642" s="20">
        <f ca="1"/>
        <v>61555</v>
      </c>
      <c r="E642" s="20">
        <f ca="1"/>
        <v>61937.4</v>
      </c>
      <c r="F642" s="3">
        <f ca="1"/>
        <v>101005.32487</v>
      </c>
      <c r="G642" s="10">
        <f ca="1"/>
        <v>45371.229166655095</v>
      </c>
      <c r="H642" s="3">
        <f ca="1"/>
        <v>6484805948.5353928</v>
      </c>
      <c r="I642" s="3">
        <f ca="1"/>
        <v>3593832</v>
      </c>
      <c r="J642" s="3">
        <f ca="1"/>
        <v>48205.284339999998</v>
      </c>
      <c r="K642" s="3">
        <f ca="1"/>
        <v>3095258881.7022734</v>
      </c>
    </row>
    <row r="643" spans="1:11" x14ac:dyDescent="0.3">
      <c r="A643" s="10">
        <f ca="1"/>
        <v>45369.229166666664</v>
      </c>
      <c r="B643" s="20">
        <f ca="1"/>
        <v>68393.47</v>
      </c>
      <c r="C643" s="20">
        <f ca="1"/>
        <v>68956</v>
      </c>
      <c r="D643" s="20">
        <f ca="1"/>
        <v>66565.2</v>
      </c>
      <c r="E643" s="20">
        <f ca="1"/>
        <v>67609.990000000005</v>
      </c>
      <c r="F643" s="3">
        <f ca="1"/>
        <v>55691.080880000001</v>
      </c>
      <c r="G643" s="10">
        <f ca="1"/>
        <v>45370.229166655095</v>
      </c>
      <c r="H643" s="3">
        <f ca="1"/>
        <v>3768277912.4189181</v>
      </c>
      <c r="I643" s="3">
        <f ca="1"/>
        <v>2464515</v>
      </c>
      <c r="J643" s="3">
        <f ca="1"/>
        <v>28529.672190000001</v>
      </c>
      <c r="K643" s="3">
        <f ca="1"/>
        <v>1930726566.2492459</v>
      </c>
    </row>
    <row r="644" spans="1:11" x14ac:dyDescent="0.3">
      <c r="A644" s="10">
        <f ca="1"/>
        <v>45368.229166666664</v>
      </c>
      <c r="B644" s="20">
        <f ca="1"/>
        <v>65300.639999999999</v>
      </c>
      <c r="C644" s="20">
        <f ca="1"/>
        <v>68904.399999999994</v>
      </c>
      <c r="D644" s="20">
        <f ca="1"/>
        <v>64533</v>
      </c>
      <c r="E644" s="20">
        <f ca="1"/>
        <v>68393.48</v>
      </c>
      <c r="F644" s="3">
        <f ca="1"/>
        <v>49742.215889999999</v>
      </c>
      <c r="G644" s="10">
        <f ca="1"/>
        <v>45369.229166655095</v>
      </c>
      <c r="H644" s="3">
        <f ca="1"/>
        <v>3322963634.2425127</v>
      </c>
      <c r="I644" s="3">
        <f ca="1"/>
        <v>2449156</v>
      </c>
      <c r="J644" s="3">
        <f ca="1"/>
        <v>25328.29435</v>
      </c>
      <c r="K644" s="3">
        <f ca="1"/>
        <v>1692079618.2113106</v>
      </c>
    </row>
    <row r="645" spans="1:11" x14ac:dyDescent="0.3">
      <c r="A645" s="10">
        <f ca="1"/>
        <v>45367.229166666664</v>
      </c>
      <c r="B645" s="20">
        <f ca="1"/>
        <v>69499.839999999997</v>
      </c>
      <c r="C645" s="20">
        <f ca="1"/>
        <v>70043</v>
      </c>
      <c r="D645" s="20">
        <f ca="1"/>
        <v>64780</v>
      </c>
      <c r="E645" s="20">
        <f ca="1"/>
        <v>65300.63</v>
      </c>
      <c r="F645" s="3">
        <f ca="1"/>
        <v>55926.95336</v>
      </c>
      <c r="G645" s="10">
        <f ca="1"/>
        <v>45368.229166655095</v>
      </c>
      <c r="H645" s="3">
        <f ca="1"/>
        <v>3788544202.8848557</v>
      </c>
      <c r="I645" s="3">
        <f ca="1"/>
        <v>2729019</v>
      </c>
      <c r="J645" s="3">
        <f ca="1"/>
        <v>27240.198939999998</v>
      </c>
      <c r="K645" s="3">
        <f ca="1"/>
        <v>1846731512.2736232</v>
      </c>
    </row>
    <row r="646" spans="1:11" x14ac:dyDescent="0.3">
      <c r="A646" s="10">
        <f ca="1"/>
        <v>45366.229166666664</v>
      </c>
      <c r="B646" s="20">
        <f ca="1"/>
        <v>71388.94</v>
      </c>
      <c r="C646" s="20">
        <f ca="1"/>
        <v>72419.710000000006</v>
      </c>
      <c r="D646" s="20">
        <f ca="1"/>
        <v>65600</v>
      </c>
      <c r="E646" s="20">
        <f ca="1"/>
        <v>69499.850000000006</v>
      </c>
      <c r="F646" s="3">
        <f ca="1"/>
        <v>103334.03546</v>
      </c>
      <c r="G646" s="10">
        <f ca="1"/>
        <v>45367.229166655095</v>
      </c>
      <c r="H646" s="3">
        <f ca="1"/>
        <v>7065279917.8721123</v>
      </c>
      <c r="I646" s="3">
        <f ca="1"/>
        <v>3904445</v>
      </c>
      <c r="J646" s="3">
        <f ca="1"/>
        <v>49844.665150000001</v>
      </c>
      <c r="K646" s="3">
        <f ca="1"/>
        <v>3409385750.0211768</v>
      </c>
    </row>
    <row r="647" spans="1:11" x14ac:dyDescent="0.3">
      <c r="A647" s="10">
        <f ca="1"/>
        <v>45365.229166666664</v>
      </c>
      <c r="B647" s="20">
        <f ca="1"/>
        <v>73072.399999999994</v>
      </c>
      <c r="C647" s="20">
        <f ca="1"/>
        <v>73777</v>
      </c>
      <c r="D647" s="20">
        <f ca="1"/>
        <v>68555</v>
      </c>
      <c r="E647" s="20">
        <f ca="1"/>
        <v>71388.94</v>
      </c>
      <c r="F647" s="3">
        <f ca="1"/>
        <v>71757.628746000002</v>
      </c>
      <c r="G647" s="10">
        <f ca="1"/>
        <v>45366.229166655095</v>
      </c>
      <c r="H647" s="3">
        <f ca="1"/>
        <v>5132189849.096632</v>
      </c>
      <c r="I647" s="3">
        <f ca="1"/>
        <v>2994869</v>
      </c>
      <c r="J647" s="3">
        <f ca="1"/>
        <v>35676.748326000001</v>
      </c>
      <c r="K647" s="3">
        <f ca="1"/>
        <v>2552190396.8890066</v>
      </c>
    </row>
    <row r="648" spans="1:11" x14ac:dyDescent="0.3">
      <c r="A648" s="10">
        <f ca="1"/>
        <v>45364.229166666664</v>
      </c>
      <c r="B648" s="20">
        <f ca="1"/>
        <v>71452</v>
      </c>
      <c r="C648" s="20">
        <f ca="1"/>
        <v>73650.25</v>
      </c>
      <c r="D648" s="20">
        <f ca="1"/>
        <v>71333.31</v>
      </c>
      <c r="E648" s="20">
        <f ca="1"/>
        <v>73072.41</v>
      </c>
      <c r="F648" s="3">
        <f ca="1"/>
        <v>52659.711646999996</v>
      </c>
      <c r="G648" s="10">
        <f ca="1"/>
        <v>45365.229166655095</v>
      </c>
      <c r="H648" s="3">
        <f ca="1"/>
        <v>3829764501.2537928</v>
      </c>
      <c r="I648" s="3">
        <f ca="1"/>
        <v>2501197</v>
      </c>
      <c r="J648" s="3">
        <f ca="1"/>
        <v>26787.082236999999</v>
      </c>
      <c r="K648" s="3">
        <f ca="1"/>
        <v>1948382241.8894603</v>
      </c>
    </row>
    <row r="649" spans="1:11" x14ac:dyDescent="0.3">
      <c r="A649" s="10">
        <f ca="1"/>
        <v>45363.229166666664</v>
      </c>
      <c r="B649" s="20">
        <f ca="1"/>
        <v>72078.100000000006</v>
      </c>
      <c r="C649" s="20">
        <f ca="1"/>
        <v>73000</v>
      </c>
      <c r="D649" s="20">
        <f ca="1"/>
        <v>68620.820000000007</v>
      </c>
      <c r="E649" s="20">
        <f ca="1"/>
        <v>71452.009999999995</v>
      </c>
      <c r="F649" s="3">
        <f ca="1"/>
        <v>68783.546690999996</v>
      </c>
      <c r="G649" s="10">
        <f ca="1"/>
        <v>45364.229166655095</v>
      </c>
      <c r="H649" s="3">
        <f ca="1"/>
        <v>4909667978.5593386</v>
      </c>
      <c r="I649" s="3">
        <f ca="1"/>
        <v>3047890</v>
      </c>
      <c r="J649" s="3">
        <f ca="1"/>
        <v>34517.212933000003</v>
      </c>
      <c r="K649" s="3">
        <f ca="1"/>
        <v>2465202174.4072261</v>
      </c>
    </row>
    <row r="650" spans="1:11" x14ac:dyDescent="0.3">
      <c r="A650" s="10">
        <f ca="1"/>
        <v>45362.229166666664</v>
      </c>
      <c r="B650" s="20">
        <f ca="1"/>
        <v>68955.88</v>
      </c>
      <c r="C650" s="20">
        <f ca="1"/>
        <v>72800</v>
      </c>
      <c r="D650" s="20">
        <f ca="1"/>
        <v>67024.960000000006</v>
      </c>
      <c r="E650" s="20">
        <f ca="1"/>
        <v>72078.100000000006</v>
      </c>
      <c r="F650" s="3">
        <f ca="1"/>
        <v>75292.825725999995</v>
      </c>
      <c r="G650" s="10">
        <f ca="1"/>
        <v>45363.229166655095</v>
      </c>
      <c r="H650" s="3">
        <f ca="1"/>
        <v>5352704377.6188049</v>
      </c>
      <c r="I650" s="3">
        <f ca="1"/>
        <v>3043414</v>
      </c>
      <c r="J650" s="3">
        <f ca="1"/>
        <v>39435.855458999999</v>
      </c>
      <c r="K650" s="3">
        <f ca="1"/>
        <v>2803359303.286973</v>
      </c>
    </row>
    <row r="651" spans="1:11" x14ac:dyDescent="0.3">
      <c r="A651" s="10">
        <f ca="1"/>
        <v>45361.229166666664</v>
      </c>
      <c r="B651" s="20">
        <f ca="1"/>
        <v>68313.279999999999</v>
      </c>
      <c r="C651" s="20">
        <f ca="1"/>
        <v>69887.61</v>
      </c>
      <c r="D651" s="20">
        <f ca="1"/>
        <v>68094.75</v>
      </c>
      <c r="E651" s="20">
        <f ca="1"/>
        <v>68955.88</v>
      </c>
      <c r="F651" s="3">
        <f ca="1"/>
        <v>38404.66835</v>
      </c>
      <c r="G651" s="10">
        <f ca="1"/>
        <v>45362.229166655095</v>
      </c>
      <c r="H651" s="3">
        <f ca="1"/>
        <v>2659307501.0945783</v>
      </c>
      <c r="I651" s="3">
        <f ca="1"/>
        <v>2139518</v>
      </c>
      <c r="J651" s="3">
        <f ca="1"/>
        <v>19188.799040000002</v>
      </c>
      <c r="K651" s="3">
        <f ca="1"/>
        <v>1328747995.9940255</v>
      </c>
    </row>
    <row r="652" spans="1:11" x14ac:dyDescent="0.3">
      <c r="A652" s="10">
        <f ca="1"/>
        <v>45360.229166666664</v>
      </c>
      <c r="B652" s="20">
        <f ca="1"/>
        <v>68124.2</v>
      </c>
      <c r="C652" s="20">
        <f ca="1"/>
        <v>68541.100000000006</v>
      </c>
      <c r="D652" s="20">
        <f ca="1"/>
        <v>67861.100000000006</v>
      </c>
      <c r="E652" s="20">
        <f ca="1"/>
        <v>68313.27</v>
      </c>
      <c r="F652" s="3">
        <f ca="1"/>
        <v>19872.897430000001</v>
      </c>
      <c r="G652" s="10">
        <f ca="1"/>
        <v>45361.229166655095</v>
      </c>
      <c r="H652" s="3">
        <f ca="1"/>
        <v>1355964036.9092987</v>
      </c>
      <c r="I652" s="3">
        <f ca="1"/>
        <v>1345341</v>
      </c>
      <c r="J652" s="3">
        <f ca="1"/>
        <v>10005.592000000001</v>
      </c>
      <c r="K652" s="3">
        <f ca="1"/>
        <v>682720256.00282276</v>
      </c>
    </row>
    <row r="653" spans="1:11" x14ac:dyDescent="0.3">
      <c r="A653" s="10">
        <f ca="1"/>
        <v>45359.229166666664</v>
      </c>
      <c r="B653" s="20">
        <f ca="1"/>
        <v>66823.179999999993</v>
      </c>
      <c r="C653" s="20">
        <f ca="1"/>
        <v>69990</v>
      </c>
      <c r="D653" s="20">
        <f ca="1"/>
        <v>66082.66</v>
      </c>
      <c r="E653" s="20">
        <f ca="1"/>
        <v>68124.19</v>
      </c>
      <c r="F653" s="3">
        <f ca="1"/>
        <v>74261.932841999995</v>
      </c>
      <c r="G653" s="10">
        <f ca="1"/>
        <v>45360.229166655095</v>
      </c>
      <c r="H653" s="3">
        <f ca="1"/>
        <v>5044395324.3990545</v>
      </c>
      <c r="I653" s="3">
        <f ca="1"/>
        <v>2943927</v>
      </c>
      <c r="J653" s="3">
        <f ca="1"/>
        <v>37711.514581000003</v>
      </c>
      <c r="K653" s="3">
        <f ca="1"/>
        <v>2563347797.5286803</v>
      </c>
    </row>
    <row r="654" spans="1:11" x14ac:dyDescent="0.3">
      <c r="A654" s="10">
        <f ca="1"/>
        <v>45358.229166666664</v>
      </c>
      <c r="B654" s="20">
        <f ca="1"/>
        <v>66074.039999999994</v>
      </c>
      <c r="C654" s="20">
        <f ca="1"/>
        <v>67980</v>
      </c>
      <c r="D654" s="20">
        <f ca="1"/>
        <v>65551</v>
      </c>
      <c r="E654" s="20">
        <f ca="1"/>
        <v>66823.17</v>
      </c>
      <c r="F654" s="3">
        <f ca="1"/>
        <v>53059.886899999998</v>
      </c>
      <c r="G654" s="10">
        <f ca="1"/>
        <v>45359.229166655095</v>
      </c>
      <c r="H654" s="3">
        <f ca="1"/>
        <v>3548088039.2736087</v>
      </c>
      <c r="I654" s="3">
        <f ca="1"/>
        <v>2428227</v>
      </c>
      <c r="J654" s="3">
        <f ca="1"/>
        <v>27935.66302</v>
      </c>
      <c r="K654" s="3">
        <f ca="1"/>
        <v>1867854683.9820299</v>
      </c>
    </row>
    <row r="655" spans="1:11" x14ac:dyDescent="0.3">
      <c r="A655" s="10">
        <f ca="1"/>
        <v>45357.229166666664</v>
      </c>
      <c r="B655" s="20">
        <f ca="1"/>
        <v>63724.01</v>
      </c>
      <c r="C655" s="20">
        <f ca="1"/>
        <v>67641.100000000006</v>
      </c>
      <c r="D655" s="20">
        <f ca="1"/>
        <v>62779.14</v>
      </c>
      <c r="E655" s="20">
        <f ca="1"/>
        <v>66074.039999999994</v>
      </c>
      <c r="F655" s="3">
        <f ca="1"/>
        <v>78738.854909999995</v>
      </c>
      <c r="G655" s="10">
        <f ca="1"/>
        <v>45358.229166655095</v>
      </c>
      <c r="H655" s="3">
        <f ca="1"/>
        <v>5197743036.5972757</v>
      </c>
      <c r="I655" s="3">
        <f ca="1"/>
        <v>3302981</v>
      </c>
      <c r="J655" s="3">
        <f ca="1"/>
        <v>40344.325960000002</v>
      </c>
      <c r="K655" s="3">
        <f ca="1"/>
        <v>2663883160.2069621</v>
      </c>
    </row>
    <row r="656" spans="1:11" x14ac:dyDescent="0.3">
      <c r="A656" s="10">
        <f ca="1"/>
        <v>45356.229166666664</v>
      </c>
      <c r="B656" s="20">
        <f ca="1"/>
        <v>68245.710000000006</v>
      </c>
      <c r="C656" s="20">
        <f ca="1"/>
        <v>69000</v>
      </c>
      <c r="D656" s="20">
        <f ca="1"/>
        <v>59005</v>
      </c>
      <c r="E656" s="20">
        <f ca="1"/>
        <v>63724.01</v>
      </c>
      <c r="F656" s="3">
        <f ca="1"/>
        <v>132696.7813</v>
      </c>
      <c r="G656" s="10">
        <f ca="1"/>
        <v>45357.229166655095</v>
      </c>
      <c r="H656" s="3">
        <f ca="1"/>
        <v>8674526591.2871418</v>
      </c>
      <c r="I656" s="3">
        <f ca="1"/>
        <v>5310706</v>
      </c>
      <c r="J656" s="3">
        <f ca="1"/>
        <v>65991.845260000002</v>
      </c>
      <c r="K656" s="3">
        <f ca="1"/>
        <v>4318205559.6436501</v>
      </c>
    </row>
    <row r="657" spans="1:11" x14ac:dyDescent="0.3">
      <c r="A657" s="10">
        <f ca="1"/>
        <v>45355.229166666664</v>
      </c>
      <c r="B657" s="20">
        <f ca="1"/>
        <v>63113.97</v>
      </c>
      <c r="C657" s="20">
        <f ca="1"/>
        <v>68499</v>
      </c>
      <c r="D657" s="20">
        <f ca="1"/>
        <v>62300</v>
      </c>
      <c r="E657" s="20">
        <f ca="1"/>
        <v>68245.710000000006</v>
      </c>
      <c r="F657" s="3">
        <f ca="1"/>
        <v>84835.160050000006</v>
      </c>
      <c r="G657" s="10">
        <f ca="1"/>
        <v>45356.229166655095</v>
      </c>
      <c r="H657" s="3">
        <f ca="1"/>
        <v>5568877537.0812521</v>
      </c>
      <c r="I657" s="3">
        <f ca="1"/>
        <v>3887853</v>
      </c>
      <c r="J657" s="3">
        <f ca="1"/>
        <v>45319.0864</v>
      </c>
      <c r="K657" s="3">
        <f ca="1"/>
        <v>2974396037.6857204</v>
      </c>
    </row>
    <row r="658" spans="1:11" x14ac:dyDescent="0.3">
      <c r="A658" s="10">
        <f ca="1"/>
        <v>45354.229166666664</v>
      </c>
      <c r="B658" s="20">
        <f ca="1"/>
        <v>61987.28</v>
      </c>
      <c r="C658" s="20">
        <f ca="1"/>
        <v>63231.88</v>
      </c>
      <c r="D658" s="20">
        <f ca="1"/>
        <v>61320</v>
      </c>
      <c r="E658" s="20">
        <f ca="1"/>
        <v>63113.97</v>
      </c>
      <c r="F658" s="3">
        <f ca="1"/>
        <v>28994.909029999999</v>
      </c>
      <c r="G658" s="10">
        <f ca="1"/>
        <v>45355.229166655095</v>
      </c>
      <c r="H658" s="3">
        <f ca="1"/>
        <v>1804536272.9443457</v>
      </c>
      <c r="I658" s="3">
        <f ca="1"/>
        <v>1992011</v>
      </c>
      <c r="J658" s="3">
        <f ca="1"/>
        <v>14905.186</v>
      </c>
      <c r="K658" s="3">
        <f ca="1"/>
        <v>927868983.73084307</v>
      </c>
    </row>
    <row r="659" spans="1:11" x14ac:dyDescent="0.3">
      <c r="A659" s="10">
        <f ca="1"/>
        <v>45353.229166666664</v>
      </c>
      <c r="B659" s="20">
        <f ca="1"/>
        <v>62387.9</v>
      </c>
      <c r="C659" s="20">
        <f ca="1"/>
        <v>62433.19</v>
      </c>
      <c r="D659" s="20">
        <f ca="1"/>
        <v>61561.120000000003</v>
      </c>
      <c r="E659" s="20">
        <f ca="1"/>
        <v>61987.28</v>
      </c>
      <c r="F659" s="3">
        <f ca="1"/>
        <v>25534.73659</v>
      </c>
      <c r="G659" s="10">
        <f ca="1"/>
        <v>45354.229166655095</v>
      </c>
      <c r="H659" s="3">
        <f ca="1"/>
        <v>1582566973.8340931</v>
      </c>
      <c r="I659" s="3">
        <f ca="1"/>
        <v>1641808</v>
      </c>
      <c r="J659" s="3">
        <f ca="1"/>
        <v>12691.377210000001</v>
      </c>
      <c r="K659" s="3">
        <f ca="1"/>
        <v>786583052.0862726</v>
      </c>
    </row>
    <row r="660" spans="1:11" x14ac:dyDescent="0.3">
      <c r="A660" s="10">
        <f ca="1"/>
        <v>45352.229166666664</v>
      </c>
      <c r="B660" s="20">
        <f ca="1"/>
        <v>61130.99</v>
      </c>
      <c r="C660" s="20">
        <f ca="1"/>
        <v>63114.23</v>
      </c>
      <c r="D660" s="20">
        <f ca="1"/>
        <v>60777</v>
      </c>
      <c r="E660" s="20">
        <f ca="1"/>
        <v>62387.9</v>
      </c>
      <c r="F660" s="3">
        <f ca="1"/>
        <v>47737.934730000001</v>
      </c>
      <c r="G660" s="10">
        <f ca="1"/>
        <v>45353.229166655095</v>
      </c>
      <c r="H660" s="3">
        <f ca="1"/>
        <v>2956537377.9660296</v>
      </c>
      <c r="I660" s="3">
        <f ca="1"/>
        <v>1947444</v>
      </c>
      <c r="J660" s="3">
        <f ca="1"/>
        <v>24195.702519999999</v>
      </c>
      <c r="K660" s="3">
        <f ca="1"/>
        <v>1498771144.099956</v>
      </c>
    </row>
    <row r="661" spans="1:11" x14ac:dyDescent="0.3">
      <c r="A661" s="10">
        <f ca="1"/>
        <v>45351.229166666664</v>
      </c>
      <c r="B661" s="20">
        <f ca="1"/>
        <v>62432.11</v>
      </c>
      <c r="C661" s="20">
        <f ca="1"/>
        <v>63676.35</v>
      </c>
      <c r="D661" s="20">
        <f ca="1"/>
        <v>60364.7</v>
      </c>
      <c r="E661" s="20">
        <f ca="1"/>
        <v>61130.98</v>
      </c>
      <c r="F661" s="3">
        <f ca="1"/>
        <v>78425.076029999997</v>
      </c>
      <c r="G661" s="10">
        <f ca="1"/>
        <v>45352.229166655095</v>
      </c>
      <c r="H661" s="3">
        <f ca="1"/>
        <v>4872212871.2760801</v>
      </c>
      <c r="I661" s="3">
        <f ca="1"/>
        <v>3169405</v>
      </c>
      <c r="J661" s="3">
        <f ca="1"/>
        <v>39463.069309999999</v>
      </c>
      <c r="K661" s="3">
        <f ca="1"/>
        <v>2452515504.8686514</v>
      </c>
    </row>
    <row r="662" spans="1:11" x14ac:dyDescent="0.3">
      <c r="A662" s="10">
        <f ca="1"/>
        <v>45350.229166666664</v>
      </c>
      <c r="B662" s="20">
        <f ca="1"/>
        <v>57037.35</v>
      </c>
      <c r="C662" s="20">
        <f ca="1"/>
        <v>64000</v>
      </c>
      <c r="D662" s="20">
        <f ca="1"/>
        <v>56691.85</v>
      </c>
      <c r="E662" s="20">
        <f ca="1"/>
        <v>62432.1</v>
      </c>
      <c r="F662" s="3">
        <f ca="1"/>
        <v>118763.46984000001</v>
      </c>
      <c r="G662" s="10">
        <f ca="1"/>
        <v>45351.229166655095</v>
      </c>
      <c r="H662" s="3">
        <f ca="1"/>
        <v>7162581994.4857397</v>
      </c>
      <c r="I662" s="3">
        <f ca="1"/>
        <v>3895062</v>
      </c>
      <c r="J662" s="3">
        <f ca="1"/>
        <v>62066.639360000001</v>
      </c>
      <c r="K662" s="3">
        <f ca="1"/>
        <v>3742433894.9450765</v>
      </c>
    </row>
    <row r="663" spans="1:11" x14ac:dyDescent="0.3">
      <c r="A663" s="10">
        <f ca="1"/>
        <v>45349.229166666664</v>
      </c>
      <c r="B663" s="20">
        <f ca="1"/>
        <v>54476.480000000003</v>
      </c>
      <c r="C663" s="20">
        <f ca="1"/>
        <v>57588.15</v>
      </c>
      <c r="D663" s="20">
        <f ca="1"/>
        <v>54450.13</v>
      </c>
      <c r="E663" s="20">
        <f ca="1"/>
        <v>57037.34</v>
      </c>
      <c r="F663" s="3">
        <f ca="1"/>
        <v>67194.985620000007</v>
      </c>
      <c r="G663" s="10">
        <f ca="1"/>
        <v>45350.229166655095</v>
      </c>
      <c r="H663" s="3">
        <f ca="1"/>
        <v>3795949115.2249317</v>
      </c>
      <c r="I663" s="3">
        <f ca="1"/>
        <v>2414285</v>
      </c>
      <c r="J663" s="3">
        <f ca="1"/>
        <v>34970.258849999998</v>
      </c>
      <c r="K663" s="3">
        <f ca="1"/>
        <v>1975472154.5115738</v>
      </c>
    </row>
    <row r="664" spans="1:11" x14ac:dyDescent="0.3">
      <c r="A664" s="10">
        <f ca="1"/>
        <v>45348.229166666664</v>
      </c>
      <c r="B664" s="20">
        <f ca="1"/>
        <v>51728.85</v>
      </c>
      <c r="C664" s="20">
        <f ca="1"/>
        <v>54910</v>
      </c>
      <c r="D664" s="20">
        <f ca="1"/>
        <v>50901.440000000002</v>
      </c>
      <c r="E664" s="20">
        <f ca="1"/>
        <v>54476.47</v>
      </c>
      <c r="F664" s="3">
        <f ca="1"/>
        <v>51256.721989999998</v>
      </c>
      <c r="G664" s="10">
        <f ca="1"/>
        <v>45349.229166655095</v>
      </c>
      <c r="H664" s="3">
        <f ca="1"/>
        <v>2710403072.9805951</v>
      </c>
      <c r="I664" s="3">
        <f ca="1"/>
        <v>1808909</v>
      </c>
      <c r="J664" s="3">
        <f ca="1"/>
        <v>27198.835510000001</v>
      </c>
      <c r="K664" s="3">
        <f ca="1"/>
        <v>1438371804.1101012</v>
      </c>
    </row>
    <row r="665" spans="1:11" x14ac:dyDescent="0.3">
      <c r="A665" s="10">
        <f ca="1"/>
        <v>45347.229166666664</v>
      </c>
      <c r="B665" s="20">
        <f ca="1"/>
        <v>51568.21</v>
      </c>
      <c r="C665" s="20">
        <f ca="1"/>
        <v>51958.55</v>
      </c>
      <c r="D665" s="20">
        <f ca="1"/>
        <v>51279.8</v>
      </c>
      <c r="E665" s="20">
        <f ca="1"/>
        <v>51728.85</v>
      </c>
      <c r="F665" s="3">
        <f ca="1"/>
        <v>18721.631590000001</v>
      </c>
      <c r="G665" s="10">
        <f ca="1"/>
        <v>45348.229166655095</v>
      </c>
      <c r="H665" s="3">
        <f ca="1"/>
        <v>966951114.45046294</v>
      </c>
      <c r="I665" s="3">
        <f ca="1"/>
        <v>923992</v>
      </c>
      <c r="J665" s="3">
        <f ca="1"/>
        <v>9544.1767199999995</v>
      </c>
      <c r="K665" s="3">
        <f ca="1"/>
        <v>492952522.6816389</v>
      </c>
    </row>
    <row r="666" spans="1:11" x14ac:dyDescent="0.3">
      <c r="A666" s="10">
        <f ca="1"/>
        <v>45346.229166666664</v>
      </c>
      <c r="B666" s="20">
        <f ca="1"/>
        <v>50744.15</v>
      </c>
      <c r="C666" s="20">
        <f ca="1"/>
        <v>51698</v>
      </c>
      <c r="D666" s="20">
        <f ca="1"/>
        <v>50585</v>
      </c>
      <c r="E666" s="20">
        <f ca="1"/>
        <v>51568.22</v>
      </c>
      <c r="F666" s="3">
        <f ca="1"/>
        <v>16560.4211</v>
      </c>
      <c r="G666" s="10">
        <f ca="1"/>
        <v>45347.229166655095</v>
      </c>
      <c r="H666" s="3">
        <f ca="1"/>
        <v>847793393.57186794</v>
      </c>
      <c r="I666" s="3">
        <f ca="1"/>
        <v>855015</v>
      </c>
      <c r="J666" s="3">
        <f ca="1"/>
        <v>8462.1562699999995</v>
      </c>
      <c r="K666" s="3">
        <f ca="1"/>
        <v>433239599.4239887</v>
      </c>
    </row>
    <row r="667" spans="1:11" x14ac:dyDescent="0.3">
      <c r="A667" s="10">
        <f ca="1"/>
        <v>45345.229166666664</v>
      </c>
      <c r="B667" s="20">
        <f ca="1"/>
        <v>51288.42</v>
      </c>
      <c r="C667" s="20">
        <f ca="1"/>
        <v>51548.54</v>
      </c>
      <c r="D667" s="20">
        <f ca="1"/>
        <v>50521</v>
      </c>
      <c r="E667" s="20">
        <f ca="1"/>
        <v>50744.15</v>
      </c>
      <c r="F667" s="3">
        <f ca="1"/>
        <v>30545.795440000002</v>
      </c>
      <c r="G667" s="10">
        <f ca="1"/>
        <v>45346.229166655095</v>
      </c>
      <c r="H667" s="3">
        <f ca="1"/>
        <v>1559143576.8296163</v>
      </c>
      <c r="I667" s="3">
        <f ca="1"/>
        <v>1487039</v>
      </c>
      <c r="J667" s="3">
        <f ca="1"/>
        <v>14610.80906</v>
      </c>
      <c r="K667" s="3">
        <f ca="1"/>
        <v>745820955.2560463</v>
      </c>
    </row>
    <row r="668" spans="1:11" x14ac:dyDescent="0.3">
      <c r="A668" s="10">
        <f ca="1"/>
        <v>45344.229166666664</v>
      </c>
      <c r="B668" s="20">
        <f ca="1"/>
        <v>51849.38</v>
      </c>
      <c r="C668" s="20">
        <f ca="1"/>
        <v>52065.78</v>
      </c>
      <c r="D668" s="20">
        <f ca="1"/>
        <v>50940.78</v>
      </c>
      <c r="E668" s="20">
        <f ca="1"/>
        <v>51288.42</v>
      </c>
      <c r="F668" s="3">
        <f ca="1"/>
        <v>35309.445740000003</v>
      </c>
      <c r="G668" s="10">
        <f ca="1"/>
        <v>45345.229166655095</v>
      </c>
      <c r="H668" s="3">
        <f ca="1"/>
        <v>1820949707.158534</v>
      </c>
      <c r="I668" s="3">
        <f ca="1"/>
        <v>1688184</v>
      </c>
      <c r="J668" s="3">
        <f ca="1"/>
        <v>17830.4673</v>
      </c>
      <c r="K668" s="3">
        <f ca="1"/>
        <v>919599483.90786171</v>
      </c>
    </row>
    <row r="669" spans="1:11" x14ac:dyDescent="0.3">
      <c r="A669" s="10">
        <f ca="1"/>
        <v>45343.229166666664</v>
      </c>
      <c r="B669" s="20">
        <f ca="1"/>
        <v>52258.82</v>
      </c>
      <c r="C669" s="20">
        <f ca="1"/>
        <v>52366.8</v>
      </c>
      <c r="D669" s="20">
        <f ca="1"/>
        <v>50625</v>
      </c>
      <c r="E669" s="20">
        <f ca="1"/>
        <v>51849.39</v>
      </c>
      <c r="F669" s="3">
        <f ca="1"/>
        <v>43079.40049</v>
      </c>
      <c r="G669" s="10">
        <f ca="1"/>
        <v>45344.229166655095</v>
      </c>
      <c r="H669" s="3">
        <f ca="1"/>
        <v>2210278288.7250948</v>
      </c>
      <c r="I669" s="3">
        <f ca="1"/>
        <v>1824860</v>
      </c>
      <c r="J669" s="3">
        <f ca="1"/>
        <v>22239.732929999998</v>
      </c>
      <c r="K669" s="3">
        <f ca="1"/>
        <v>1140905416.9562521</v>
      </c>
    </row>
    <row r="670" spans="1:11" x14ac:dyDescent="0.3">
      <c r="A670" s="10">
        <f ca="1"/>
        <v>45342.229166666664</v>
      </c>
      <c r="B670" s="20">
        <f ca="1"/>
        <v>51774.74</v>
      </c>
      <c r="C670" s="20">
        <f ca="1"/>
        <v>52985</v>
      </c>
      <c r="D670" s="20">
        <f ca="1"/>
        <v>50760.37</v>
      </c>
      <c r="E670" s="20">
        <f ca="1"/>
        <v>52258.82</v>
      </c>
      <c r="F670" s="3">
        <f ca="1"/>
        <v>49614.473180000001</v>
      </c>
      <c r="G670" s="10">
        <f ca="1"/>
        <v>45343.229166655095</v>
      </c>
      <c r="H670" s="3">
        <f ca="1"/>
        <v>2574874999.3787174</v>
      </c>
      <c r="I670" s="3">
        <f ca="1"/>
        <v>1971912</v>
      </c>
      <c r="J670" s="3">
        <f ca="1"/>
        <v>24994.250619999999</v>
      </c>
      <c r="K670" s="3">
        <f ca="1"/>
        <v>1297330385.0050933</v>
      </c>
    </row>
    <row r="671" spans="1:11" x14ac:dyDescent="0.3">
      <c r="A671" s="10">
        <f ca="1"/>
        <v>45341.229166666664</v>
      </c>
      <c r="B671" s="20">
        <f ca="1"/>
        <v>52137.68</v>
      </c>
      <c r="C671" s="20">
        <f ca="1"/>
        <v>52488.77</v>
      </c>
      <c r="D671" s="20">
        <f ca="1"/>
        <v>51677</v>
      </c>
      <c r="E671" s="20">
        <f ca="1"/>
        <v>51774.73</v>
      </c>
      <c r="F671" s="3">
        <f ca="1"/>
        <v>29534.994320000002</v>
      </c>
      <c r="G671" s="10">
        <f ca="1"/>
        <v>45342.229166655095</v>
      </c>
      <c r="H671" s="3">
        <f ca="1"/>
        <v>1539600521.6007729</v>
      </c>
      <c r="I671" s="3">
        <f ca="1"/>
        <v>1542990</v>
      </c>
      <c r="J671" s="3">
        <f ca="1"/>
        <v>15266.36204</v>
      </c>
      <c r="K671" s="3">
        <f ca="1"/>
        <v>795825023.64422357</v>
      </c>
    </row>
    <row r="672" spans="1:11" x14ac:dyDescent="0.3">
      <c r="A672" s="10">
        <f ca="1"/>
        <v>45340.229166666664</v>
      </c>
      <c r="B672" s="20">
        <f ca="1"/>
        <v>51642.64</v>
      </c>
      <c r="C672" s="20">
        <f ca="1"/>
        <v>52377</v>
      </c>
      <c r="D672" s="20">
        <f ca="1"/>
        <v>51163.28</v>
      </c>
      <c r="E672" s="20">
        <f ca="1"/>
        <v>52137.67</v>
      </c>
      <c r="F672" s="3">
        <f ca="1"/>
        <v>21992.103630000001</v>
      </c>
      <c r="G672" s="10">
        <f ca="1"/>
        <v>45341.229166655095</v>
      </c>
      <c r="H672" s="3">
        <f ca="1"/>
        <v>1139209588.4334626</v>
      </c>
      <c r="I672" s="3">
        <f ca="1"/>
        <v>1375422</v>
      </c>
      <c r="J672" s="3">
        <f ca="1"/>
        <v>11281.34692</v>
      </c>
      <c r="K672" s="3">
        <f ca="1"/>
        <v>584447328.11427224</v>
      </c>
    </row>
    <row r="673" spans="1:11" x14ac:dyDescent="0.3">
      <c r="A673" s="10">
        <f ca="1"/>
        <v>45339.229166666664</v>
      </c>
      <c r="B673" s="20">
        <f ca="1"/>
        <v>52124.1</v>
      </c>
      <c r="C673" s="20">
        <f ca="1"/>
        <v>52162.82</v>
      </c>
      <c r="D673" s="20">
        <f ca="1"/>
        <v>50625</v>
      </c>
      <c r="E673" s="20">
        <f ca="1"/>
        <v>51642.64</v>
      </c>
      <c r="F673" s="3">
        <f ca="1"/>
        <v>25674.006219999999</v>
      </c>
      <c r="G673" s="10">
        <f ca="1"/>
        <v>45340.229166655095</v>
      </c>
      <c r="H673" s="3">
        <f ca="1"/>
        <v>1319908544.979089</v>
      </c>
      <c r="I673" s="3">
        <f ca="1"/>
        <v>1427773</v>
      </c>
      <c r="J673" s="3">
        <f ca="1"/>
        <v>12655.51593</v>
      </c>
      <c r="K673" s="3">
        <f ca="1"/>
        <v>650426057.19761539</v>
      </c>
    </row>
    <row r="674" spans="1:11" x14ac:dyDescent="0.3">
      <c r="A674" s="10">
        <f ca="1"/>
        <v>45338.229166666664</v>
      </c>
      <c r="B674" s="20">
        <f ca="1"/>
        <v>51880.01</v>
      </c>
      <c r="C674" s="20">
        <f ca="1"/>
        <v>52572.08</v>
      </c>
      <c r="D674" s="20">
        <f ca="1"/>
        <v>51566</v>
      </c>
      <c r="E674" s="20">
        <f ca="1"/>
        <v>52124.11</v>
      </c>
      <c r="F674" s="3">
        <f ca="1"/>
        <v>37772.25318</v>
      </c>
      <c r="G674" s="10">
        <f ca="1"/>
        <v>45339.229166655095</v>
      </c>
      <c r="H674" s="3">
        <f ca="1"/>
        <v>1965003863.9713342</v>
      </c>
      <c r="I674" s="3">
        <f ca="1"/>
        <v>1583711</v>
      </c>
      <c r="J674" s="3">
        <f ca="1"/>
        <v>18309.898880000001</v>
      </c>
      <c r="K674" s="3">
        <f ca="1"/>
        <v>952708587.73249876</v>
      </c>
    </row>
    <row r="675" spans="1:11" x14ac:dyDescent="0.3">
      <c r="A675" s="10">
        <f ca="1"/>
        <v>45337.229166666664</v>
      </c>
      <c r="B675" s="20">
        <f ca="1"/>
        <v>51795.17</v>
      </c>
      <c r="C675" s="20">
        <f ca="1"/>
        <v>52816.62</v>
      </c>
      <c r="D675" s="20">
        <f ca="1"/>
        <v>51314</v>
      </c>
      <c r="E675" s="20">
        <f ca="1"/>
        <v>51880</v>
      </c>
      <c r="F675" s="3">
        <f ca="1"/>
        <v>53816.030550000003</v>
      </c>
      <c r="G675" s="10">
        <f ca="1"/>
        <v>45338.229166655095</v>
      </c>
      <c r="H675" s="3">
        <f ca="1"/>
        <v>2802825737.9920154</v>
      </c>
      <c r="I675" s="3">
        <f ca="1"/>
        <v>1786569</v>
      </c>
      <c r="J675" s="3">
        <f ca="1"/>
        <v>26722.58656</v>
      </c>
      <c r="K675" s="3">
        <f ca="1"/>
        <v>1391971339.715806</v>
      </c>
    </row>
    <row r="676" spans="1:11" x14ac:dyDescent="0.3">
      <c r="A676" s="10">
        <f ca="1"/>
        <v>45336.229166666664</v>
      </c>
      <c r="B676" s="20">
        <f ca="1"/>
        <v>49699.6</v>
      </c>
      <c r="C676" s="20">
        <f ca="1"/>
        <v>52043.71</v>
      </c>
      <c r="D676" s="20">
        <f ca="1"/>
        <v>49225.01</v>
      </c>
      <c r="E676" s="20">
        <f ca="1"/>
        <v>51795.17</v>
      </c>
      <c r="F676" s="3">
        <f ca="1"/>
        <v>57046.37401</v>
      </c>
      <c r="G676" s="10">
        <f ca="1"/>
        <v>45337.229166655095</v>
      </c>
      <c r="H676" s="3">
        <f ca="1"/>
        <v>2919604456.7233129</v>
      </c>
      <c r="I676" s="3">
        <f ca="1"/>
        <v>1859392</v>
      </c>
      <c r="J676" s="3">
        <f ca="1"/>
        <v>29664.5183</v>
      </c>
      <c r="K676" s="3">
        <f ca="1"/>
        <v>1518339681.3346021</v>
      </c>
    </row>
    <row r="677" spans="1:11" x14ac:dyDescent="0.3">
      <c r="A677" s="10">
        <f ca="1"/>
        <v>45335.229166666664</v>
      </c>
      <c r="B677" s="20">
        <f ca="1"/>
        <v>49917.279999999999</v>
      </c>
      <c r="C677" s="20">
        <f ca="1"/>
        <v>50368.61</v>
      </c>
      <c r="D677" s="20">
        <f ca="1"/>
        <v>48300.95</v>
      </c>
      <c r="E677" s="20">
        <f ca="1"/>
        <v>49699.59</v>
      </c>
      <c r="F677" s="3">
        <f ca="1"/>
        <v>55551.567060000001</v>
      </c>
      <c r="G677" s="10">
        <f ca="1"/>
        <v>45336.229166655095</v>
      </c>
      <c r="H677" s="3">
        <f ca="1"/>
        <v>2745025370.0674472</v>
      </c>
      <c r="I677" s="3">
        <f ca="1"/>
        <v>1741811</v>
      </c>
      <c r="J677" s="3">
        <f ca="1"/>
        <v>28409.793369999999</v>
      </c>
      <c r="K677" s="3">
        <f ca="1"/>
        <v>1403783512.6809905</v>
      </c>
    </row>
    <row r="678" spans="1:11" x14ac:dyDescent="0.3">
      <c r="A678" s="10">
        <f ca="1"/>
        <v>45334.229166666664</v>
      </c>
      <c r="B678" s="20">
        <f ca="1"/>
        <v>48300</v>
      </c>
      <c r="C678" s="20">
        <f ca="1"/>
        <v>50334.82</v>
      </c>
      <c r="D678" s="20">
        <f ca="1"/>
        <v>47710.01</v>
      </c>
      <c r="E678" s="20">
        <f ca="1"/>
        <v>49917.27</v>
      </c>
      <c r="F678" s="3">
        <f ca="1"/>
        <v>59009.967049999999</v>
      </c>
      <c r="G678" s="10">
        <f ca="1"/>
        <v>45335.229166655095</v>
      </c>
      <c r="H678" s="3">
        <f ca="1"/>
        <v>2898220863.0181804</v>
      </c>
      <c r="I678" s="3">
        <f ca="1"/>
        <v>1939394</v>
      </c>
      <c r="J678" s="3">
        <f ca="1"/>
        <v>30797.433590000001</v>
      </c>
      <c r="K678" s="3">
        <f ca="1"/>
        <v>1512688561.6888654</v>
      </c>
    </row>
    <row r="679" spans="1:11" x14ac:dyDescent="0.3">
      <c r="A679" s="10">
        <f ca="1"/>
        <v>45333.229166666664</v>
      </c>
      <c r="B679" s="20">
        <f ca="1"/>
        <v>47751.08</v>
      </c>
      <c r="C679" s="20">
        <f ca="1"/>
        <v>48592.66</v>
      </c>
      <c r="D679" s="20">
        <f ca="1"/>
        <v>47557.16</v>
      </c>
      <c r="E679" s="20">
        <f ca="1"/>
        <v>48299.99</v>
      </c>
      <c r="F679" s="3">
        <f ca="1"/>
        <v>29958.808369999999</v>
      </c>
      <c r="G679" s="10">
        <f ca="1"/>
        <v>45334.229166655095</v>
      </c>
      <c r="H679" s="3">
        <f ca="1"/>
        <v>1443314885.7714052</v>
      </c>
      <c r="I679" s="3">
        <f ca="1"/>
        <v>1407270</v>
      </c>
      <c r="J679" s="3">
        <f ca="1"/>
        <v>15741.38294</v>
      </c>
      <c r="K679" s="3">
        <f ca="1"/>
        <v>758411879.95568895</v>
      </c>
    </row>
    <row r="680" spans="1:11" x14ac:dyDescent="0.3">
      <c r="A680" s="10">
        <f ca="1"/>
        <v>45332.229166666664</v>
      </c>
      <c r="B680" s="20">
        <f ca="1"/>
        <v>47132.78</v>
      </c>
      <c r="C680" s="20">
        <f ca="1"/>
        <v>48170</v>
      </c>
      <c r="D680" s="20">
        <f ca="1"/>
        <v>46800</v>
      </c>
      <c r="E680" s="20">
        <f ca="1"/>
        <v>47751.09</v>
      </c>
      <c r="F680" s="3">
        <f ca="1"/>
        <v>24802.359359999999</v>
      </c>
      <c r="G680" s="10">
        <f ca="1"/>
        <v>45333.229166655095</v>
      </c>
      <c r="H680" s="3">
        <f ca="1"/>
        <v>1176079377.6922762</v>
      </c>
      <c r="I680" s="3">
        <f ca="1"/>
        <v>1323421</v>
      </c>
      <c r="J680" s="3">
        <f ca="1"/>
        <v>12740.699119999999</v>
      </c>
      <c r="K680" s="3">
        <f ca="1"/>
        <v>604397015.51795995</v>
      </c>
    </row>
    <row r="681" spans="1:11" x14ac:dyDescent="0.3">
      <c r="A681" s="10">
        <f ca="1"/>
        <v>45331.229166666664</v>
      </c>
      <c r="B681" s="20">
        <f ca="1"/>
        <v>45288.66</v>
      </c>
      <c r="C681" s="20">
        <f ca="1"/>
        <v>48200</v>
      </c>
      <c r="D681" s="20">
        <f ca="1"/>
        <v>45242.12</v>
      </c>
      <c r="E681" s="20">
        <f ca="1"/>
        <v>47132.77</v>
      </c>
      <c r="F681" s="3">
        <f ca="1"/>
        <v>73503.481</v>
      </c>
      <c r="G681" s="10">
        <f ca="1"/>
        <v>45332.229166655095</v>
      </c>
      <c r="H681" s="3">
        <f ca="1"/>
        <v>3453043306.4209757</v>
      </c>
      <c r="I681" s="3">
        <f ca="1"/>
        <v>2323884</v>
      </c>
      <c r="J681" s="3">
        <f ca="1"/>
        <v>37360.964189999999</v>
      </c>
      <c r="K681" s="3">
        <f ca="1"/>
        <v>1754880225.3802099</v>
      </c>
    </row>
    <row r="682" spans="1:11" x14ac:dyDescent="0.3">
      <c r="A682" s="10">
        <f ca="1"/>
        <v>45330.229166666664</v>
      </c>
      <c r="B682" s="20">
        <f ca="1"/>
        <v>44349.599999999999</v>
      </c>
      <c r="C682" s="20">
        <f ca="1"/>
        <v>45614.3</v>
      </c>
      <c r="D682" s="20">
        <f ca="1"/>
        <v>44331.1</v>
      </c>
      <c r="E682" s="20">
        <f ca="1"/>
        <v>45288.65</v>
      </c>
      <c r="F682" s="3">
        <f ca="1"/>
        <v>45439.622309999999</v>
      </c>
      <c r="G682" s="10">
        <f ca="1"/>
        <v>45331.229166655095</v>
      </c>
      <c r="H682" s="3">
        <f ca="1"/>
        <v>2042912128.1517665</v>
      </c>
      <c r="I682" s="3">
        <f ca="1"/>
        <v>1863650</v>
      </c>
      <c r="J682" s="3">
        <f ca="1"/>
        <v>22731.523969999998</v>
      </c>
      <c r="K682" s="3">
        <f ca="1"/>
        <v>1021963499.800335</v>
      </c>
    </row>
    <row r="683" spans="1:11" x14ac:dyDescent="0.3">
      <c r="A683" s="10">
        <f ca="1"/>
        <v>45329.229166666664</v>
      </c>
      <c r="B683" s="20">
        <f ca="1"/>
        <v>43098.96</v>
      </c>
      <c r="C683" s="20">
        <f ca="1"/>
        <v>44396.5</v>
      </c>
      <c r="D683" s="20">
        <f ca="1"/>
        <v>42788</v>
      </c>
      <c r="E683" s="20">
        <f ca="1"/>
        <v>44349.599999999999</v>
      </c>
      <c r="F683" s="3">
        <f ca="1"/>
        <v>34392.599150000002</v>
      </c>
      <c r="G683" s="10">
        <f ca="1"/>
        <v>45330.229166655095</v>
      </c>
      <c r="H683" s="3">
        <f ca="1"/>
        <v>1496013692.3829219</v>
      </c>
      <c r="I683" s="3">
        <f ca="1"/>
        <v>1378809</v>
      </c>
      <c r="J683" s="3">
        <f ca="1"/>
        <v>17755.877380000002</v>
      </c>
      <c r="K683" s="3">
        <f ca="1"/>
        <v>772721372.44438851</v>
      </c>
    </row>
    <row r="684" spans="1:11" x14ac:dyDescent="0.3">
      <c r="A684" s="10">
        <f ca="1"/>
        <v>45328.229166666664</v>
      </c>
      <c r="B684" s="20">
        <f ca="1"/>
        <v>42708.7</v>
      </c>
      <c r="C684" s="20">
        <f ca="1"/>
        <v>43399.98</v>
      </c>
      <c r="D684" s="20">
        <f ca="1"/>
        <v>42574</v>
      </c>
      <c r="E684" s="20">
        <f ca="1"/>
        <v>43098.95</v>
      </c>
      <c r="F684" s="3">
        <f ca="1"/>
        <v>24675.854329999998</v>
      </c>
      <c r="G684" s="10">
        <f ca="1"/>
        <v>45329.229166655095</v>
      </c>
      <c r="H684" s="3">
        <f ca="1"/>
        <v>1061049582.6002767</v>
      </c>
      <c r="I684" s="3">
        <f ca="1"/>
        <v>1120760</v>
      </c>
      <c r="J684" s="3">
        <f ca="1"/>
        <v>12810.982050000001</v>
      </c>
      <c r="K684" s="3">
        <f ca="1"/>
        <v>550866463.74091935</v>
      </c>
    </row>
    <row r="685" spans="1:11" x14ac:dyDescent="0.3">
      <c r="A685" s="10">
        <f ca="1"/>
        <v>45327.229166666664</v>
      </c>
      <c r="B685" s="20">
        <f ca="1"/>
        <v>42582.879999999997</v>
      </c>
      <c r="C685" s="20">
        <f ca="1"/>
        <v>43569.760000000002</v>
      </c>
      <c r="D685" s="20">
        <f ca="1"/>
        <v>42258.1</v>
      </c>
      <c r="E685" s="20">
        <f ca="1"/>
        <v>42708.7</v>
      </c>
      <c r="F685" s="3">
        <f ca="1"/>
        <v>29467.759050000001</v>
      </c>
      <c r="G685" s="10">
        <f ca="1"/>
        <v>45328.229166655095</v>
      </c>
      <c r="H685" s="3">
        <f ca="1"/>
        <v>1262620640.5407174</v>
      </c>
      <c r="I685" s="3">
        <f ca="1"/>
        <v>1317397</v>
      </c>
      <c r="J685" s="3">
        <f ca="1"/>
        <v>14984.06962</v>
      </c>
      <c r="K685" s="3">
        <f ca="1"/>
        <v>642077579.58272684</v>
      </c>
    </row>
    <row r="686" spans="1:11" x14ac:dyDescent="0.3">
      <c r="A686" s="10">
        <f ca="1"/>
        <v>45326.229166666664</v>
      </c>
      <c r="B686" s="20">
        <f ca="1"/>
        <v>43011.1</v>
      </c>
      <c r="C686" s="20">
        <f ca="1"/>
        <v>43119.040000000001</v>
      </c>
      <c r="D686" s="20">
        <f ca="1"/>
        <v>42222</v>
      </c>
      <c r="E686" s="20">
        <f ca="1"/>
        <v>42582.879999999997</v>
      </c>
      <c r="F686" s="3">
        <f ca="1"/>
        <v>17066.894039999999</v>
      </c>
      <c r="G686" s="10">
        <f ca="1"/>
        <v>45327.229166655095</v>
      </c>
      <c r="H686" s="3">
        <f ca="1"/>
        <v>730999557.70836818</v>
      </c>
      <c r="I686" s="3">
        <f ca="1"/>
        <v>931235</v>
      </c>
      <c r="J686" s="3">
        <f ca="1"/>
        <v>8427.1267100000005</v>
      </c>
      <c r="K686" s="3">
        <f ca="1"/>
        <v>360928641.05977219</v>
      </c>
    </row>
    <row r="687" spans="1:11" x14ac:dyDescent="0.3">
      <c r="A687" s="10">
        <f ca="1"/>
        <v>45325.229166666664</v>
      </c>
      <c r="B687" s="20">
        <f ca="1"/>
        <v>43199.99</v>
      </c>
      <c r="C687" s="20">
        <f ca="1"/>
        <v>43380.01</v>
      </c>
      <c r="D687" s="20">
        <f ca="1"/>
        <v>42880</v>
      </c>
      <c r="E687" s="20">
        <f ca="1"/>
        <v>43011.09</v>
      </c>
      <c r="F687" s="3">
        <f ca="1"/>
        <v>12033.40998</v>
      </c>
      <c r="G687" s="10">
        <f ca="1"/>
        <v>45326.229166655095</v>
      </c>
      <c r="H687" s="3">
        <f ca="1"/>
        <v>518775350.03360093</v>
      </c>
      <c r="I687" s="3">
        <f ca="1"/>
        <v>609962</v>
      </c>
      <c r="J687" s="3">
        <f ca="1"/>
        <v>5691.7857199999999</v>
      </c>
      <c r="K687" s="3">
        <f ca="1"/>
        <v>245377398.51059571</v>
      </c>
    </row>
    <row r="688" spans="1:11" x14ac:dyDescent="0.3">
      <c r="A688" s="10">
        <f ca="1"/>
        <v>45324.229166666664</v>
      </c>
      <c r="B688" s="20">
        <f ca="1"/>
        <v>43082.95</v>
      </c>
      <c r="C688" s="20">
        <f ca="1"/>
        <v>43488</v>
      </c>
      <c r="D688" s="20">
        <f ca="1"/>
        <v>42546.79</v>
      </c>
      <c r="E688" s="20">
        <f ca="1"/>
        <v>43200</v>
      </c>
      <c r="F688" s="3">
        <f ca="1"/>
        <v>29672.144179999999</v>
      </c>
      <c r="G688" s="10">
        <f ca="1"/>
        <v>45325.229166655095</v>
      </c>
      <c r="H688" s="3">
        <f ca="1"/>
        <v>1277919437.2905612</v>
      </c>
      <c r="I688" s="3">
        <f ca="1"/>
        <v>1086342</v>
      </c>
      <c r="J688" s="3">
        <f ca="1"/>
        <v>15645.571099999999</v>
      </c>
      <c r="K688" s="3">
        <f ca="1"/>
        <v>673834785.74779105</v>
      </c>
    </row>
    <row r="689" spans="1:11" x14ac:dyDescent="0.3">
      <c r="A689" s="10">
        <f ca="1"/>
        <v>45323.229166666664</v>
      </c>
      <c r="B689" s="20">
        <f ca="1"/>
        <v>42580</v>
      </c>
      <c r="C689" s="20">
        <f ca="1"/>
        <v>43285.13</v>
      </c>
      <c r="D689" s="20">
        <f ca="1"/>
        <v>41884.28</v>
      </c>
      <c r="E689" s="20">
        <f ca="1"/>
        <v>43082.94</v>
      </c>
      <c r="F689" s="3">
        <f ca="1"/>
        <v>35231.04664</v>
      </c>
      <c r="G689" s="10">
        <f ca="1"/>
        <v>45324.229166655095</v>
      </c>
      <c r="H689" s="3">
        <f ca="1"/>
        <v>1497121440.6440022</v>
      </c>
      <c r="I689" s="3">
        <f ca="1"/>
        <v>1392269</v>
      </c>
      <c r="J689" s="3">
        <f ca="1"/>
        <v>18134.84304</v>
      </c>
      <c r="K689" s="3">
        <f ca="1"/>
        <v>770635549.48421276</v>
      </c>
    </row>
    <row r="690" spans="1:11" x14ac:dyDescent="0.3">
      <c r="A690" s="10">
        <f ca="1"/>
        <v>45322.229166666664</v>
      </c>
      <c r="B690" s="20">
        <f ca="1"/>
        <v>42941.1</v>
      </c>
      <c r="C690" s="20">
        <f ca="1"/>
        <v>43745.11</v>
      </c>
      <c r="D690" s="20">
        <f ca="1"/>
        <v>42276.84</v>
      </c>
      <c r="E690" s="20">
        <f ca="1"/>
        <v>42580</v>
      </c>
      <c r="F690" s="3">
        <f ca="1"/>
        <v>39871.136879999998</v>
      </c>
      <c r="G690" s="10">
        <f ca="1"/>
        <v>45323.229166655095</v>
      </c>
      <c r="H690" s="3">
        <f ca="1"/>
        <v>1711665577.0530825</v>
      </c>
      <c r="I690" s="3">
        <f ca="1"/>
        <v>1499559</v>
      </c>
      <c r="J690" s="3">
        <f ca="1"/>
        <v>20289.948250000001</v>
      </c>
      <c r="K690" s="3">
        <f ca="1"/>
        <v>871009715.17022073</v>
      </c>
    </row>
    <row r="691" spans="1:11" x14ac:dyDescent="0.3">
      <c r="A691" s="10">
        <f ca="1"/>
        <v>45321.229166666664</v>
      </c>
      <c r="B691" s="20">
        <f ca="1"/>
        <v>43302.71</v>
      </c>
      <c r="C691" s="20">
        <f ca="1"/>
        <v>43882.36</v>
      </c>
      <c r="D691" s="20">
        <f ca="1"/>
        <v>42683.99</v>
      </c>
      <c r="E691" s="20">
        <f ca="1"/>
        <v>42941.1</v>
      </c>
      <c r="F691" s="3">
        <f ca="1"/>
        <v>37619.245459999998</v>
      </c>
      <c r="G691" s="10">
        <f ca="1"/>
        <v>45322.229166655095</v>
      </c>
      <c r="H691" s="3">
        <f ca="1"/>
        <v>1633251085.6713595</v>
      </c>
      <c r="I691" s="3">
        <f ca="1"/>
        <v>1316610</v>
      </c>
      <c r="J691" s="3">
        <f ca="1"/>
        <v>19317.299930000001</v>
      </c>
      <c r="K691" s="3">
        <f ca="1"/>
        <v>838876408.45566845</v>
      </c>
    </row>
    <row r="692" spans="1:11" x14ac:dyDescent="0.3">
      <c r="A692" s="10">
        <f ca="1"/>
        <v>45320.229166666664</v>
      </c>
      <c r="B692" s="20">
        <f ca="1"/>
        <v>42031.05</v>
      </c>
      <c r="C692" s="20">
        <f ca="1"/>
        <v>43333</v>
      </c>
      <c r="D692" s="20">
        <f ca="1"/>
        <v>41804.879999999997</v>
      </c>
      <c r="E692" s="20">
        <f ca="1"/>
        <v>43302.7</v>
      </c>
      <c r="F692" s="3">
        <f ca="1"/>
        <v>31542.74207</v>
      </c>
      <c r="G692" s="10">
        <f ca="1"/>
        <v>45321.229166655095</v>
      </c>
      <c r="H692" s="3">
        <f ca="1"/>
        <v>1343462280.3618684</v>
      </c>
      <c r="I692" s="3">
        <f ca="1"/>
        <v>1197856</v>
      </c>
      <c r="J692" s="3">
        <f ca="1"/>
        <v>15996.886270000001</v>
      </c>
      <c r="K692" s="3">
        <f ca="1"/>
        <v>681504721.35851264</v>
      </c>
    </row>
    <row r="693" spans="1:11" x14ac:dyDescent="0.3">
      <c r="A693" s="10">
        <f ca="1"/>
        <v>45319.229166666664</v>
      </c>
      <c r="B693" s="20">
        <f ca="1"/>
        <v>42120.63</v>
      </c>
      <c r="C693" s="20">
        <f ca="1"/>
        <v>42842.68</v>
      </c>
      <c r="D693" s="20">
        <f ca="1"/>
        <v>41620.81</v>
      </c>
      <c r="E693" s="20">
        <f ca="1"/>
        <v>42031.06</v>
      </c>
      <c r="F693" s="3">
        <f ca="1"/>
        <v>27294.998380000001</v>
      </c>
      <c r="G693" s="10">
        <f ca="1"/>
        <v>45320.229166655095</v>
      </c>
      <c r="H693" s="3">
        <f ca="1"/>
        <v>1154365891.6682587</v>
      </c>
      <c r="I693" s="3">
        <f ca="1"/>
        <v>1032493</v>
      </c>
      <c r="J693" s="3">
        <f ca="1"/>
        <v>12971.188200000001</v>
      </c>
      <c r="K693" s="3">
        <f ca="1"/>
        <v>548670338.63940096</v>
      </c>
    </row>
    <row r="694" spans="1:11" x14ac:dyDescent="0.3">
      <c r="A694" s="10">
        <f ca="1"/>
        <v>45318.229166666664</v>
      </c>
      <c r="B694" s="20">
        <f ca="1"/>
        <v>41823.51</v>
      </c>
      <c r="C694" s="20">
        <f ca="1"/>
        <v>42200</v>
      </c>
      <c r="D694" s="20">
        <f ca="1"/>
        <v>41394.339999999997</v>
      </c>
      <c r="E694" s="20">
        <f ca="1"/>
        <v>42120.63</v>
      </c>
      <c r="F694" s="3">
        <f ca="1"/>
        <v>16224.416670000001</v>
      </c>
      <c r="G694" s="10">
        <f ca="1"/>
        <v>45319.229166655095</v>
      </c>
      <c r="H694" s="3">
        <f ca="1"/>
        <v>678418702.35094452</v>
      </c>
      <c r="I694" s="3">
        <f ca="1"/>
        <v>751148</v>
      </c>
      <c r="J694" s="3">
        <f ca="1"/>
        <v>7485.6497799999997</v>
      </c>
      <c r="K694" s="3">
        <f ca="1"/>
        <v>312938659.24802428</v>
      </c>
    </row>
    <row r="695" spans="1:11" x14ac:dyDescent="0.3">
      <c r="A695" s="10">
        <f ca="1"/>
        <v>45317.229166666664</v>
      </c>
      <c r="B695" s="20">
        <f ca="1"/>
        <v>39961.089999999997</v>
      </c>
      <c r="C695" s="20">
        <f ca="1"/>
        <v>42246.82</v>
      </c>
      <c r="D695" s="20">
        <f ca="1"/>
        <v>39822.519999999997</v>
      </c>
      <c r="E695" s="20">
        <f ca="1"/>
        <v>41823.51</v>
      </c>
      <c r="F695" s="3">
        <f ca="1"/>
        <v>47384.967259999998</v>
      </c>
      <c r="G695" s="10">
        <f ca="1"/>
        <v>45318.229166655095</v>
      </c>
      <c r="H695" s="3">
        <f ca="1"/>
        <v>1951700659.2898071</v>
      </c>
      <c r="I695" s="3">
        <f ca="1"/>
        <v>1624861</v>
      </c>
      <c r="J695" s="3">
        <f ca="1"/>
        <v>24674.755509999999</v>
      </c>
      <c r="K695" s="3">
        <f ca="1"/>
        <v>1016105199.7171212</v>
      </c>
    </row>
    <row r="696" spans="1:11" x14ac:dyDescent="0.3">
      <c r="A696" s="10">
        <f ca="1"/>
        <v>45316.229166666664</v>
      </c>
      <c r="B696" s="20">
        <f ca="1"/>
        <v>40084.89</v>
      </c>
      <c r="C696" s="20">
        <f ca="1"/>
        <v>40300.239999999998</v>
      </c>
      <c r="D696" s="20">
        <f ca="1"/>
        <v>39550</v>
      </c>
      <c r="E696" s="20">
        <f ca="1"/>
        <v>39961.089999999997</v>
      </c>
      <c r="F696" s="3">
        <f ca="1"/>
        <v>31022.11853</v>
      </c>
      <c r="G696" s="10">
        <f ca="1"/>
        <v>45317.229166655095</v>
      </c>
      <c r="H696" s="3">
        <f ca="1"/>
        <v>1238813296.1526136</v>
      </c>
      <c r="I696" s="3">
        <f ca="1"/>
        <v>1291233</v>
      </c>
      <c r="J696" s="3">
        <f ca="1"/>
        <v>15685.24919</v>
      </c>
      <c r="K696" s="3">
        <f ca="1"/>
        <v>626369240.3733964</v>
      </c>
    </row>
    <row r="697" spans="1:11" x14ac:dyDescent="0.3">
      <c r="A697" s="10">
        <f ca="1"/>
        <v>45315.229166666664</v>
      </c>
      <c r="B697" s="20">
        <f ca="1"/>
        <v>39897.589999999997</v>
      </c>
      <c r="C697" s="20">
        <f ca="1"/>
        <v>40555</v>
      </c>
      <c r="D697" s="20">
        <f ca="1"/>
        <v>39484.19</v>
      </c>
      <c r="E697" s="20">
        <f ca="1"/>
        <v>40084.879999999997</v>
      </c>
      <c r="F697" s="3">
        <f ca="1"/>
        <v>39293.828609999997</v>
      </c>
      <c r="G697" s="10">
        <f ca="1"/>
        <v>45316.229166655095</v>
      </c>
      <c r="H697" s="3">
        <f ca="1"/>
        <v>1569704923.8307493</v>
      </c>
      <c r="I697" s="3">
        <f ca="1"/>
        <v>1675615</v>
      </c>
      <c r="J697" s="3">
        <f ca="1"/>
        <v>20673.057250000002</v>
      </c>
      <c r="K697" s="3">
        <f ca="1"/>
        <v>825887009.47442257</v>
      </c>
    </row>
    <row r="698" spans="1:11" x14ac:dyDescent="0.3">
      <c r="A698" s="10">
        <f ca="1"/>
        <v>45314.229166666664</v>
      </c>
      <c r="B698" s="20">
        <f ca="1"/>
        <v>39568.019999999997</v>
      </c>
      <c r="C698" s="20">
        <f ca="1"/>
        <v>40176.74</v>
      </c>
      <c r="D698" s="20">
        <f ca="1"/>
        <v>38555</v>
      </c>
      <c r="E698" s="20">
        <f ca="1"/>
        <v>39897.599999999999</v>
      </c>
      <c r="F698" s="3">
        <f ca="1"/>
        <v>57956.63351</v>
      </c>
      <c r="G698" s="10">
        <f ca="1"/>
        <v>45315.229166655095</v>
      </c>
      <c r="H698" s="3">
        <f ca="1"/>
        <v>2275851990.6468267</v>
      </c>
      <c r="I698" s="3">
        <f ca="1"/>
        <v>2043925</v>
      </c>
      <c r="J698" s="3">
        <f ca="1"/>
        <v>30913.97177</v>
      </c>
      <c r="K698" s="3">
        <f ca="1"/>
        <v>1214417243.6964118</v>
      </c>
    </row>
    <row r="699" spans="1:11" x14ac:dyDescent="0.3">
      <c r="A699" s="10">
        <f ca="1"/>
        <v>45313.229166666664</v>
      </c>
      <c r="B699" s="20">
        <f ca="1"/>
        <v>41580.32</v>
      </c>
      <c r="C699" s="20">
        <f ca="1"/>
        <v>41689.65</v>
      </c>
      <c r="D699" s="20">
        <f ca="1"/>
        <v>39431.58</v>
      </c>
      <c r="E699" s="20">
        <f ca="1"/>
        <v>39568.019999999997</v>
      </c>
      <c r="F699" s="3">
        <f ca="1"/>
        <v>55426.199110000001</v>
      </c>
      <c r="G699" s="10">
        <f ca="1"/>
        <v>45314.229166655095</v>
      </c>
      <c r="H699" s="3">
        <f ca="1"/>
        <v>2247452153.7954326</v>
      </c>
      <c r="I699" s="3">
        <f ca="1"/>
        <v>2147250</v>
      </c>
      <c r="J699" s="3">
        <f ca="1"/>
        <v>26788.13985</v>
      </c>
      <c r="K699" s="3">
        <f ca="1"/>
        <v>1086650848.0670526</v>
      </c>
    </row>
    <row r="700" spans="1:11" x14ac:dyDescent="0.3">
      <c r="A700" s="10">
        <f ca="1"/>
        <v>45312.229166666664</v>
      </c>
      <c r="B700" s="20">
        <f ca="1"/>
        <v>41696.050000000003</v>
      </c>
      <c r="C700" s="20">
        <f ca="1"/>
        <v>41881.39</v>
      </c>
      <c r="D700" s="20">
        <f ca="1"/>
        <v>41500.980000000003</v>
      </c>
      <c r="E700" s="20">
        <f ca="1"/>
        <v>41580.33</v>
      </c>
      <c r="F700" s="3">
        <f ca="1"/>
        <v>11730.16301</v>
      </c>
      <c r="G700" s="10">
        <f ca="1"/>
        <v>45313.229166655095</v>
      </c>
      <c r="H700" s="3">
        <f ca="1"/>
        <v>489151571.03090429</v>
      </c>
      <c r="I700" s="3">
        <f ca="1"/>
        <v>657817</v>
      </c>
      <c r="J700" s="3">
        <f ca="1"/>
        <v>5576.5604499999999</v>
      </c>
      <c r="K700" s="3">
        <f ca="1"/>
        <v>232552207.1607329</v>
      </c>
    </row>
    <row r="701" spans="1:11" x14ac:dyDescent="0.3">
      <c r="A701" s="10">
        <f ca="1"/>
        <v>45311.229166666664</v>
      </c>
      <c r="B701" s="20">
        <f ca="1"/>
        <v>41659.03</v>
      </c>
      <c r="C701" s="20">
        <f ca="1"/>
        <v>41872.559999999998</v>
      </c>
      <c r="D701" s="20">
        <f ca="1"/>
        <v>41456.300000000003</v>
      </c>
      <c r="E701" s="20">
        <f ca="1"/>
        <v>41696.04</v>
      </c>
      <c r="F701" s="3">
        <f ca="1"/>
        <v>15923.994930000001</v>
      </c>
      <c r="G701" s="10">
        <f ca="1"/>
        <v>45312.229166655095</v>
      </c>
      <c r="H701" s="3">
        <f ca="1"/>
        <v>662768008.15093434</v>
      </c>
      <c r="I701" s="3">
        <f ca="1"/>
        <v>807324</v>
      </c>
      <c r="J701" s="3">
        <f ca="1"/>
        <v>7557.3663200000001</v>
      </c>
      <c r="K701" s="3">
        <f ca="1"/>
        <v>314535141.99556363</v>
      </c>
    </row>
    <row r="702" spans="1:11" x14ac:dyDescent="0.3">
      <c r="A702" s="10">
        <f ca="1"/>
        <v>45310.229166666664</v>
      </c>
      <c r="B702" s="20">
        <f ca="1"/>
        <v>41327.51</v>
      </c>
      <c r="C702" s="20">
        <f ca="1"/>
        <v>42196.86</v>
      </c>
      <c r="D702" s="20">
        <f ca="1"/>
        <v>40280</v>
      </c>
      <c r="E702" s="20">
        <f ca="1"/>
        <v>41659.03</v>
      </c>
      <c r="F702" s="3">
        <f ca="1"/>
        <v>48342.745589999999</v>
      </c>
      <c r="G702" s="10">
        <f ca="1"/>
        <v>45311.229166655095</v>
      </c>
      <c r="H702" s="3">
        <f ca="1"/>
        <v>1993846466.5387518</v>
      </c>
      <c r="I702" s="3">
        <f ca="1"/>
        <v>1641428</v>
      </c>
      <c r="J702" s="3">
        <f ca="1"/>
        <v>24347.500199999999</v>
      </c>
      <c r="K702" s="3">
        <f ca="1"/>
        <v>1004478721.3792055</v>
      </c>
    </row>
    <row r="703" spans="1:11" x14ac:dyDescent="0.3">
      <c r="A703" s="10">
        <f ca="1"/>
        <v>45309.229166666664</v>
      </c>
      <c r="B703" s="20">
        <f ca="1"/>
        <v>42776.09</v>
      </c>
      <c r="C703" s="20">
        <f ca="1"/>
        <v>42930</v>
      </c>
      <c r="D703" s="20">
        <f ca="1"/>
        <v>40683.279999999999</v>
      </c>
      <c r="E703" s="20">
        <f ca="1"/>
        <v>41327.5</v>
      </c>
      <c r="F703" s="3">
        <f ca="1"/>
        <v>43907.516409999997</v>
      </c>
      <c r="G703" s="10">
        <f ca="1"/>
        <v>45310.229166655095</v>
      </c>
      <c r="H703" s="3">
        <f ca="1"/>
        <v>1839426541.2635789</v>
      </c>
      <c r="I703" s="3">
        <f ca="1"/>
        <v>1466087</v>
      </c>
      <c r="J703" s="3">
        <f ca="1"/>
        <v>21085.143359999998</v>
      </c>
      <c r="K703" s="3">
        <f ca="1"/>
        <v>883292634.20636368</v>
      </c>
    </row>
    <row r="704" spans="1:11" x14ac:dyDescent="0.3">
      <c r="A704" s="10">
        <f ca="1"/>
        <v>45308.229166666664</v>
      </c>
      <c r="B704" s="20">
        <f ca="1"/>
        <v>43137.94</v>
      </c>
      <c r="C704" s="20">
        <f ca="1"/>
        <v>43198</v>
      </c>
      <c r="D704" s="20">
        <f ca="1"/>
        <v>42200.69</v>
      </c>
      <c r="E704" s="20">
        <f ca="1"/>
        <v>42776.1</v>
      </c>
      <c r="F704" s="3">
        <f ca="1"/>
        <v>33266.213880000003</v>
      </c>
      <c r="G704" s="10">
        <f ca="1"/>
        <v>45309.229166655095</v>
      </c>
      <c r="H704" s="3">
        <f ca="1"/>
        <v>1419888430.9228892</v>
      </c>
      <c r="I704" s="3">
        <f ca="1"/>
        <v>1438172</v>
      </c>
      <c r="J704" s="3">
        <f ca="1"/>
        <v>16648.205290000002</v>
      </c>
      <c r="K704" s="3">
        <f ca="1"/>
        <v>710532768.04757786</v>
      </c>
    </row>
    <row r="705" spans="1:11" x14ac:dyDescent="0.3">
      <c r="A705" s="10">
        <f ca="1"/>
        <v>45307.229166666664</v>
      </c>
      <c r="B705" s="20">
        <f ca="1"/>
        <v>42511.1</v>
      </c>
      <c r="C705" s="20">
        <f ca="1"/>
        <v>43578.01</v>
      </c>
      <c r="D705" s="20">
        <f ca="1"/>
        <v>42050</v>
      </c>
      <c r="E705" s="20">
        <f ca="1"/>
        <v>43137.95</v>
      </c>
      <c r="F705" s="3">
        <f ca="1"/>
        <v>45045.745889999998</v>
      </c>
      <c r="G705" s="10">
        <f ca="1"/>
        <v>45308.229166655095</v>
      </c>
      <c r="H705" s="3">
        <f ca="1"/>
        <v>1931947150.0590701</v>
      </c>
      <c r="I705" s="3">
        <f ca="1"/>
        <v>1716580</v>
      </c>
      <c r="J705" s="3">
        <f ca="1"/>
        <v>24064.556670000002</v>
      </c>
      <c r="K705" s="3">
        <f ca="1"/>
        <v>1031525441.9352086</v>
      </c>
    </row>
    <row r="706" spans="1:11" x14ac:dyDescent="0.3">
      <c r="A706" s="10">
        <f ca="1"/>
        <v>45306.229166666664</v>
      </c>
      <c r="B706" s="20">
        <f ca="1"/>
        <v>41732.35</v>
      </c>
      <c r="C706" s="20">
        <f ca="1"/>
        <v>43400.43</v>
      </c>
      <c r="D706" s="20">
        <f ca="1"/>
        <v>41718.050000000003</v>
      </c>
      <c r="E706" s="20">
        <f ca="1"/>
        <v>42511.1</v>
      </c>
      <c r="F706" s="3">
        <f ca="1"/>
        <v>40269.893029999999</v>
      </c>
      <c r="G706" s="10">
        <f ca="1"/>
        <v>45307.229166655095</v>
      </c>
      <c r="H706" s="3">
        <f ca="1"/>
        <v>1718982911.1081028</v>
      </c>
      <c r="I706" s="3">
        <f ca="1"/>
        <v>1657611</v>
      </c>
      <c r="J706" s="3">
        <f ca="1"/>
        <v>19924.760300000002</v>
      </c>
      <c r="K706" s="3">
        <f ca="1"/>
        <v>849997411.08758295</v>
      </c>
    </row>
    <row r="707" spans="1:11" x14ac:dyDescent="0.3">
      <c r="A707" s="10">
        <f ca="1"/>
        <v>45305.229166666664</v>
      </c>
      <c r="B707" s="20">
        <f ca="1"/>
        <v>42847.99</v>
      </c>
      <c r="C707" s="20">
        <f ca="1"/>
        <v>43079</v>
      </c>
      <c r="D707" s="20">
        <f ca="1"/>
        <v>41720</v>
      </c>
      <c r="E707" s="20">
        <f ca="1"/>
        <v>41732.35</v>
      </c>
      <c r="F707" s="3">
        <f ca="1"/>
        <v>28228.408940000001</v>
      </c>
      <c r="G707" s="10">
        <f ca="1"/>
        <v>45306.229166655095</v>
      </c>
      <c r="H707" s="3">
        <f ca="1"/>
        <v>1202212782.2576931</v>
      </c>
      <c r="I707" s="3">
        <f ca="1"/>
        <v>1235727</v>
      </c>
      <c r="J707" s="3">
        <f ca="1"/>
        <v>13690.308429999999</v>
      </c>
      <c r="K707" s="3">
        <f ca="1"/>
        <v>583261659.73857605</v>
      </c>
    </row>
    <row r="708" spans="1:11" x14ac:dyDescent="0.3">
      <c r="A708" s="10">
        <f ca="1"/>
        <v>45304.229166666664</v>
      </c>
      <c r="B708" s="20">
        <f ca="1"/>
        <v>42782.74</v>
      </c>
      <c r="C708" s="20">
        <f ca="1"/>
        <v>43257</v>
      </c>
      <c r="D708" s="20">
        <f ca="1"/>
        <v>42436.12</v>
      </c>
      <c r="E708" s="20">
        <f ca="1"/>
        <v>42847.99</v>
      </c>
      <c r="F708" s="3">
        <f ca="1"/>
        <v>36118.47464</v>
      </c>
      <c r="G708" s="10">
        <f ca="1"/>
        <v>45305.229166655095</v>
      </c>
      <c r="H708" s="3">
        <f ca="1"/>
        <v>1547370611.5531662</v>
      </c>
      <c r="I708" s="3">
        <f ca="1"/>
        <v>1434243</v>
      </c>
      <c r="J708" s="3">
        <f ca="1"/>
        <v>17748.098239999999</v>
      </c>
      <c r="K708" s="3">
        <f ca="1"/>
        <v>760432218.24545515</v>
      </c>
    </row>
    <row r="709" spans="1:11" x14ac:dyDescent="0.3">
      <c r="A709" s="10">
        <f ca="1"/>
        <v>45303.229166666664</v>
      </c>
      <c r="B709" s="20">
        <f ca="1"/>
        <v>46339.16</v>
      </c>
      <c r="C709" s="20">
        <f ca="1"/>
        <v>46515.53</v>
      </c>
      <c r="D709" s="20">
        <f ca="1"/>
        <v>41500</v>
      </c>
      <c r="E709" s="20">
        <f ca="1"/>
        <v>42782.73</v>
      </c>
      <c r="F709" s="3">
        <f ca="1"/>
        <v>86327.93707</v>
      </c>
      <c r="G709" s="10">
        <f ca="1"/>
        <v>45304.229166655095</v>
      </c>
      <c r="H709" s="3">
        <f ca="1"/>
        <v>3827483735.576057</v>
      </c>
      <c r="I709" s="3">
        <f ca="1"/>
        <v>2809192</v>
      </c>
      <c r="J709" s="3">
        <f ca="1"/>
        <v>41707.58066</v>
      </c>
      <c r="K709" s="3">
        <f ca="1"/>
        <v>1850840878.9778297</v>
      </c>
    </row>
    <row r="710" spans="1:11" x14ac:dyDescent="0.3">
      <c r="A710" s="10">
        <f ca="1"/>
        <v>45302.229166666664</v>
      </c>
      <c r="B710" s="20">
        <f ca="1"/>
        <v>46654</v>
      </c>
      <c r="C710" s="20">
        <f ca="1"/>
        <v>48969.48</v>
      </c>
      <c r="D710" s="20">
        <f ca="1"/>
        <v>45606.06</v>
      </c>
      <c r="E710" s="20">
        <f ca="1"/>
        <v>46339.16</v>
      </c>
      <c r="F710" s="3">
        <f ca="1"/>
        <v>87470.329599999997</v>
      </c>
      <c r="G710" s="10">
        <f ca="1"/>
        <v>45303.229166655095</v>
      </c>
      <c r="H710" s="3">
        <f ca="1"/>
        <v>4105139605.0283022</v>
      </c>
      <c r="I710" s="3">
        <f ca="1"/>
        <v>2998451</v>
      </c>
      <c r="J710" s="3">
        <f ca="1"/>
        <v>44076.168299999998</v>
      </c>
      <c r="K710" s="3">
        <f ca="1"/>
        <v>2070467939.6599925</v>
      </c>
    </row>
    <row r="711" spans="1:11" x14ac:dyDescent="0.3">
      <c r="A711" s="10">
        <f ca="1"/>
        <v>45301.229166666664</v>
      </c>
      <c r="B711" s="20">
        <f ca="1"/>
        <v>46110</v>
      </c>
      <c r="C711" s="20">
        <f ca="1"/>
        <v>47695.93</v>
      </c>
      <c r="D711" s="20">
        <f ca="1"/>
        <v>44300.36</v>
      </c>
      <c r="E711" s="20">
        <f ca="1"/>
        <v>46653.99</v>
      </c>
      <c r="F711" s="3">
        <f ca="1"/>
        <v>89911.412030000007</v>
      </c>
      <c r="G711" s="10">
        <f ca="1"/>
        <v>45302.229166655095</v>
      </c>
      <c r="H711" s="3">
        <f ca="1"/>
        <v>4123809481.7127671</v>
      </c>
      <c r="I711" s="3">
        <f ca="1"/>
        <v>3133588</v>
      </c>
      <c r="J711" s="3">
        <f ca="1"/>
        <v>46910.794390000003</v>
      </c>
      <c r="K711" s="3">
        <f ca="1"/>
        <v>2153126701.3521643</v>
      </c>
    </row>
    <row r="712" spans="1:11" x14ac:dyDescent="0.3">
      <c r="A712" s="10">
        <f ca="1"/>
        <v>45300.229166666664</v>
      </c>
      <c r="B712" s="20">
        <f ca="1"/>
        <v>46951.040000000001</v>
      </c>
      <c r="C712" s="20">
        <f ca="1"/>
        <v>47972</v>
      </c>
      <c r="D712" s="20">
        <f ca="1"/>
        <v>44748.67</v>
      </c>
      <c r="E712" s="20">
        <f ca="1"/>
        <v>46110</v>
      </c>
      <c r="F712" s="3">
        <f ca="1"/>
        <v>69927.666169999997</v>
      </c>
      <c r="G712" s="10">
        <f ca="1"/>
        <v>45301.229166655095</v>
      </c>
      <c r="H712" s="3">
        <f ca="1"/>
        <v>3251442072.8083963</v>
      </c>
      <c r="I712" s="3">
        <f ca="1"/>
        <v>2637745</v>
      </c>
      <c r="J712" s="3">
        <f ca="1"/>
        <v>34825.454290000001</v>
      </c>
      <c r="K712" s="3">
        <f ca="1"/>
        <v>1620151226.3362696</v>
      </c>
    </row>
    <row r="713" spans="1:11" x14ac:dyDescent="0.3">
      <c r="A713" s="10">
        <f ca="1"/>
        <v>45299.229166666664</v>
      </c>
      <c r="B713" s="20">
        <f ca="1"/>
        <v>43929.01</v>
      </c>
      <c r="C713" s="20">
        <f ca="1"/>
        <v>47248.99</v>
      </c>
      <c r="D713" s="20">
        <f ca="1"/>
        <v>43175</v>
      </c>
      <c r="E713" s="20">
        <f ca="1"/>
        <v>46951.040000000001</v>
      </c>
      <c r="F713" s="3">
        <f ca="1"/>
        <v>72814.575889999993</v>
      </c>
      <c r="G713" s="10">
        <f ca="1"/>
        <v>45300.229166655095</v>
      </c>
      <c r="H713" s="3">
        <f ca="1"/>
        <v>3298772150.6815076</v>
      </c>
      <c r="I713" s="3">
        <f ca="1"/>
        <v>2364464</v>
      </c>
      <c r="J713" s="3">
        <f ca="1"/>
        <v>38728.8053</v>
      </c>
      <c r="K713" s="3">
        <f ca="1"/>
        <v>1755312207.6681833</v>
      </c>
    </row>
    <row r="714" spans="1:11" x14ac:dyDescent="0.3">
      <c r="A714" s="10">
        <f ca="1"/>
        <v>45298.229166666664</v>
      </c>
      <c r="B714" s="20">
        <f ca="1"/>
        <v>43968.32</v>
      </c>
      <c r="C714" s="20">
        <f ca="1"/>
        <v>44480.59</v>
      </c>
      <c r="D714" s="20">
        <f ca="1"/>
        <v>43572.09</v>
      </c>
      <c r="E714" s="20">
        <f ca="1"/>
        <v>43929.02</v>
      </c>
      <c r="F714" s="3">
        <f ca="1"/>
        <v>23023.8508</v>
      </c>
      <c r="G714" s="10">
        <f ca="1"/>
        <v>45299.229166655095</v>
      </c>
      <c r="H714" s="3">
        <f ca="1"/>
        <v>1014635096.1241482</v>
      </c>
      <c r="I714" s="3">
        <f ca="1"/>
        <v>1109259</v>
      </c>
      <c r="J714" s="3">
        <f ca="1"/>
        <v>11613.52347</v>
      </c>
      <c r="K714" s="3">
        <f ca="1"/>
        <v>511871007.52582628</v>
      </c>
    </row>
    <row r="715" spans="1:11" x14ac:dyDescent="0.3">
      <c r="A715" s="10">
        <f ca="1"/>
        <v>45297.229166666664</v>
      </c>
      <c r="B715" s="20">
        <f ca="1"/>
        <v>44145.120000000003</v>
      </c>
      <c r="C715" s="20">
        <f ca="1"/>
        <v>44214.42</v>
      </c>
      <c r="D715" s="20">
        <f ca="1"/>
        <v>43397.05</v>
      </c>
      <c r="E715" s="20">
        <f ca="1"/>
        <v>43968.32</v>
      </c>
      <c r="F715" s="3">
        <f ca="1"/>
        <v>17835.061440000001</v>
      </c>
      <c r="G715" s="10">
        <f ca="1"/>
        <v>45298.229166655095</v>
      </c>
      <c r="H715" s="3">
        <f ca="1"/>
        <v>781212883.49160612</v>
      </c>
      <c r="I715" s="3">
        <f ca="1"/>
        <v>956642</v>
      </c>
      <c r="J715" s="3">
        <f ca="1"/>
        <v>9048.5707299999995</v>
      </c>
      <c r="K715" s="3">
        <f ca="1"/>
        <v>396341787.36387759</v>
      </c>
    </row>
    <row r="716" spans="1:11" x14ac:dyDescent="0.3">
      <c r="A716" s="10">
        <f ca="1"/>
        <v>45296.229166666664</v>
      </c>
      <c r="B716" s="20">
        <f ca="1"/>
        <v>44151.1</v>
      </c>
      <c r="C716" s="20">
        <f ca="1"/>
        <v>44357.46</v>
      </c>
      <c r="D716" s="20">
        <f ca="1"/>
        <v>42450</v>
      </c>
      <c r="E716" s="20">
        <f ca="1"/>
        <v>44145.11</v>
      </c>
      <c r="F716" s="3">
        <f ca="1"/>
        <v>48075.253270000001</v>
      </c>
      <c r="G716" s="10">
        <f ca="1"/>
        <v>45297.229166655095</v>
      </c>
      <c r="H716" s="3">
        <f ca="1"/>
        <v>2100953924.3687155</v>
      </c>
      <c r="I716" s="3">
        <f ca="1"/>
        <v>2064845</v>
      </c>
      <c r="J716" s="3">
        <f ca="1"/>
        <v>24015.064259999999</v>
      </c>
      <c r="K716" s="3">
        <f ca="1"/>
        <v>1049655019.1400094</v>
      </c>
    </row>
    <row r="717" spans="1:11" x14ac:dyDescent="0.3">
      <c r="A717" s="10">
        <f ca="1"/>
        <v>45295.229166666664</v>
      </c>
      <c r="B717" s="20">
        <f ca="1"/>
        <v>42845.23</v>
      </c>
      <c r="C717" s="20">
        <f ca="1"/>
        <v>44729.58</v>
      </c>
      <c r="D717" s="20">
        <f ca="1"/>
        <v>42613.77</v>
      </c>
      <c r="E717" s="20">
        <f ca="1"/>
        <v>44151.1</v>
      </c>
      <c r="F717" s="3">
        <f ca="1"/>
        <v>48038.063340000001</v>
      </c>
      <c r="G717" s="10">
        <f ca="1"/>
        <v>45296.229166655095</v>
      </c>
      <c r="H717" s="3">
        <f ca="1"/>
        <v>2095095359.4936347</v>
      </c>
      <c r="I717" s="3">
        <f ca="1"/>
        <v>1819944</v>
      </c>
      <c r="J717" s="3">
        <f ca="1"/>
        <v>23605.900590000001</v>
      </c>
      <c r="K717" s="3">
        <f ca="1"/>
        <v>1030075267.839013</v>
      </c>
    </row>
    <row r="718" spans="1:11" x14ac:dyDescent="0.3">
      <c r="A718" s="10">
        <f ca="1"/>
        <v>45294.229166666664</v>
      </c>
      <c r="B718" s="20">
        <f ca="1"/>
        <v>44946.91</v>
      </c>
      <c r="C718" s="20">
        <f ca="1"/>
        <v>45500</v>
      </c>
      <c r="D718" s="20">
        <f ca="1"/>
        <v>40750</v>
      </c>
      <c r="E718" s="20">
        <f ca="1"/>
        <v>42845.23</v>
      </c>
      <c r="F718" s="3">
        <f ca="1"/>
        <v>81194.551730000007</v>
      </c>
      <c r="G718" s="10">
        <f ca="1"/>
        <v>45295.229166655095</v>
      </c>
      <c r="H718" s="3">
        <f ca="1"/>
        <v>3507104563.7442322</v>
      </c>
      <c r="I718" s="3">
        <f ca="1"/>
        <v>2658041</v>
      </c>
      <c r="J718" s="3">
        <f ca="1"/>
        <v>39103.991620000001</v>
      </c>
      <c r="K718" s="3">
        <f ca="1"/>
        <v>1687665202.9513144</v>
      </c>
    </row>
    <row r="719" spans="1:11" x14ac:dyDescent="0.3">
      <c r="A719" s="10">
        <f ca="1"/>
        <v>45293.229166666664</v>
      </c>
      <c r="B719" s="20">
        <f ca="1"/>
        <v>44179.55</v>
      </c>
      <c r="C719" s="20">
        <f ca="1"/>
        <v>45879.63</v>
      </c>
      <c r="D719" s="20">
        <f ca="1"/>
        <v>44148.34</v>
      </c>
      <c r="E719" s="20">
        <f ca="1"/>
        <v>44946.91</v>
      </c>
      <c r="F719" s="3">
        <f ca="1"/>
        <v>65146.406609999998</v>
      </c>
      <c r="G719" s="10">
        <f ca="1"/>
        <v>45294.229166655095</v>
      </c>
      <c r="H719" s="3">
        <f ca="1"/>
        <v>2944331821.8230762</v>
      </c>
      <c r="I719" s="3">
        <f ca="1"/>
        <v>2247532</v>
      </c>
      <c r="J719" s="3">
        <f ca="1"/>
        <v>33817.144469999999</v>
      </c>
      <c r="K719" s="3">
        <f ca="1"/>
        <v>1527964124.2375848</v>
      </c>
    </row>
    <row r="720" spans="1:11" x14ac:dyDescent="0.3">
      <c r="A720" s="10">
        <f ca="1"/>
        <v>45292.229166666664</v>
      </c>
      <c r="B720" s="20">
        <f ca="1"/>
        <v>42283.58</v>
      </c>
      <c r="C720" s="20">
        <f ca="1"/>
        <v>44184.1</v>
      </c>
      <c r="D720" s="20">
        <f ca="1"/>
        <v>42180.77</v>
      </c>
      <c r="E720" s="20">
        <f ca="1"/>
        <v>44179.55</v>
      </c>
      <c r="F720" s="3">
        <f ca="1"/>
        <v>27174.299029999998</v>
      </c>
      <c r="G720" s="10">
        <f ca="1"/>
        <v>45293.229166655095</v>
      </c>
      <c r="H720" s="3">
        <f ca="1"/>
        <v>1169995682.0280013</v>
      </c>
      <c r="I720" s="3">
        <f ca="1"/>
        <v>1114623</v>
      </c>
      <c r="J720" s="3">
        <f ca="1"/>
        <v>14331.7318</v>
      </c>
      <c r="K720" s="3">
        <f ca="1"/>
        <v>617352094.56051946</v>
      </c>
    </row>
    <row r="721" spans="1:11" x14ac:dyDescent="0.3">
      <c r="A721" s="10">
        <f ca="1"/>
        <v>45291.229166666664</v>
      </c>
      <c r="B721" s="20">
        <f ca="1"/>
        <v>42140.29</v>
      </c>
      <c r="C721" s="20">
        <f ca="1"/>
        <v>42899</v>
      </c>
      <c r="D721" s="20">
        <f ca="1"/>
        <v>41965.84</v>
      </c>
      <c r="E721" s="20">
        <f ca="1"/>
        <v>42283.58</v>
      </c>
      <c r="F721" s="3">
        <f ca="1"/>
        <v>23585.91603</v>
      </c>
      <c r="G721" s="10">
        <f ca="1"/>
        <v>45292.229166655095</v>
      </c>
      <c r="H721" s="3">
        <f ca="1"/>
        <v>1001519241.5559053</v>
      </c>
      <c r="I721" s="3">
        <f ca="1"/>
        <v>1016484</v>
      </c>
      <c r="J721" s="3">
        <f ca="1"/>
        <v>11997.148649999999</v>
      </c>
      <c r="K721" s="3">
        <f ca="1"/>
        <v>509478742.74451083</v>
      </c>
    </row>
    <row r="722" spans="1:11" x14ac:dyDescent="0.3">
      <c r="A722" s="10">
        <f ca="1"/>
        <v>45290.229166666664</v>
      </c>
      <c r="B722" s="20">
        <f ca="1"/>
        <v>42066.94</v>
      </c>
      <c r="C722" s="20">
        <f ca="1"/>
        <v>42612.32</v>
      </c>
      <c r="D722" s="20">
        <f ca="1"/>
        <v>41520.300000000003</v>
      </c>
      <c r="E722" s="20">
        <f ca="1"/>
        <v>42140.28</v>
      </c>
      <c r="F722" s="3">
        <f ca="1"/>
        <v>22906.57818</v>
      </c>
      <c r="G722" s="10">
        <f ca="1"/>
        <v>45291.229166655095</v>
      </c>
      <c r="H722" s="3">
        <f ca="1"/>
        <v>964875790.98493505</v>
      </c>
      <c r="I722" s="3">
        <f ca="1"/>
        <v>936545</v>
      </c>
      <c r="J722" s="3">
        <f ca="1"/>
        <v>11727.696480000001</v>
      </c>
      <c r="K722" s="3">
        <f ca="1"/>
        <v>494133887.90718108</v>
      </c>
    </row>
    <row r="723" spans="1:11" x14ac:dyDescent="0.3">
      <c r="A723" s="10">
        <f ca="1"/>
        <v>45289.229166666664</v>
      </c>
      <c r="B723" s="20">
        <f ca="1"/>
        <v>42563.76</v>
      </c>
      <c r="C723" s="20">
        <f ca="1"/>
        <v>43111</v>
      </c>
      <c r="D723" s="20">
        <f ca="1"/>
        <v>41300</v>
      </c>
      <c r="E723" s="20">
        <f ca="1"/>
        <v>42066.95</v>
      </c>
      <c r="F723" s="3">
        <f ca="1"/>
        <v>42597.189120000003</v>
      </c>
      <c r="G723" s="10">
        <f ca="1"/>
        <v>45290.229166655095</v>
      </c>
      <c r="H723" s="3">
        <f ca="1"/>
        <v>1803086285.2465775</v>
      </c>
      <c r="I723" s="3">
        <f ca="1"/>
        <v>1571137</v>
      </c>
      <c r="J723" s="3">
        <f ca="1"/>
        <v>21195.341280000001</v>
      </c>
      <c r="K723" s="3">
        <f ca="1"/>
        <v>897324724.7968955</v>
      </c>
    </row>
    <row r="724" spans="1:11" x14ac:dyDescent="0.3">
      <c r="A724" s="10">
        <f ca="1"/>
        <v>45288.229166666664</v>
      </c>
      <c r="B724" s="20">
        <f ca="1"/>
        <v>43428.86</v>
      </c>
      <c r="C724" s="20">
        <f ca="1"/>
        <v>43787.57</v>
      </c>
      <c r="D724" s="20">
        <f ca="1"/>
        <v>42241.79</v>
      </c>
      <c r="E724" s="20">
        <f ca="1"/>
        <v>42563.76</v>
      </c>
      <c r="F724" s="3">
        <f ca="1"/>
        <v>35150.524850000002</v>
      </c>
      <c r="G724" s="10">
        <f ca="1"/>
        <v>45289.229166655095</v>
      </c>
      <c r="H724" s="3">
        <f ca="1"/>
        <v>1508408742.3780811</v>
      </c>
      <c r="I724" s="3">
        <f ca="1"/>
        <v>1391826</v>
      </c>
      <c r="J724" s="3">
        <f ca="1"/>
        <v>17422.819100000001</v>
      </c>
      <c r="K724" s="3">
        <f ca="1"/>
        <v>747631903.05539894</v>
      </c>
    </row>
    <row r="725" spans="1:11" x14ac:dyDescent="0.3">
      <c r="A725" s="10">
        <f ca="1"/>
        <v>45287.229166666664</v>
      </c>
      <c r="B725" s="20">
        <f ca="1"/>
        <v>42508.93</v>
      </c>
      <c r="C725" s="20">
        <f ca="1"/>
        <v>43677</v>
      </c>
      <c r="D725" s="20">
        <f ca="1"/>
        <v>42098.69</v>
      </c>
      <c r="E725" s="20">
        <f ca="1"/>
        <v>43428.85</v>
      </c>
      <c r="F725" s="3">
        <f ca="1"/>
        <v>36191.211360000001</v>
      </c>
      <c r="G725" s="10">
        <f ca="1"/>
        <v>45288.229166655095</v>
      </c>
      <c r="H725" s="3">
        <f ca="1"/>
        <v>1554082990.0522759</v>
      </c>
      <c r="I725" s="3">
        <f ca="1"/>
        <v>1439770</v>
      </c>
      <c r="J725" s="3">
        <f ca="1"/>
        <v>18982.83267</v>
      </c>
      <c r="K725" s="3">
        <f ca="1"/>
        <v>815239612.61736405</v>
      </c>
    </row>
    <row r="726" spans="1:11" x14ac:dyDescent="0.3">
      <c r="A726" s="10">
        <f ca="1"/>
        <v>45286.229166666664</v>
      </c>
      <c r="B726" s="20">
        <f ca="1"/>
        <v>43576.12</v>
      </c>
      <c r="C726" s="20">
        <f ca="1"/>
        <v>43592.68</v>
      </c>
      <c r="D726" s="20">
        <f ca="1"/>
        <v>41637.599999999999</v>
      </c>
      <c r="E726" s="20">
        <f ca="1"/>
        <v>42508.93</v>
      </c>
      <c r="F726" s="3">
        <f ca="1"/>
        <v>41010.042820000002</v>
      </c>
      <c r="G726" s="10">
        <f ca="1"/>
        <v>45287.229166655095</v>
      </c>
      <c r="H726" s="3">
        <f ca="1"/>
        <v>1746333612.304945</v>
      </c>
      <c r="I726" s="3">
        <f ca="1"/>
        <v>1475816</v>
      </c>
      <c r="J726" s="3">
        <f ca="1"/>
        <v>21096.16634</v>
      </c>
      <c r="K726" s="3">
        <f ca="1"/>
        <v>898267435.23798299</v>
      </c>
    </row>
    <row r="727" spans="1:11" x14ac:dyDescent="0.3">
      <c r="A727" s="10">
        <f ca="1"/>
        <v>45285.229166666664</v>
      </c>
      <c r="B727" s="20">
        <f ca="1"/>
        <v>42991.5</v>
      </c>
      <c r="C727" s="20">
        <f ca="1"/>
        <v>43802.32</v>
      </c>
      <c r="D727" s="20">
        <f ca="1"/>
        <v>42720.43</v>
      </c>
      <c r="E727" s="20">
        <f ca="1"/>
        <v>43576.13</v>
      </c>
      <c r="F727" s="3">
        <f ca="1"/>
        <v>27021.23992</v>
      </c>
      <c r="G727" s="10">
        <f ca="1"/>
        <v>45286.229166655095</v>
      </c>
      <c r="H727" s="3">
        <f ca="1"/>
        <v>1172053386.5109816</v>
      </c>
      <c r="I727" s="3">
        <f ca="1"/>
        <v>1168428</v>
      </c>
      <c r="J727" s="3">
        <f ca="1"/>
        <v>13691.239299999999</v>
      </c>
      <c r="K727" s="3">
        <f ca="1"/>
        <v>593900885.80314624</v>
      </c>
    </row>
    <row r="728" spans="1:11" x14ac:dyDescent="0.3">
      <c r="A728" s="10">
        <f ca="1"/>
        <v>45284.229166666664</v>
      </c>
      <c r="B728" s="20">
        <f ca="1"/>
        <v>43702.15</v>
      </c>
      <c r="C728" s="20">
        <f ca="1"/>
        <v>43946</v>
      </c>
      <c r="D728" s="20">
        <f ca="1"/>
        <v>42500</v>
      </c>
      <c r="E728" s="20">
        <f ca="1"/>
        <v>42991.5</v>
      </c>
      <c r="F728" s="3">
        <f ca="1"/>
        <v>25144.33496</v>
      </c>
      <c r="G728" s="10">
        <f ca="1"/>
        <v>45285.229166655095</v>
      </c>
      <c r="H728" s="3">
        <f ca="1"/>
        <v>1093460634.8894227</v>
      </c>
      <c r="I728" s="3">
        <f ca="1"/>
        <v>1137678</v>
      </c>
      <c r="J728" s="3">
        <f ca="1"/>
        <v>11841.26614</v>
      </c>
      <c r="K728" s="3">
        <f ca="1"/>
        <v>514962029.17833471</v>
      </c>
    </row>
    <row r="729" spans="1:11" x14ac:dyDescent="0.3">
      <c r="A729" s="10">
        <f ca="1"/>
        <v>45283.229166666664</v>
      </c>
      <c r="B729" s="20">
        <f ca="1"/>
        <v>43969.04</v>
      </c>
      <c r="C729" s="20">
        <f ca="1"/>
        <v>43988.68</v>
      </c>
      <c r="D729" s="20">
        <f ca="1"/>
        <v>43291.1</v>
      </c>
      <c r="E729" s="20">
        <f ca="1"/>
        <v>43702.16</v>
      </c>
      <c r="F729" s="3">
        <f ca="1"/>
        <v>16557.129300000001</v>
      </c>
      <c r="G729" s="10">
        <f ca="1"/>
        <v>45284.229166655095</v>
      </c>
      <c r="H729" s="3">
        <f ca="1"/>
        <v>722943825.33321762</v>
      </c>
      <c r="I729" s="3">
        <f ca="1"/>
        <v>849658</v>
      </c>
      <c r="J729" s="3">
        <f ca="1"/>
        <v>7765.3056399999996</v>
      </c>
      <c r="K729" s="3">
        <f ca="1"/>
        <v>339046509.1677196</v>
      </c>
    </row>
    <row r="730" spans="1:11" x14ac:dyDescent="0.3">
      <c r="A730" s="10">
        <f ca="1"/>
        <v>45282.229166666664</v>
      </c>
      <c r="B730" s="20">
        <f ca="1"/>
        <v>43861.79</v>
      </c>
      <c r="C730" s="20">
        <f ca="1"/>
        <v>44398.26</v>
      </c>
      <c r="D730" s="20">
        <f ca="1"/>
        <v>43412.54</v>
      </c>
      <c r="E730" s="20">
        <f ca="1"/>
        <v>43969.04</v>
      </c>
      <c r="F730" s="3">
        <f ca="1"/>
        <v>32783.196380000001</v>
      </c>
      <c r="G730" s="10">
        <f ca="1"/>
        <v>45283.229166655095</v>
      </c>
      <c r="H730" s="3">
        <f ca="1"/>
        <v>1436074497.5128598</v>
      </c>
      <c r="I730" s="3">
        <f ca="1"/>
        <v>1404109</v>
      </c>
      <c r="J730" s="3">
        <f ca="1"/>
        <v>16049.222750000001</v>
      </c>
      <c r="K730" s="3">
        <f ca="1"/>
        <v>703199211.03931963</v>
      </c>
    </row>
    <row r="731" spans="1:11" x14ac:dyDescent="0.3">
      <c r="A731" s="10">
        <f ca="1"/>
        <v>45281.229166666664</v>
      </c>
      <c r="B731" s="20">
        <f ca="1"/>
        <v>43668.92</v>
      </c>
      <c r="C731" s="20">
        <f ca="1"/>
        <v>44242.35</v>
      </c>
      <c r="D731" s="20">
        <f ca="1"/>
        <v>43286.720000000001</v>
      </c>
      <c r="E731" s="20">
        <f ca="1"/>
        <v>43861.8</v>
      </c>
      <c r="F731" s="3">
        <f ca="1"/>
        <v>34624.293839999998</v>
      </c>
      <c r="G731" s="10">
        <f ca="1"/>
        <v>45282.229166655095</v>
      </c>
      <c r="H731" s="3">
        <f ca="1"/>
        <v>1514529919.1877797</v>
      </c>
      <c r="I731" s="3">
        <f ca="1"/>
        <v>1500702</v>
      </c>
      <c r="J731" s="3">
        <f ca="1"/>
        <v>17058.89545</v>
      </c>
      <c r="K731" s="3">
        <f ca="1"/>
        <v>746266380.76924038</v>
      </c>
    </row>
    <row r="732" spans="1:11" x14ac:dyDescent="0.3">
      <c r="A732" s="10">
        <f ca="1"/>
        <v>45280.229166666664</v>
      </c>
      <c r="B732" s="20">
        <f ca="1"/>
        <v>42275.99</v>
      </c>
      <c r="C732" s="20">
        <f ca="1"/>
        <v>44283</v>
      </c>
      <c r="D732" s="20">
        <f ca="1"/>
        <v>42206</v>
      </c>
      <c r="E732" s="20">
        <f ca="1"/>
        <v>43668.93</v>
      </c>
      <c r="F732" s="3">
        <f ca="1"/>
        <v>48710.294699999999</v>
      </c>
      <c r="G732" s="10">
        <f ca="1"/>
        <v>45281.229166655095</v>
      </c>
      <c r="H732" s="3">
        <f ca="1"/>
        <v>2115813869.779619</v>
      </c>
      <c r="I732" s="3">
        <f ca="1"/>
        <v>1934588</v>
      </c>
      <c r="J732" s="3">
        <f ca="1"/>
        <v>23912.13682</v>
      </c>
      <c r="K732" s="3">
        <f ca="1"/>
        <v>1038694005.7761399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488-4D67-472A-9D7C-3E0EE715076D}">
  <sheetPr codeName="Sheet8">
    <tabColor theme="9" tint="0.39997558519241921"/>
  </sheetPr>
  <dimension ref="A1:K501"/>
  <sheetViews>
    <sheetView workbookViewId="0">
      <selection activeCell="A2" sqref="A2"/>
    </sheetView>
  </sheetViews>
  <sheetFormatPr defaultRowHeight="14.4" x14ac:dyDescent="0.3"/>
  <cols>
    <col min="1" max="1" width="16.21875" style="11" bestFit="1" customWidth="1"/>
    <col min="2" max="5" width="11.33203125" style="13" bestFit="1" customWidth="1"/>
    <col min="6" max="6" width="11" style="9" bestFit="1" customWidth="1"/>
    <col min="7" max="7" width="16.109375" style="11" bestFit="1" customWidth="1"/>
    <col min="8" max="8" width="17.44140625" style="9" bestFit="1" customWidth="1"/>
    <col min="9" max="9" width="15.5546875" style="9" bestFit="1" customWidth="1"/>
    <col min="10" max="10" width="15.6640625" style="9" bestFit="1" customWidth="1"/>
    <col min="11" max="11" width="17" style="9" bestFit="1" customWidth="1"/>
    <col min="12" max="16384" width="8.88671875" style="9"/>
  </cols>
  <sheetData>
    <row r="1" spans="1:11" x14ac:dyDescent="0.3">
      <c r="A1" s="1" t="str" cm="1">
        <f t="array" ref="A1">_xll.KlineStream("BTCUSDT","15m",500)</f>
        <v xml:space="preserve">no close frame received or sent: Traceback (most recent call last):
  File "C:\Program Files\Python311\Lib\asyncio\proactor_events.py", line 305, in _loop_reading
    self._read_fut = self._loop._proactor.recv_into(self._sock, self._data)
                     ^^^^^^^^^^^^^^^^^^^^^^^^^^^^^^^^^^^^^^^^^^^^^^^^^^^^^^
  File "C:\Program Files\Python311\Lib\asyncio\windows_events.py", line 486, in recv_into
    ov.WSARecvInto(conn.fileno(), buf, flags)
ConnectionResetError: [WinError 10054] An existing connection was forcibly closed by the remote host
The above exception was the direct cause of the following exception:
Traceback (most recent call last):
  File "C:\Program Files\Python311\Lib\site-packages\xloil\register.py", line 192, in run_async
    async for result in fn(*args, **kwargs):
  File "C:\Users\HP\Desktop\MIS_Project\Bitcoin\Data\KlineStream.py", line 118, in KlineStream
    async for raw in ws:
  File "C:\Program Files\Python311\Lib\site-packages\websockets\asyncio\connection.py", line 242, in __aiter__
    yield await self.recv()
          ^^^^^^^^^^^^^^^^^
  File "C:\Program Files\Python311\Lib\site-packages\websockets\asyncio\connection.py", line 322, in recv
    raise self.protocol.close_exc from self.recv_exc
websockets.exceptions.ConnectionClosedError: no close frame received or sent
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4"/>
      <c r="B2" s="15"/>
      <c r="C2" s="15"/>
      <c r="D2" s="15"/>
      <c r="E2" s="15"/>
      <c r="F2" s="16"/>
      <c r="G2" s="14"/>
      <c r="H2" s="16"/>
      <c r="I2" s="16"/>
      <c r="J2" s="16"/>
      <c r="K2" s="16"/>
    </row>
    <row r="3" spans="1:11" x14ac:dyDescent="0.3">
      <c r="A3" s="10"/>
      <c r="B3" s="12"/>
      <c r="C3" s="12"/>
      <c r="D3" s="12"/>
      <c r="E3" s="12"/>
      <c r="F3" s="3"/>
      <c r="G3" s="10"/>
      <c r="H3" s="3"/>
      <c r="I3" s="3"/>
      <c r="J3" s="3"/>
      <c r="K3" s="3"/>
    </row>
    <row r="4" spans="1:11" x14ac:dyDescent="0.3">
      <c r="A4" s="10"/>
      <c r="B4" s="12"/>
      <c r="C4" s="12"/>
      <c r="D4" s="12"/>
      <c r="E4" s="12"/>
      <c r="F4" s="3"/>
      <c r="G4" s="10"/>
      <c r="H4" s="3"/>
      <c r="I4" s="3"/>
      <c r="J4" s="3"/>
      <c r="K4" s="3"/>
    </row>
    <row r="5" spans="1:11" x14ac:dyDescent="0.3">
      <c r="A5" s="10"/>
      <c r="B5" s="12"/>
      <c r="C5" s="12"/>
      <c r="D5" s="12"/>
      <c r="E5" s="12"/>
      <c r="F5" s="3"/>
      <c r="G5" s="10"/>
      <c r="H5" s="3"/>
      <c r="I5" s="3"/>
      <c r="J5" s="3"/>
      <c r="K5" s="3"/>
    </row>
    <row r="6" spans="1:11" x14ac:dyDescent="0.3">
      <c r="A6" s="10"/>
      <c r="B6" s="12"/>
      <c r="C6" s="12"/>
      <c r="D6" s="12"/>
      <c r="E6" s="12"/>
      <c r="F6" s="3"/>
      <c r="G6" s="10"/>
      <c r="H6" s="3"/>
      <c r="I6" s="3"/>
      <c r="J6" s="3"/>
      <c r="K6" s="3"/>
    </row>
    <row r="7" spans="1:11" x14ac:dyDescent="0.3">
      <c r="A7" s="10"/>
      <c r="B7" s="12"/>
      <c r="C7" s="12"/>
      <c r="D7" s="12"/>
      <c r="E7" s="12"/>
      <c r="F7" s="3"/>
      <c r="G7" s="10"/>
      <c r="H7" s="3"/>
      <c r="I7" s="3"/>
      <c r="J7" s="3"/>
      <c r="K7" s="3"/>
    </row>
    <row r="8" spans="1:11" x14ac:dyDescent="0.3">
      <c r="A8" s="10"/>
      <c r="B8" s="12"/>
      <c r="C8" s="12"/>
      <c r="D8" s="12"/>
      <c r="E8" s="12"/>
      <c r="F8" s="3"/>
      <c r="G8" s="10"/>
      <c r="H8" s="3"/>
      <c r="I8" s="3"/>
      <c r="J8" s="3"/>
      <c r="K8" s="3"/>
    </row>
    <row r="9" spans="1:11" x14ac:dyDescent="0.3">
      <c r="A9" s="10"/>
      <c r="B9" s="12"/>
      <c r="C9" s="12"/>
      <c r="D9" s="12"/>
      <c r="E9" s="12"/>
      <c r="F9" s="3"/>
      <c r="G9" s="10"/>
      <c r="H9" s="3"/>
      <c r="I9" s="3"/>
      <c r="J9" s="3"/>
      <c r="K9" s="3"/>
    </row>
    <row r="10" spans="1:11" x14ac:dyDescent="0.3">
      <c r="A10" s="10"/>
      <c r="B10" s="12"/>
      <c r="C10" s="12"/>
      <c r="D10" s="12"/>
      <c r="E10" s="12"/>
      <c r="F10" s="3"/>
      <c r="G10" s="10"/>
      <c r="H10" s="3"/>
      <c r="I10" s="3"/>
      <c r="J10" s="3"/>
      <c r="K10" s="3"/>
    </row>
    <row r="11" spans="1:11" x14ac:dyDescent="0.3">
      <c r="A11" s="10"/>
      <c r="B11" s="12"/>
      <c r="C11" s="12"/>
      <c r="D11" s="12"/>
      <c r="E11" s="12"/>
      <c r="F11" s="3"/>
      <c r="G11" s="10"/>
      <c r="H11" s="3"/>
      <c r="I11" s="3"/>
      <c r="J11" s="3"/>
      <c r="K11" s="3"/>
    </row>
    <row r="12" spans="1:11" x14ac:dyDescent="0.3">
      <c r="A12" s="10"/>
      <c r="B12" s="12"/>
      <c r="C12" s="12"/>
      <c r="D12" s="12"/>
      <c r="E12" s="12"/>
      <c r="F12" s="3"/>
      <c r="G12" s="10"/>
      <c r="H12" s="3"/>
      <c r="I12" s="3"/>
      <c r="J12" s="3"/>
      <c r="K12" s="3"/>
    </row>
    <row r="13" spans="1:11" x14ac:dyDescent="0.3">
      <c r="A13" s="10"/>
      <c r="B13" s="12"/>
      <c r="C13" s="12"/>
      <c r="D13" s="12"/>
      <c r="E13" s="12"/>
      <c r="F13" s="3"/>
      <c r="G13" s="10"/>
      <c r="H13" s="3"/>
      <c r="I13" s="3"/>
      <c r="J13" s="3"/>
      <c r="K13" s="3"/>
    </row>
    <row r="14" spans="1:11" x14ac:dyDescent="0.3">
      <c r="A14" s="10"/>
      <c r="B14" s="12"/>
      <c r="C14" s="12"/>
      <c r="D14" s="12"/>
      <c r="E14" s="12"/>
      <c r="F14" s="3"/>
      <c r="G14" s="10"/>
      <c r="H14" s="3"/>
      <c r="I14" s="3"/>
      <c r="J14" s="3"/>
      <c r="K14" s="3"/>
    </row>
    <row r="15" spans="1:11" x14ac:dyDescent="0.3">
      <c r="A15" s="10"/>
      <c r="B15" s="12"/>
      <c r="C15" s="12"/>
      <c r="D15" s="12"/>
      <c r="E15" s="12"/>
      <c r="F15" s="3"/>
      <c r="G15" s="10"/>
      <c r="H15" s="3"/>
      <c r="I15" s="3"/>
      <c r="J15" s="3"/>
      <c r="K15" s="3"/>
    </row>
    <row r="16" spans="1:11" x14ac:dyDescent="0.3">
      <c r="A16" s="10"/>
      <c r="B16" s="12"/>
      <c r="C16" s="12"/>
      <c r="D16" s="12"/>
      <c r="E16" s="12"/>
      <c r="F16" s="3"/>
      <c r="G16" s="10"/>
      <c r="H16" s="3"/>
      <c r="I16" s="3"/>
      <c r="J16" s="3"/>
      <c r="K16" s="3"/>
    </row>
    <row r="17" spans="1:11" x14ac:dyDescent="0.3">
      <c r="A17" s="10"/>
      <c r="B17" s="12"/>
      <c r="C17" s="12"/>
      <c r="D17" s="12"/>
      <c r="E17" s="12"/>
      <c r="F17" s="3"/>
      <c r="G17" s="10"/>
      <c r="H17" s="3"/>
      <c r="I17" s="3"/>
      <c r="J17" s="3"/>
      <c r="K17" s="3"/>
    </row>
    <row r="18" spans="1:11" x14ac:dyDescent="0.3">
      <c r="A18" s="10"/>
      <c r="B18" s="12"/>
      <c r="C18" s="12"/>
      <c r="D18" s="12"/>
      <c r="E18" s="12"/>
      <c r="F18" s="3"/>
      <c r="G18" s="10"/>
      <c r="H18" s="3"/>
      <c r="I18" s="3"/>
      <c r="J18" s="3"/>
      <c r="K18" s="3"/>
    </row>
    <row r="19" spans="1:11" x14ac:dyDescent="0.3">
      <c r="A19" s="10"/>
      <c r="B19" s="12"/>
      <c r="C19" s="12"/>
      <c r="D19" s="12"/>
      <c r="E19" s="12"/>
      <c r="F19" s="3"/>
      <c r="G19" s="10"/>
      <c r="H19" s="3"/>
      <c r="I19" s="3"/>
      <c r="J19" s="3"/>
      <c r="K19" s="3"/>
    </row>
    <row r="20" spans="1:11" x14ac:dyDescent="0.3">
      <c r="A20" s="10"/>
      <c r="B20" s="12"/>
      <c r="C20" s="12"/>
      <c r="D20" s="12"/>
      <c r="E20" s="12"/>
      <c r="F20" s="3"/>
      <c r="G20" s="10"/>
      <c r="H20" s="3"/>
      <c r="I20" s="3"/>
      <c r="J20" s="3"/>
      <c r="K20" s="3"/>
    </row>
    <row r="21" spans="1:11" x14ac:dyDescent="0.3">
      <c r="A21" s="10"/>
      <c r="B21" s="12"/>
      <c r="C21" s="12"/>
      <c r="D21" s="12"/>
      <c r="E21" s="12"/>
      <c r="F21" s="3"/>
      <c r="G21" s="10"/>
      <c r="H21" s="3"/>
      <c r="I21" s="3"/>
      <c r="J21" s="3"/>
      <c r="K21" s="3"/>
    </row>
    <row r="22" spans="1:11" x14ac:dyDescent="0.3">
      <c r="A22" s="10"/>
      <c r="B22" s="12"/>
      <c r="C22" s="12"/>
      <c r="D22" s="12"/>
      <c r="E22" s="12"/>
      <c r="F22" s="3"/>
      <c r="G22" s="10"/>
      <c r="H22" s="3"/>
      <c r="I22" s="3"/>
      <c r="J22" s="3"/>
      <c r="K22" s="3"/>
    </row>
    <row r="23" spans="1:11" x14ac:dyDescent="0.3">
      <c r="A23" s="10"/>
      <c r="B23" s="12"/>
      <c r="C23" s="12"/>
      <c r="D23" s="12"/>
      <c r="E23" s="12"/>
      <c r="F23" s="3"/>
      <c r="G23" s="10"/>
      <c r="H23" s="3"/>
      <c r="I23" s="3"/>
      <c r="J23" s="3"/>
      <c r="K23" s="3"/>
    </row>
    <row r="24" spans="1:11" x14ac:dyDescent="0.3">
      <c r="A24" s="10"/>
      <c r="B24" s="12"/>
      <c r="C24" s="12"/>
      <c r="D24" s="12"/>
      <c r="E24" s="12"/>
      <c r="F24" s="3"/>
      <c r="G24" s="10"/>
      <c r="H24" s="3"/>
      <c r="I24" s="3"/>
      <c r="J24" s="3"/>
      <c r="K24" s="3"/>
    </row>
    <row r="25" spans="1:11" x14ac:dyDescent="0.3">
      <c r="A25" s="10"/>
      <c r="B25" s="12"/>
      <c r="C25" s="12"/>
      <c r="D25" s="12"/>
      <c r="E25" s="12"/>
      <c r="F25" s="3"/>
      <c r="G25" s="10"/>
      <c r="H25" s="3"/>
      <c r="I25" s="3"/>
      <c r="J25" s="3"/>
      <c r="K25" s="3"/>
    </row>
    <row r="26" spans="1:11" x14ac:dyDescent="0.3">
      <c r="A26" s="10"/>
      <c r="B26" s="12"/>
      <c r="C26" s="12"/>
      <c r="D26" s="12"/>
      <c r="E26" s="12"/>
      <c r="F26" s="3"/>
      <c r="G26" s="10"/>
      <c r="H26" s="3"/>
      <c r="I26" s="3"/>
      <c r="J26" s="3"/>
      <c r="K26" s="3"/>
    </row>
    <row r="27" spans="1:11" x14ac:dyDescent="0.3">
      <c r="A27" s="10"/>
      <c r="B27" s="12"/>
      <c r="C27" s="12"/>
      <c r="D27" s="12"/>
      <c r="E27" s="12"/>
      <c r="F27" s="3"/>
      <c r="G27" s="10"/>
      <c r="H27" s="3"/>
      <c r="I27" s="3"/>
      <c r="J27" s="3"/>
      <c r="K27" s="3"/>
    </row>
    <row r="28" spans="1:11" x14ac:dyDescent="0.3">
      <c r="A28" s="10"/>
      <c r="B28" s="12"/>
      <c r="C28" s="12"/>
      <c r="D28" s="12"/>
      <c r="E28" s="12"/>
      <c r="F28" s="3"/>
      <c r="G28" s="10"/>
      <c r="H28" s="3"/>
      <c r="I28" s="3"/>
      <c r="J28" s="3"/>
      <c r="K28" s="3"/>
    </row>
    <row r="29" spans="1:11" x14ac:dyDescent="0.3">
      <c r="A29" s="10"/>
      <c r="B29" s="12"/>
      <c r="C29" s="12"/>
      <c r="D29" s="12"/>
      <c r="E29" s="12"/>
      <c r="F29" s="3"/>
      <c r="G29" s="10"/>
      <c r="H29" s="3"/>
      <c r="I29" s="3"/>
      <c r="J29" s="3"/>
      <c r="K29" s="3"/>
    </row>
    <row r="30" spans="1:11" x14ac:dyDescent="0.3">
      <c r="A30" s="10"/>
      <c r="B30" s="12"/>
      <c r="C30" s="12"/>
      <c r="D30" s="12"/>
      <c r="E30" s="12"/>
      <c r="F30" s="3"/>
      <c r="G30" s="10"/>
      <c r="H30" s="3"/>
      <c r="I30" s="3"/>
      <c r="J30" s="3"/>
      <c r="K30" s="3"/>
    </row>
    <row r="31" spans="1:11" x14ac:dyDescent="0.3">
      <c r="A31" s="10"/>
      <c r="B31" s="12"/>
      <c r="C31" s="12"/>
      <c r="D31" s="12"/>
      <c r="E31" s="12"/>
      <c r="F31" s="3"/>
      <c r="G31" s="10"/>
      <c r="H31" s="3"/>
      <c r="I31" s="3"/>
      <c r="J31" s="3"/>
      <c r="K31" s="3"/>
    </row>
    <row r="32" spans="1:11" x14ac:dyDescent="0.3">
      <c r="A32" s="10"/>
      <c r="B32" s="12"/>
      <c r="C32" s="12"/>
      <c r="D32" s="12"/>
      <c r="E32" s="12"/>
      <c r="F32" s="3"/>
      <c r="G32" s="10"/>
      <c r="H32" s="3"/>
      <c r="I32" s="3"/>
      <c r="J32" s="3"/>
      <c r="K32" s="3"/>
    </row>
    <row r="33" spans="1:11" x14ac:dyDescent="0.3">
      <c r="A33" s="10"/>
      <c r="B33" s="12"/>
      <c r="C33" s="12"/>
      <c r="D33" s="12"/>
      <c r="E33" s="12"/>
      <c r="F33" s="3"/>
      <c r="G33" s="10"/>
      <c r="H33" s="3"/>
      <c r="I33" s="3"/>
      <c r="J33" s="3"/>
      <c r="K33" s="3"/>
    </row>
    <row r="34" spans="1:11" x14ac:dyDescent="0.3">
      <c r="A34" s="10"/>
      <c r="B34" s="12"/>
      <c r="C34" s="12"/>
      <c r="D34" s="12"/>
      <c r="E34" s="12"/>
      <c r="F34" s="3"/>
      <c r="G34" s="10"/>
      <c r="H34" s="3"/>
      <c r="I34" s="3"/>
      <c r="J34" s="3"/>
      <c r="K34" s="3"/>
    </row>
    <row r="35" spans="1:11" x14ac:dyDescent="0.3">
      <c r="A35" s="10"/>
      <c r="B35" s="12"/>
      <c r="C35" s="12"/>
      <c r="D35" s="12"/>
      <c r="E35" s="12"/>
      <c r="F35" s="3"/>
      <c r="G35" s="10"/>
      <c r="H35" s="3"/>
      <c r="I35" s="3"/>
      <c r="J35" s="3"/>
      <c r="K35" s="3"/>
    </row>
    <row r="36" spans="1:11" x14ac:dyDescent="0.3">
      <c r="A36" s="10"/>
      <c r="B36" s="12"/>
      <c r="C36" s="12"/>
      <c r="D36" s="12"/>
      <c r="E36" s="12"/>
      <c r="F36" s="3"/>
      <c r="G36" s="10"/>
      <c r="H36" s="3"/>
      <c r="I36" s="3"/>
      <c r="J36" s="3"/>
      <c r="K36" s="3"/>
    </row>
    <row r="37" spans="1:11" x14ac:dyDescent="0.3">
      <c r="A37" s="10"/>
      <c r="B37" s="12"/>
      <c r="C37" s="12"/>
      <c r="D37" s="12"/>
      <c r="E37" s="12"/>
      <c r="F37" s="3"/>
      <c r="G37" s="10"/>
      <c r="H37" s="3"/>
      <c r="I37" s="3"/>
      <c r="J37" s="3"/>
      <c r="K37" s="3"/>
    </row>
    <row r="38" spans="1:11" x14ac:dyDescent="0.3">
      <c r="A38" s="10"/>
      <c r="B38" s="12"/>
      <c r="C38" s="12"/>
      <c r="D38" s="12"/>
      <c r="E38" s="12"/>
      <c r="F38" s="3"/>
      <c r="G38" s="10"/>
      <c r="H38" s="3"/>
      <c r="I38" s="3"/>
      <c r="J38" s="3"/>
      <c r="K38" s="3"/>
    </row>
    <row r="39" spans="1:11" x14ac:dyDescent="0.3">
      <c r="A39" s="10"/>
      <c r="B39" s="12"/>
      <c r="C39" s="12"/>
      <c r="D39" s="12"/>
      <c r="E39" s="12"/>
      <c r="F39" s="3"/>
      <c r="G39" s="10"/>
      <c r="H39" s="3"/>
      <c r="I39" s="3"/>
      <c r="J39" s="3"/>
      <c r="K39" s="3"/>
    </row>
    <row r="40" spans="1:11" x14ac:dyDescent="0.3">
      <c r="A40" s="10"/>
      <c r="B40" s="12"/>
      <c r="C40" s="12"/>
      <c r="D40" s="12"/>
      <c r="E40" s="12"/>
      <c r="F40" s="3"/>
      <c r="G40" s="10"/>
      <c r="H40" s="3"/>
      <c r="I40" s="3"/>
      <c r="J40" s="3"/>
      <c r="K40" s="3"/>
    </row>
    <row r="41" spans="1:11" x14ac:dyDescent="0.3">
      <c r="A41" s="10"/>
      <c r="B41" s="12"/>
      <c r="C41" s="12"/>
      <c r="D41" s="12"/>
      <c r="E41" s="12"/>
      <c r="F41" s="3"/>
      <c r="G41" s="10"/>
      <c r="H41" s="3"/>
      <c r="I41" s="3"/>
      <c r="J41" s="3"/>
      <c r="K41" s="3"/>
    </row>
    <row r="42" spans="1:11" x14ac:dyDescent="0.3">
      <c r="A42" s="10"/>
      <c r="B42" s="12"/>
      <c r="C42" s="12"/>
      <c r="D42" s="12"/>
      <c r="E42" s="12"/>
      <c r="F42" s="3"/>
      <c r="G42" s="10"/>
      <c r="H42" s="3"/>
      <c r="I42" s="3"/>
      <c r="J42" s="3"/>
      <c r="K42" s="3"/>
    </row>
    <row r="43" spans="1:11" x14ac:dyDescent="0.3">
      <c r="A43" s="10"/>
      <c r="B43" s="12"/>
      <c r="C43" s="12"/>
      <c r="D43" s="12"/>
      <c r="E43" s="12"/>
      <c r="F43" s="3"/>
      <c r="G43" s="10"/>
      <c r="H43" s="3"/>
      <c r="I43" s="3"/>
      <c r="J43" s="3"/>
      <c r="K43" s="3"/>
    </row>
    <row r="44" spans="1:11" x14ac:dyDescent="0.3">
      <c r="A44" s="10"/>
      <c r="B44" s="12"/>
      <c r="C44" s="12"/>
      <c r="D44" s="12"/>
      <c r="E44" s="12"/>
      <c r="F44" s="3"/>
      <c r="G44" s="10"/>
      <c r="H44" s="3"/>
      <c r="I44" s="3"/>
      <c r="J44" s="3"/>
      <c r="K44" s="3"/>
    </row>
    <row r="45" spans="1:11" x14ac:dyDescent="0.3">
      <c r="A45" s="10"/>
      <c r="B45" s="12"/>
      <c r="C45" s="12"/>
      <c r="D45" s="12"/>
      <c r="E45" s="12"/>
      <c r="F45" s="3"/>
      <c r="G45" s="10"/>
      <c r="H45" s="3"/>
      <c r="I45" s="3"/>
      <c r="J45" s="3"/>
      <c r="K45" s="3"/>
    </row>
    <row r="46" spans="1:11" x14ac:dyDescent="0.3">
      <c r="A46" s="10"/>
      <c r="B46" s="12"/>
      <c r="C46" s="12"/>
      <c r="D46" s="12"/>
      <c r="E46" s="12"/>
      <c r="F46" s="3"/>
      <c r="G46" s="10"/>
      <c r="H46" s="3"/>
      <c r="I46" s="3"/>
      <c r="J46" s="3"/>
      <c r="K46" s="3"/>
    </row>
    <row r="47" spans="1:11" x14ac:dyDescent="0.3">
      <c r="A47" s="10"/>
      <c r="B47" s="12"/>
      <c r="C47" s="12"/>
      <c r="D47" s="12"/>
      <c r="E47" s="12"/>
      <c r="F47" s="3"/>
      <c r="G47" s="10"/>
      <c r="H47" s="3"/>
      <c r="I47" s="3"/>
      <c r="J47" s="3"/>
      <c r="K47" s="3"/>
    </row>
    <row r="48" spans="1:11" x14ac:dyDescent="0.3">
      <c r="A48" s="10"/>
      <c r="B48" s="12"/>
      <c r="C48" s="12"/>
      <c r="D48" s="12"/>
      <c r="E48" s="12"/>
      <c r="F48" s="3"/>
      <c r="G48" s="10"/>
      <c r="H48" s="3"/>
      <c r="I48" s="3"/>
      <c r="J48" s="3"/>
      <c r="K48" s="3"/>
    </row>
    <row r="49" spans="1:11" x14ac:dyDescent="0.3">
      <c r="A49" s="10"/>
      <c r="B49" s="12"/>
      <c r="C49" s="12"/>
      <c r="D49" s="12"/>
      <c r="E49" s="12"/>
      <c r="F49" s="3"/>
      <c r="G49" s="10"/>
      <c r="H49" s="3"/>
      <c r="I49" s="3"/>
      <c r="J49" s="3"/>
      <c r="K49" s="3"/>
    </row>
    <row r="50" spans="1:11" x14ac:dyDescent="0.3">
      <c r="A50" s="10"/>
      <c r="B50" s="12"/>
      <c r="C50" s="12"/>
      <c r="D50" s="12"/>
      <c r="E50" s="12"/>
      <c r="F50" s="3"/>
      <c r="G50" s="10"/>
      <c r="H50" s="3"/>
      <c r="I50" s="3"/>
      <c r="J50" s="3"/>
      <c r="K50" s="3"/>
    </row>
    <row r="51" spans="1:11" x14ac:dyDescent="0.3">
      <c r="A51" s="10"/>
      <c r="B51" s="12"/>
      <c r="C51" s="12"/>
      <c r="D51" s="12"/>
      <c r="E51" s="12"/>
      <c r="F51" s="3"/>
      <c r="G51" s="10"/>
      <c r="H51" s="3"/>
      <c r="I51" s="3"/>
      <c r="J51" s="3"/>
      <c r="K51" s="3"/>
    </row>
    <row r="52" spans="1:11" x14ac:dyDescent="0.3">
      <c r="A52" s="10"/>
      <c r="B52" s="12"/>
      <c r="C52" s="12"/>
      <c r="D52" s="12"/>
      <c r="E52" s="12"/>
      <c r="F52" s="3"/>
      <c r="G52" s="10"/>
      <c r="H52" s="3"/>
      <c r="I52" s="3"/>
      <c r="J52" s="3"/>
      <c r="K52" s="3"/>
    </row>
    <row r="53" spans="1:11" x14ac:dyDescent="0.3">
      <c r="A53" s="10"/>
      <c r="B53" s="12"/>
      <c r="C53" s="12"/>
      <c r="D53" s="12"/>
      <c r="E53" s="12"/>
      <c r="F53" s="3"/>
      <c r="G53" s="10"/>
      <c r="H53" s="3"/>
      <c r="I53" s="3"/>
      <c r="J53" s="3"/>
      <c r="K53" s="3"/>
    </row>
    <row r="54" spans="1:11" x14ac:dyDescent="0.3">
      <c r="A54" s="10"/>
      <c r="B54" s="12"/>
      <c r="C54" s="12"/>
      <c r="D54" s="12"/>
      <c r="E54" s="12"/>
      <c r="F54" s="3"/>
      <c r="G54" s="10"/>
      <c r="H54" s="3"/>
      <c r="I54" s="3"/>
      <c r="J54" s="3"/>
      <c r="K54" s="3"/>
    </row>
    <row r="55" spans="1:11" x14ac:dyDescent="0.3">
      <c r="A55" s="10"/>
      <c r="B55" s="12"/>
      <c r="C55" s="12"/>
      <c r="D55" s="12"/>
      <c r="E55" s="12"/>
      <c r="F55" s="3"/>
      <c r="G55" s="10"/>
      <c r="H55" s="3"/>
      <c r="I55" s="3"/>
      <c r="J55" s="3"/>
      <c r="K55" s="3"/>
    </row>
    <row r="56" spans="1:11" x14ac:dyDescent="0.3">
      <c r="A56" s="10"/>
      <c r="B56" s="12"/>
      <c r="C56" s="12"/>
      <c r="D56" s="12"/>
      <c r="E56" s="12"/>
      <c r="F56" s="3"/>
      <c r="G56" s="10"/>
      <c r="H56" s="3"/>
      <c r="I56" s="3"/>
      <c r="J56" s="3"/>
      <c r="K56" s="3"/>
    </row>
    <row r="57" spans="1:11" x14ac:dyDescent="0.3">
      <c r="A57" s="10"/>
      <c r="B57" s="12"/>
      <c r="C57" s="12"/>
      <c r="D57" s="12"/>
      <c r="E57" s="12"/>
      <c r="F57" s="3"/>
      <c r="G57" s="10"/>
      <c r="H57" s="3"/>
      <c r="I57" s="3"/>
      <c r="J57" s="3"/>
      <c r="K57" s="3"/>
    </row>
    <row r="58" spans="1:11" x14ac:dyDescent="0.3">
      <c r="A58" s="10"/>
      <c r="B58" s="12"/>
      <c r="C58" s="12"/>
      <c r="D58" s="12"/>
      <c r="E58" s="12"/>
      <c r="F58" s="3"/>
      <c r="G58" s="10"/>
      <c r="H58" s="3"/>
      <c r="I58" s="3"/>
      <c r="J58" s="3"/>
      <c r="K58" s="3"/>
    </row>
    <row r="59" spans="1:11" x14ac:dyDescent="0.3">
      <c r="A59" s="10"/>
      <c r="B59" s="12"/>
      <c r="C59" s="12"/>
      <c r="D59" s="12"/>
      <c r="E59" s="12"/>
      <c r="F59" s="3"/>
      <c r="G59" s="10"/>
      <c r="H59" s="3"/>
      <c r="I59" s="3"/>
      <c r="J59" s="3"/>
      <c r="K59" s="3"/>
    </row>
    <row r="60" spans="1:11" x14ac:dyDescent="0.3">
      <c r="A60" s="10"/>
      <c r="B60" s="12"/>
      <c r="C60" s="12"/>
      <c r="D60" s="12"/>
      <c r="E60" s="12"/>
      <c r="F60" s="3"/>
      <c r="G60" s="10"/>
      <c r="H60" s="3"/>
      <c r="I60" s="3"/>
      <c r="J60" s="3"/>
      <c r="K60" s="3"/>
    </row>
    <row r="61" spans="1:11" x14ac:dyDescent="0.3">
      <c r="A61" s="10"/>
      <c r="B61" s="12"/>
      <c r="C61" s="12"/>
      <c r="D61" s="12"/>
      <c r="E61" s="12"/>
      <c r="F61" s="3"/>
      <c r="G61" s="10"/>
      <c r="H61" s="3"/>
      <c r="I61" s="3"/>
      <c r="J61" s="3"/>
      <c r="K61" s="3"/>
    </row>
    <row r="62" spans="1:11" x14ac:dyDescent="0.3">
      <c r="A62" s="10"/>
      <c r="B62" s="12"/>
      <c r="C62" s="12"/>
      <c r="D62" s="12"/>
      <c r="E62" s="12"/>
      <c r="F62" s="3"/>
      <c r="G62" s="10"/>
      <c r="H62" s="3"/>
      <c r="I62" s="3"/>
      <c r="J62" s="3"/>
      <c r="K62" s="3"/>
    </row>
    <row r="63" spans="1:11" x14ac:dyDescent="0.3">
      <c r="A63" s="10"/>
      <c r="B63" s="12"/>
      <c r="C63" s="12"/>
      <c r="D63" s="12"/>
      <c r="E63" s="12"/>
      <c r="F63" s="3"/>
      <c r="G63" s="10"/>
      <c r="H63" s="3"/>
      <c r="I63" s="3"/>
      <c r="J63" s="3"/>
      <c r="K63" s="3"/>
    </row>
    <row r="64" spans="1:11" x14ac:dyDescent="0.3">
      <c r="A64" s="10"/>
      <c r="B64" s="12"/>
      <c r="C64" s="12"/>
      <c r="D64" s="12"/>
      <c r="E64" s="12"/>
      <c r="F64" s="3"/>
      <c r="G64" s="10"/>
      <c r="H64" s="3"/>
      <c r="I64" s="3"/>
      <c r="J64" s="3"/>
      <c r="K64" s="3"/>
    </row>
    <row r="65" spans="1:11" x14ac:dyDescent="0.3">
      <c r="A65" s="10"/>
      <c r="B65" s="12"/>
      <c r="C65" s="12"/>
      <c r="D65" s="12"/>
      <c r="E65" s="12"/>
      <c r="F65" s="3"/>
      <c r="G65" s="10"/>
      <c r="H65" s="3"/>
      <c r="I65" s="3"/>
      <c r="J65" s="3"/>
      <c r="K65" s="3"/>
    </row>
    <row r="66" spans="1:11" x14ac:dyDescent="0.3">
      <c r="A66" s="10"/>
      <c r="B66" s="12"/>
      <c r="C66" s="12"/>
      <c r="D66" s="12"/>
      <c r="E66" s="12"/>
      <c r="F66" s="3"/>
      <c r="G66" s="10"/>
      <c r="H66" s="3"/>
      <c r="I66" s="3"/>
      <c r="J66" s="3"/>
      <c r="K66" s="3"/>
    </row>
    <row r="67" spans="1:11" x14ac:dyDescent="0.3">
      <c r="A67" s="10"/>
      <c r="B67" s="12"/>
      <c r="C67" s="12"/>
      <c r="D67" s="12"/>
      <c r="E67" s="12"/>
      <c r="F67" s="3"/>
      <c r="G67" s="10"/>
      <c r="H67" s="3"/>
      <c r="I67" s="3"/>
      <c r="J67" s="3"/>
      <c r="K67" s="3"/>
    </row>
    <row r="68" spans="1:11" x14ac:dyDescent="0.3">
      <c r="A68" s="10"/>
      <c r="B68" s="12"/>
      <c r="C68" s="12"/>
      <c r="D68" s="12"/>
      <c r="E68" s="12"/>
      <c r="F68" s="3"/>
      <c r="G68" s="10"/>
      <c r="H68" s="3"/>
      <c r="I68" s="3"/>
      <c r="J68" s="3"/>
      <c r="K68" s="3"/>
    </row>
    <row r="69" spans="1:11" x14ac:dyDescent="0.3">
      <c r="A69" s="10"/>
      <c r="B69" s="12"/>
      <c r="C69" s="12"/>
      <c r="D69" s="12"/>
      <c r="E69" s="12"/>
      <c r="F69" s="3"/>
      <c r="G69" s="10"/>
      <c r="H69" s="3"/>
      <c r="I69" s="3"/>
      <c r="J69" s="3"/>
      <c r="K69" s="3"/>
    </row>
    <row r="70" spans="1:11" x14ac:dyDescent="0.3">
      <c r="A70" s="10"/>
      <c r="B70" s="12"/>
      <c r="C70" s="12"/>
      <c r="D70" s="12"/>
      <c r="E70" s="12"/>
      <c r="F70" s="3"/>
      <c r="G70" s="10"/>
      <c r="H70" s="3"/>
      <c r="I70" s="3"/>
      <c r="J70" s="3"/>
      <c r="K70" s="3"/>
    </row>
    <row r="71" spans="1:11" x14ac:dyDescent="0.3">
      <c r="A71" s="10"/>
      <c r="B71" s="12"/>
      <c r="C71" s="12"/>
      <c r="D71" s="12"/>
      <c r="E71" s="12"/>
      <c r="F71" s="3"/>
      <c r="G71" s="10"/>
      <c r="H71" s="3"/>
      <c r="I71" s="3"/>
      <c r="J71" s="3"/>
      <c r="K71" s="3"/>
    </row>
    <row r="72" spans="1:11" x14ac:dyDescent="0.3">
      <c r="A72" s="10"/>
      <c r="B72" s="12"/>
      <c r="C72" s="12"/>
      <c r="D72" s="12"/>
      <c r="E72" s="12"/>
      <c r="F72" s="3"/>
      <c r="G72" s="10"/>
      <c r="H72" s="3"/>
      <c r="I72" s="3"/>
      <c r="J72" s="3"/>
      <c r="K72" s="3"/>
    </row>
    <row r="73" spans="1:11" x14ac:dyDescent="0.3">
      <c r="A73" s="10"/>
      <c r="B73" s="12"/>
      <c r="C73" s="12"/>
      <c r="D73" s="12"/>
      <c r="E73" s="12"/>
      <c r="F73" s="3"/>
      <c r="G73" s="10"/>
      <c r="H73" s="3"/>
      <c r="I73" s="3"/>
      <c r="J73" s="3"/>
      <c r="K73" s="3"/>
    </row>
    <row r="74" spans="1:11" x14ac:dyDescent="0.3">
      <c r="A74" s="10"/>
      <c r="B74" s="12"/>
      <c r="C74" s="12"/>
      <c r="D74" s="12"/>
      <c r="E74" s="12"/>
      <c r="F74" s="3"/>
      <c r="G74" s="10"/>
      <c r="H74" s="3"/>
      <c r="I74" s="3"/>
      <c r="J74" s="3"/>
      <c r="K74" s="3"/>
    </row>
    <row r="75" spans="1:11" x14ac:dyDescent="0.3">
      <c r="A75" s="10"/>
      <c r="B75" s="12"/>
      <c r="C75" s="12"/>
      <c r="D75" s="12"/>
      <c r="E75" s="12"/>
      <c r="F75" s="3"/>
      <c r="G75" s="10"/>
      <c r="H75" s="3"/>
      <c r="I75" s="3"/>
      <c r="J75" s="3"/>
      <c r="K75" s="3"/>
    </row>
    <row r="76" spans="1:11" x14ac:dyDescent="0.3">
      <c r="A76" s="10"/>
      <c r="B76" s="12"/>
      <c r="C76" s="12"/>
      <c r="D76" s="12"/>
      <c r="E76" s="12"/>
      <c r="F76" s="3"/>
      <c r="G76" s="10"/>
      <c r="H76" s="3"/>
      <c r="I76" s="3"/>
      <c r="J76" s="3"/>
      <c r="K76" s="3"/>
    </row>
    <row r="77" spans="1:11" x14ac:dyDescent="0.3">
      <c r="A77" s="10"/>
      <c r="B77" s="12"/>
      <c r="C77" s="12"/>
      <c r="D77" s="12"/>
      <c r="E77" s="12"/>
      <c r="F77" s="3"/>
      <c r="G77" s="10"/>
      <c r="H77" s="3"/>
      <c r="I77" s="3"/>
      <c r="J77" s="3"/>
      <c r="K77" s="3"/>
    </row>
    <row r="78" spans="1:11" x14ac:dyDescent="0.3">
      <c r="A78" s="10"/>
      <c r="B78" s="12"/>
      <c r="C78" s="12"/>
      <c r="D78" s="12"/>
      <c r="E78" s="12"/>
      <c r="F78" s="3"/>
      <c r="G78" s="10"/>
      <c r="H78" s="3"/>
      <c r="I78" s="3"/>
      <c r="J78" s="3"/>
      <c r="K78" s="3"/>
    </row>
    <row r="79" spans="1:11" x14ac:dyDescent="0.3">
      <c r="A79" s="10"/>
      <c r="B79" s="12"/>
      <c r="C79" s="12"/>
      <c r="D79" s="12"/>
      <c r="E79" s="12"/>
      <c r="F79" s="3"/>
      <c r="G79" s="10"/>
      <c r="H79" s="3"/>
      <c r="I79" s="3"/>
      <c r="J79" s="3"/>
      <c r="K79" s="3"/>
    </row>
    <row r="80" spans="1:11" x14ac:dyDescent="0.3">
      <c r="A80" s="10"/>
      <c r="B80" s="12"/>
      <c r="C80" s="12"/>
      <c r="D80" s="12"/>
      <c r="E80" s="12"/>
      <c r="F80" s="3"/>
      <c r="G80" s="10"/>
      <c r="H80" s="3"/>
      <c r="I80" s="3"/>
      <c r="J80" s="3"/>
      <c r="K80" s="3"/>
    </row>
    <row r="81" spans="1:11" x14ac:dyDescent="0.3">
      <c r="A81" s="10"/>
      <c r="B81" s="12"/>
      <c r="C81" s="12"/>
      <c r="D81" s="12"/>
      <c r="E81" s="12"/>
      <c r="F81" s="3"/>
      <c r="G81" s="10"/>
      <c r="H81" s="3"/>
      <c r="I81" s="3"/>
      <c r="J81" s="3"/>
      <c r="K81" s="3"/>
    </row>
    <row r="82" spans="1:11" x14ac:dyDescent="0.3">
      <c r="A82" s="10"/>
      <c r="B82" s="12"/>
      <c r="C82" s="12"/>
      <c r="D82" s="12"/>
      <c r="E82" s="12"/>
      <c r="F82" s="3"/>
      <c r="G82" s="10"/>
      <c r="H82" s="3"/>
      <c r="I82" s="3"/>
      <c r="J82" s="3"/>
      <c r="K82" s="3"/>
    </row>
    <row r="83" spans="1:11" x14ac:dyDescent="0.3">
      <c r="A83" s="10"/>
      <c r="B83" s="12"/>
      <c r="C83" s="12"/>
      <c r="D83" s="12"/>
      <c r="E83" s="12"/>
      <c r="F83" s="3"/>
      <c r="G83" s="10"/>
      <c r="H83" s="3"/>
      <c r="I83" s="3"/>
      <c r="J83" s="3"/>
      <c r="K83" s="3"/>
    </row>
    <row r="84" spans="1:11" x14ac:dyDescent="0.3">
      <c r="A84" s="10"/>
      <c r="B84" s="12"/>
      <c r="C84" s="12"/>
      <c r="D84" s="12"/>
      <c r="E84" s="12"/>
      <c r="F84" s="3"/>
      <c r="G84" s="10"/>
      <c r="H84" s="3"/>
      <c r="I84" s="3"/>
      <c r="J84" s="3"/>
      <c r="K84" s="3"/>
    </row>
    <row r="85" spans="1:11" x14ac:dyDescent="0.3">
      <c r="A85" s="10"/>
      <c r="B85" s="12"/>
      <c r="C85" s="12"/>
      <c r="D85" s="12"/>
      <c r="E85" s="12"/>
      <c r="F85" s="3"/>
      <c r="G85" s="10"/>
      <c r="H85" s="3"/>
      <c r="I85" s="3"/>
      <c r="J85" s="3"/>
      <c r="K85" s="3"/>
    </row>
    <row r="86" spans="1:11" x14ac:dyDescent="0.3">
      <c r="A86" s="10"/>
      <c r="B86" s="12"/>
      <c r="C86" s="12"/>
      <c r="D86" s="12"/>
      <c r="E86" s="12"/>
      <c r="F86" s="3"/>
      <c r="G86" s="10"/>
      <c r="H86" s="3"/>
      <c r="I86" s="3"/>
      <c r="J86" s="3"/>
      <c r="K86" s="3"/>
    </row>
    <row r="87" spans="1:11" x14ac:dyDescent="0.3">
      <c r="A87" s="10"/>
      <c r="B87" s="12"/>
      <c r="C87" s="12"/>
      <c r="D87" s="12"/>
      <c r="E87" s="12"/>
      <c r="F87" s="3"/>
      <c r="G87" s="10"/>
      <c r="H87" s="3"/>
      <c r="I87" s="3"/>
      <c r="J87" s="3"/>
      <c r="K87" s="3"/>
    </row>
    <row r="88" spans="1:11" x14ac:dyDescent="0.3">
      <c r="A88" s="10"/>
      <c r="B88" s="12"/>
      <c r="C88" s="12"/>
      <c r="D88" s="12"/>
      <c r="E88" s="12"/>
      <c r="F88" s="3"/>
      <c r="G88" s="10"/>
      <c r="H88" s="3"/>
      <c r="I88" s="3"/>
      <c r="J88" s="3"/>
      <c r="K88" s="3"/>
    </row>
    <row r="89" spans="1:11" x14ac:dyDescent="0.3">
      <c r="A89" s="10"/>
      <c r="B89" s="12"/>
      <c r="C89" s="12"/>
      <c r="D89" s="12"/>
      <c r="E89" s="12"/>
      <c r="F89" s="3"/>
      <c r="G89" s="10"/>
      <c r="H89" s="3"/>
      <c r="I89" s="3"/>
      <c r="J89" s="3"/>
      <c r="K89" s="3"/>
    </row>
    <row r="90" spans="1:11" x14ac:dyDescent="0.3">
      <c r="A90" s="10"/>
      <c r="B90" s="12"/>
      <c r="C90" s="12"/>
      <c r="D90" s="12"/>
      <c r="E90" s="12"/>
      <c r="F90" s="3"/>
      <c r="G90" s="10"/>
      <c r="H90" s="3"/>
      <c r="I90" s="3"/>
      <c r="J90" s="3"/>
      <c r="K90" s="3"/>
    </row>
    <row r="91" spans="1:11" x14ac:dyDescent="0.3">
      <c r="A91" s="10"/>
      <c r="B91" s="12"/>
      <c r="C91" s="12"/>
      <c r="D91" s="12"/>
      <c r="E91" s="12"/>
      <c r="F91" s="3"/>
      <c r="G91" s="10"/>
      <c r="H91" s="3"/>
      <c r="I91" s="3"/>
      <c r="J91" s="3"/>
      <c r="K91" s="3"/>
    </row>
    <row r="92" spans="1:11" x14ac:dyDescent="0.3">
      <c r="A92" s="10"/>
      <c r="B92" s="12"/>
      <c r="C92" s="12"/>
      <c r="D92" s="12"/>
      <c r="E92" s="12"/>
      <c r="F92" s="3"/>
      <c r="G92" s="10"/>
      <c r="H92" s="3"/>
      <c r="I92" s="3"/>
      <c r="J92" s="3"/>
      <c r="K92" s="3"/>
    </row>
    <row r="93" spans="1:11" x14ac:dyDescent="0.3">
      <c r="A93" s="10"/>
      <c r="B93" s="12"/>
      <c r="C93" s="12"/>
      <c r="D93" s="12"/>
      <c r="E93" s="12"/>
      <c r="F93" s="3"/>
      <c r="G93" s="10"/>
      <c r="H93" s="3"/>
      <c r="I93" s="3"/>
      <c r="J93" s="3"/>
      <c r="K93" s="3"/>
    </row>
    <row r="94" spans="1:11" x14ac:dyDescent="0.3">
      <c r="A94" s="10"/>
      <c r="B94" s="12"/>
      <c r="C94" s="12"/>
      <c r="D94" s="12"/>
      <c r="E94" s="12"/>
      <c r="F94" s="3"/>
      <c r="G94" s="10"/>
      <c r="H94" s="3"/>
      <c r="I94" s="3"/>
      <c r="J94" s="3"/>
      <c r="K94" s="3"/>
    </row>
    <row r="95" spans="1:11" x14ac:dyDescent="0.3">
      <c r="A95" s="10"/>
      <c r="B95" s="12"/>
      <c r="C95" s="12"/>
      <c r="D95" s="12"/>
      <c r="E95" s="12"/>
      <c r="F95" s="3"/>
      <c r="G95" s="10"/>
      <c r="H95" s="3"/>
      <c r="I95" s="3"/>
      <c r="J95" s="3"/>
      <c r="K95" s="3"/>
    </row>
    <row r="96" spans="1:11" x14ac:dyDescent="0.3">
      <c r="A96" s="10"/>
      <c r="B96" s="12"/>
      <c r="C96" s="12"/>
      <c r="D96" s="12"/>
      <c r="E96" s="12"/>
      <c r="F96" s="3"/>
      <c r="G96" s="10"/>
      <c r="H96" s="3"/>
      <c r="I96" s="3"/>
      <c r="J96" s="3"/>
      <c r="K96" s="3"/>
    </row>
    <row r="97" spans="1:11" x14ac:dyDescent="0.3">
      <c r="A97" s="10"/>
      <c r="B97" s="12"/>
      <c r="C97" s="12"/>
      <c r="D97" s="12"/>
      <c r="E97" s="12"/>
      <c r="F97" s="3"/>
      <c r="G97" s="10"/>
      <c r="H97" s="3"/>
      <c r="I97" s="3"/>
      <c r="J97" s="3"/>
      <c r="K97" s="3"/>
    </row>
    <row r="98" spans="1:11" x14ac:dyDescent="0.3">
      <c r="A98" s="10"/>
      <c r="B98" s="12"/>
      <c r="C98" s="12"/>
      <c r="D98" s="12"/>
      <c r="E98" s="12"/>
      <c r="F98" s="3"/>
      <c r="G98" s="10"/>
      <c r="H98" s="3"/>
      <c r="I98" s="3"/>
      <c r="J98" s="3"/>
      <c r="K98" s="3"/>
    </row>
    <row r="99" spans="1:11" x14ac:dyDescent="0.3">
      <c r="A99" s="10"/>
      <c r="B99" s="12"/>
      <c r="C99" s="12"/>
      <c r="D99" s="12"/>
      <c r="E99" s="12"/>
      <c r="F99" s="3"/>
      <c r="G99" s="10"/>
      <c r="H99" s="3"/>
      <c r="I99" s="3"/>
      <c r="J99" s="3"/>
      <c r="K99" s="3"/>
    </row>
    <row r="100" spans="1:11" x14ac:dyDescent="0.3">
      <c r="A100" s="10"/>
      <c r="B100" s="12"/>
      <c r="C100" s="12"/>
      <c r="D100" s="12"/>
      <c r="E100" s="12"/>
      <c r="F100" s="3"/>
      <c r="G100" s="10"/>
      <c r="H100" s="3"/>
      <c r="I100" s="3"/>
      <c r="J100" s="3"/>
      <c r="K100" s="3"/>
    </row>
    <row r="101" spans="1:11" x14ac:dyDescent="0.3">
      <c r="A101" s="10"/>
      <c r="B101" s="12"/>
      <c r="C101" s="12"/>
      <c r="D101" s="12"/>
      <c r="E101" s="12"/>
      <c r="F101" s="3"/>
      <c r="G101" s="10"/>
      <c r="H101" s="3"/>
      <c r="I101" s="3"/>
      <c r="J101" s="3"/>
      <c r="K101" s="3"/>
    </row>
    <row r="102" spans="1:11" x14ac:dyDescent="0.3">
      <c r="A102" s="10"/>
      <c r="B102" s="12"/>
      <c r="C102" s="12"/>
      <c r="D102" s="12"/>
      <c r="E102" s="12"/>
      <c r="F102" s="3"/>
      <c r="G102" s="10"/>
      <c r="H102" s="3"/>
      <c r="I102" s="3"/>
      <c r="J102" s="3"/>
      <c r="K102" s="3"/>
    </row>
    <row r="103" spans="1:11" x14ac:dyDescent="0.3">
      <c r="A103" s="10"/>
      <c r="B103" s="12"/>
      <c r="C103" s="12"/>
      <c r="D103" s="12"/>
      <c r="E103" s="12"/>
      <c r="F103" s="3"/>
      <c r="G103" s="10"/>
      <c r="H103" s="3"/>
      <c r="I103" s="3"/>
      <c r="J103" s="3"/>
      <c r="K103" s="3"/>
    </row>
    <row r="104" spans="1:11" x14ac:dyDescent="0.3">
      <c r="A104" s="10"/>
      <c r="B104" s="12"/>
      <c r="C104" s="12"/>
      <c r="D104" s="12"/>
      <c r="E104" s="12"/>
      <c r="F104" s="3"/>
      <c r="G104" s="10"/>
      <c r="H104" s="3"/>
      <c r="I104" s="3"/>
      <c r="J104" s="3"/>
      <c r="K104" s="3"/>
    </row>
    <row r="105" spans="1:11" x14ac:dyDescent="0.3">
      <c r="A105" s="10"/>
      <c r="B105" s="12"/>
      <c r="C105" s="12"/>
      <c r="D105" s="12"/>
      <c r="E105" s="12"/>
      <c r="F105" s="3"/>
      <c r="G105" s="10"/>
      <c r="H105" s="3"/>
      <c r="I105" s="3"/>
      <c r="J105" s="3"/>
      <c r="K105" s="3"/>
    </row>
    <row r="106" spans="1:11" x14ac:dyDescent="0.3">
      <c r="A106" s="10"/>
      <c r="B106" s="12"/>
      <c r="C106" s="12"/>
      <c r="D106" s="12"/>
      <c r="E106" s="12"/>
      <c r="F106" s="3"/>
      <c r="G106" s="10"/>
      <c r="H106" s="3"/>
      <c r="I106" s="3"/>
      <c r="J106" s="3"/>
      <c r="K106" s="3"/>
    </row>
    <row r="107" spans="1:11" x14ac:dyDescent="0.3">
      <c r="A107" s="10"/>
      <c r="B107" s="12"/>
      <c r="C107" s="12"/>
      <c r="D107" s="12"/>
      <c r="E107" s="12"/>
      <c r="F107" s="3"/>
      <c r="G107" s="10"/>
      <c r="H107" s="3"/>
      <c r="I107" s="3"/>
      <c r="J107" s="3"/>
      <c r="K107" s="3"/>
    </row>
    <row r="108" spans="1:11" x14ac:dyDescent="0.3">
      <c r="A108" s="10"/>
      <c r="B108" s="12"/>
      <c r="C108" s="12"/>
      <c r="D108" s="12"/>
      <c r="E108" s="12"/>
      <c r="F108" s="3"/>
      <c r="G108" s="10"/>
      <c r="H108" s="3"/>
      <c r="I108" s="3"/>
      <c r="J108" s="3"/>
      <c r="K108" s="3"/>
    </row>
    <row r="109" spans="1:11" x14ac:dyDescent="0.3">
      <c r="A109" s="10"/>
      <c r="B109" s="12"/>
      <c r="C109" s="12"/>
      <c r="D109" s="12"/>
      <c r="E109" s="12"/>
      <c r="F109" s="3"/>
      <c r="G109" s="10"/>
      <c r="H109" s="3"/>
      <c r="I109" s="3"/>
      <c r="J109" s="3"/>
      <c r="K109" s="3"/>
    </row>
    <row r="110" spans="1:11" x14ac:dyDescent="0.3">
      <c r="A110" s="10"/>
      <c r="B110" s="12"/>
      <c r="C110" s="12"/>
      <c r="D110" s="12"/>
      <c r="E110" s="12"/>
      <c r="F110" s="3"/>
      <c r="G110" s="10"/>
      <c r="H110" s="3"/>
      <c r="I110" s="3"/>
      <c r="J110" s="3"/>
      <c r="K110" s="3"/>
    </row>
    <row r="111" spans="1:11" x14ac:dyDescent="0.3">
      <c r="A111" s="10"/>
      <c r="B111" s="12"/>
      <c r="C111" s="12"/>
      <c r="D111" s="12"/>
      <c r="E111" s="12"/>
      <c r="F111" s="3"/>
      <c r="G111" s="10"/>
      <c r="H111" s="3"/>
      <c r="I111" s="3"/>
      <c r="J111" s="3"/>
      <c r="K111" s="3"/>
    </row>
    <row r="112" spans="1:11" x14ac:dyDescent="0.3">
      <c r="A112" s="10"/>
      <c r="B112" s="12"/>
      <c r="C112" s="12"/>
      <c r="D112" s="12"/>
      <c r="E112" s="12"/>
      <c r="F112" s="3"/>
      <c r="G112" s="10"/>
      <c r="H112" s="3"/>
      <c r="I112" s="3"/>
      <c r="J112" s="3"/>
      <c r="K112" s="3"/>
    </row>
    <row r="113" spans="1:11" x14ac:dyDescent="0.3">
      <c r="A113" s="10"/>
      <c r="B113" s="12"/>
      <c r="C113" s="12"/>
      <c r="D113" s="12"/>
      <c r="E113" s="12"/>
      <c r="F113" s="3"/>
      <c r="G113" s="10"/>
      <c r="H113" s="3"/>
      <c r="I113" s="3"/>
      <c r="J113" s="3"/>
      <c r="K113" s="3"/>
    </row>
    <row r="114" spans="1:11" x14ac:dyDescent="0.3">
      <c r="A114" s="10"/>
      <c r="B114" s="12"/>
      <c r="C114" s="12"/>
      <c r="D114" s="12"/>
      <c r="E114" s="12"/>
      <c r="F114" s="3"/>
      <c r="G114" s="10"/>
      <c r="H114" s="3"/>
      <c r="I114" s="3"/>
      <c r="J114" s="3"/>
      <c r="K114" s="3"/>
    </row>
    <row r="115" spans="1:11" x14ac:dyDescent="0.3">
      <c r="A115" s="10"/>
      <c r="B115" s="12"/>
      <c r="C115" s="12"/>
      <c r="D115" s="12"/>
      <c r="E115" s="12"/>
      <c r="F115" s="3"/>
      <c r="G115" s="10"/>
      <c r="H115" s="3"/>
      <c r="I115" s="3"/>
      <c r="J115" s="3"/>
      <c r="K115" s="3"/>
    </row>
    <row r="116" spans="1:11" x14ac:dyDescent="0.3">
      <c r="A116" s="10"/>
      <c r="B116" s="12"/>
      <c r="C116" s="12"/>
      <c r="D116" s="12"/>
      <c r="E116" s="12"/>
      <c r="F116" s="3"/>
      <c r="G116" s="10"/>
      <c r="H116" s="3"/>
      <c r="I116" s="3"/>
      <c r="J116" s="3"/>
      <c r="K116" s="3"/>
    </row>
    <row r="117" spans="1:11" x14ac:dyDescent="0.3">
      <c r="A117" s="10"/>
      <c r="B117" s="12"/>
      <c r="C117" s="12"/>
      <c r="D117" s="12"/>
      <c r="E117" s="12"/>
      <c r="F117" s="3"/>
      <c r="G117" s="10"/>
      <c r="H117" s="3"/>
      <c r="I117" s="3"/>
      <c r="J117" s="3"/>
      <c r="K117" s="3"/>
    </row>
    <row r="118" spans="1:11" x14ac:dyDescent="0.3">
      <c r="A118" s="10"/>
      <c r="B118" s="12"/>
      <c r="C118" s="12"/>
      <c r="D118" s="12"/>
      <c r="E118" s="12"/>
      <c r="F118" s="3"/>
      <c r="G118" s="10"/>
      <c r="H118" s="3"/>
      <c r="I118" s="3"/>
      <c r="J118" s="3"/>
      <c r="K118" s="3"/>
    </row>
    <row r="119" spans="1:11" x14ac:dyDescent="0.3">
      <c r="A119" s="10"/>
      <c r="B119" s="12"/>
      <c r="C119" s="12"/>
      <c r="D119" s="12"/>
      <c r="E119" s="12"/>
      <c r="F119" s="3"/>
      <c r="G119" s="10"/>
      <c r="H119" s="3"/>
      <c r="I119" s="3"/>
      <c r="J119" s="3"/>
      <c r="K119" s="3"/>
    </row>
    <row r="120" spans="1:11" x14ac:dyDescent="0.3">
      <c r="A120" s="10"/>
      <c r="B120" s="12"/>
      <c r="C120" s="12"/>
      <c r="D120" s="12"/>
      <c r="E120" s="12"/>
      <c r="F120" s="3"/>
      <c r="G120" s="10"/>
      <c r="H120" s="3"/>
      <c r="I120" s="3"/>
      <c r="J120" s="3"/>
      <c r="K120" s="3"/>
    </row>
    <row r="121" spans="1:11" x14ac:dyDescent="0.3">
      <c r="A121" s="10"/>
      <c r="B121" s="12"/>
      <c r="C121" s="12"/>
      <c r="D121" s="12"/>
      <c r="E121" s="12"/>
      <c r="F121" s="3"/>
      <c r="G121" s="10"/>
      <c r="H121" s="3"/>
      <c r="I121" s="3"/>
      <c r="J121" s="3"/>
      <c r="K121" s="3"/>
    </row>
    <row r="122" spans="1:11" x14ac:dyDescent="0.3">
      <c r="A122" s="10"/>
      <c r="B122" s="12"/>
      <c r="C122" s="12"/>
      <c r="D122" s="12"/>
      <c r="E122" s="12"/>
      <c r="F122" s="3"/>
      <c r="G122" s="10"/>
      <c r="H122" s="3"/>
      <c r="I122" s="3"/>
      <c r="J122" s="3"/>
      <c r="K122" s="3"/>
    </row>
    <row r="123" spans="1:11" x14ac:dyDescent="0.3">
      <c r="A123" s="10"/>
      <c r="B123" s="12"/>
      <c r="C123" s="12"/>
      <c r="D123" s="12"/>
      <c r="E123" s="12"/>
      <c r="F123" s="3"/>
      <c r="G123" s="10"/>
      <c r="H123" s="3"/>
      <c r="I123" s="3"/>
      <c r="J123" s="3"/>
      <c r="K123" s="3"/>
    </row>
    <row r="124" spans="1:11" x14ac:dyDescent="0.3">
      <c r="A124" s="10"/>
      <c r="B124" s="12"/>
      <c r="C124" s="12"/>
      <c r="D124" s="12"/>
      <c r="E124" s="12"/>
      <c r="F124" s="3"/>
      <c r="G124" s="10"/>
      <c r="H124" s="3"/>
      <c r="I124" s="3"/>
      <c r="J124" s="3"/>
      <c r="K124" s="3"/>
    </row>
    <row r="125" spans="1:11" x14ac:dyDescent="0.3">
      <c r="A125" s="10"/>
      <c r="B125" s="12"/>
      <c r="C125" s="12"/>
      <c r="D125" s="12"/>
      <c r="E125" s="12"/>
      <c r="F125" s="3"/>
      <c r="G125" s="10"/>
      <c r="H125" s="3"/>
      <c r="I125" s="3"/>
      <c r="J125" s="3"/>
      <c r="K125" s="3"/>
    </row>
    <row r="126" spans="1:11" x14ac:dyDescent="0.3">
      <c r="A126" s="10"/>
      <c r="B126" s="12"/>
      <c r="C126" s="12"/>
      <c r="D126" s="12"/>
      <c r="E126" s="12"/>
      <c r="F126" s="3"/>
      <c r="G126" s="10"/>
      <c r="H126" s="3"/>
      <c r="I126" s="3"/>
      <c r="J126" s="3"/>
      <c r="K126" s="3"/>
    </row>
    <row r="127" spans="1:11" x14ac:dyDescent="0.3">
      <c r="A127" s="10"/>
      <c r="B127" s="12"/>
      <c r="C127" s="12"/>
      <c r="D127" s="12"/>
      <c r="E127" s="12"/>
      <c r="F127" s="3"/>
      <c r="G127" s="10"/>
      <c r="H127" s="3"/>
      <c r="I127" s="3"/>
      <c r="J127" s="3"/>
      <c r="K127" s="3"/>
    </row>
    <row r="128" spans="1:11" x14ac:dyDescent="0.3">
      <c r="A128" s="10"/>
      <c r="B128" s="12"/>
      <c r="C128" s="12"/>
      <c r="D128" s="12"/>
      <c r="E128" s="12"/>
      <c r="F128" s="3"/>
      <c r="G128" s="10"/>
      <c r="H128" s="3"/>
      <c r="I128" s="3"/>
      <c r="J128" s="3"/>
      <c r="K128" s="3"/>
    </row>
    <row r="129" spans="1:11" x14ac:dyDescent="0.3">
      <c r="A129" s="10"/>
      <c r="B129" s="12"/>
      <c r="C129" s="12"/>
      <c r="D129" s="12"/>
      <c r="E129" s="12"/>
      <c r="F129" s="3"/>
      <c r="G129" s="10"/>
      <c r="H129" s="3"/>
      <c r="I129" s="3"/>
      <c r="J129" s="3"/>
      <c r="K129" s="3"/>
    </row>
    <row r="130" spans="1:11" x14ac:dyDescent="0.3">
      <c r="A130" s="10"/>
      <c r="B130" s="12"/>
      <c r="C130" s="12"/>
      <c r="D130" s="12"/>
      <c r="E130" s="12"/>
      <c r="F130" s="3"/>
      <c r="G130" s="10"/>
      <c r="H130" s="3"/>
      <c r="I130" s="3"/>
      <c r="J130" s="3"/>
      <c r="K130" s="3"/>
    </row>
    <row r="131" spans="1:11" x14ac:dyDescent="0.3">
      <c r="A131" s="10"/>
      <c r="B131" s="12"/>
      <c r="C131" s="12"/>
      <c r="D131" s="12"/>
      <c r="E131" s="12"/>
      <c r="F131" s="3"/>
      <c r="G131" s="10"/>
      <c r="H131" s="3"/>
      <c r="I131" s="3"/>
      <c r="J131" s="3"/>
      <c r="K131" s="3"/>
    </row>
    <row r="132" spans="1:11" x14ac:dyDescent="0.3">
      <c r="A132" s="10"/>
      <c r="B132" s="12"/>
      <c r="C132" s="12"/>
      <c r="D132" s="12"/>
      <c r="E132" s="12"/>
      <c r="F132" s="3"/>
      <c r="G132" s="10"/>
      <c r="H132" s="3"/>
      <c r="I132" s="3"/>
      <c r="J132" s="3"/>
      <c r="K132" s="3"/>
    </row>
    <row r="133" spans="1:11" x14ac:dyDescent="0.3">
      <c r="A133" s="10"/>
      <c r="B133" s="12"/>
      <c r="C133" s="12"/>
      <c r="D133" s="12"/>
      <c r="E133" s="12"/>
      <c r="F133" s="3"/>
      <c r="G133" s="10"/>
      <c r="H133" s="3"/>
      <c r="I133" s="3"/>
      <c r="J133" s="3"/>
      <c r="K133" s="3"/>
    </row>
    <row r="134" spans="1:11" x14ac:dyDescent="0.3">
      <c r="A134" s="10"/>
      <c r="B134" s="12"/>
      <c r="C134" s="12"/>
      <c r="D134" s="12"/>
      <c r="E134" s="12"/>
      <c r="F134" s="3"/>
      <c r="G134" s="10"/>
      <c r="H134" s="3"/>
      <c r="I134" s="3"/>
      <c r="J134" s="3"/>
      <c r="K134" s="3"/>
    </row>
    <row r="135" spans="1:11" x14ac:dyDescent="0.3">
      <c r="A135" s="10"/>
      <c r="B135" s="12"/>
      <c r="C135" s="12"/>
      <c r="D135" s="12"/>
      <c r="E135" s="12"/>
      <c r="F135" s="3"/>
      <c r="G135" s="10"/>
      <c r="H135" s="3"/>
      <c r="I135" s="3"/>
      <c r="J135" s="3"/>
      <c r="K135" s="3"/>
    </row>
    <row r="136" spans="1:11" x14ac:dyDescent="0.3">
      <c r="A136" s="10"/>
      <c r="B136" s="12"/>
      <c r="C136" s="12"/>
      <c r="D136" s="12"/>
      <c r="E136" s="12"/>
      <c r="F136" s="3"/>
      <c r="G136" s="10"/>
      <c r="H136" s="3"/>
      <c r="I136" s="3"/>
      <c r="J136" s="3"/>
      <c r="K136" s="3"/>
    </row>
    <row r="137" spans="1:11" x14ac:dyDescent="0.3">
      <c r="A137" s="10"/>
      <c r="B137" s="12"/>
      <c r="C137" s="12"/>
      <c r="D137" s="12"/>
      <c r="E137" s="12"/>
      <c r="F137" s="3"/>
      <c r="G137" s="10"/>
      <c r="H137" s="3"/>
      <c r="I137" s="3"/>
      <c r="J137" s="3"/>
      <c r="K137" s="3"/>
    </row>
    <row r="138" spans="1:11" x14ac:dyDescent="0.3">
      <c r="A138" s="10"/>
      <c r="B138" s="12"/>
      <c r="C138" s="12"/>
      <c r="D138" s="12"/>
      <c r="E138" s="12"/>
      <c r="F138" s="3"/>
      <c r="G138" s="10"/>
      <c r="H138" s="3"/>
      <c r="I138" s="3"/>
      <c r="J138" s="3"/>
      <c r="K138" s="3"/>
    </row>
    <row r="139" spans="1:11" x14ac:dyDescent="0.3">
      <c r="A139" s="10"/>
      <c r="B139" s="12"/>
      <c r="C139" s="12"/>
      <c r="D139" s="12"/>
      <c r="E139" s="12"/>
      <c r="F139" s="3"/>
      <c r="G139" s="10"/>
      <c r="H139" s="3"/>
      <c r="I139" s="3"/>
      <c r="J139" s="3"/>
      <c r="K139" s="3"/>
    </row>
    <row r="140" spans="1:11" x14ac:dyDescent="0.3">
      <c r="A140" s="10"/>
      <c r="B140" s="12"/>
      <c r="C140" s="12"/>
      <c r="D140" s="12"/>
      <c r="E140" s="12"/>
      <c r="F140" s="3"/>
      <c r="G140" s="10"/>
      <c r="H140" s="3"/>
      <c r="I140" s="3"/>
      <c r="J140" s="3"/>
      <c r="K140" s="3"/>
    </row>
    <row r="141" spans="1:11" x14ac:dyDescent="0.3">
      <c r="A141" s="10"/>
      <c r="B141" s="12"/>
      <c r="C141" s="12"/>
      <c r="D141" s="12"/>
      <c r="E141" s="12"/>
      <c r="F141" s="3"/>
      <c r="G141" s="10"/>
      <c r="H141" s="3"/>
      <c r="I141" s="3"/>
      <c r="J141" s="3"/>
      <c r="K141" s="3"/>
    </row>
    <row r="142" spans="1:11" x14ac:dyDescent="0.3">
      <c r="A142" s="10"/>
      <c r="B142" s="12"/>
      <c r="C142" s="12"/>
      <c r="D142" s="12"/>
      <c r="E142" s="12"/>
      <c r="F142" s="3"/>
      <c r="G142" s="10"/>
      <c r="H142" s="3"/>
      <c r="I142" s="3"/>
      <c r="J142" s="3"/>
      <c r="K142" s="3"/>
    </row>
    <row r="143" spans="1:11" x14ac:dyDescent="0.3">
      <c r="A143" s="10"/>
      <c r="B143" s="12"/>
      <c r="C143" s="12"/>
      <c r="D143" s="12"/>
      <c r="E143" s="12"/>
      <c r="F143" s="3"/>
      <c r="G143" s="10"/>
      <c r="H143" s="3"/>
      <c r="I143" s="3"/>
      <c r="J143" s="3"/>
      <c r="K143" s="3"/>
    </row>
    <row r="144" spans="1:11" x14ac:dyDescent="0.3">
      <c r="A144" s="10"/>
      <c r="B144" s="12"/>
      <c r="C144" s="12"/>
      <c r="D144" s="12"/>
      <c r="E144" s="12"/>
      <c r="F144" s="3"/>
      <c r="G144" s="10"/>
      <c r="H144" s="3"/>
      <c r="I144" s="3"/>
      <c r="J144" s="3"/>
      <c r="K144" s="3"/>
    </row>
    <row r="145" spans="1:11" x14ac:dyDescent="0.3">
      <c r="A145" s="10"/>
      <c r="B145" s="12"/>
      <c r="C145" s="12"/>
      <c r="D145" s="12"/>
      <c r="E145" s="12"/>
      <c r="F145" s="3"/>
      <c r="G145" s="10"/>
      <c r="H145" s="3"/>
      <c r="I145" s="3"/>
      <c r="J145" s="3"/>
      <c r="K145" s="3"/>
    </row>
    <row r="146" spans="1:11" x14ac:dyDescent="0.3">
      <c r="A146" s="10"/>
      <c r="B146" s="12"/>
      <c r="C146" s="12"/>
      <c r="D146" s="12"/>
      <c r="E146" s="12"/>
      <c r="F146" s="3"/>
      <c r="G146" s="10"/>
      <c r="H146" s="3"/>
      <c r="I146" s="3"/>
      <c r="J146" s="3"/>
      <c r="K146" s="3"/>
    </row>
    <row r="147" spans="1:11" x14ac:dyDescent="0.3">
      <c r="A147" s="10"/>
      <c r="B147" s="12"/>
      <c r="C147" s="12"/>
      <c r="D147" s="12"/>
      <c r="E147" s="12"/>
      <c r="F147" s="3"/>
      <c r="G147" s="10"/>
      <c r="H147" s="3"/>
      <c r="I147" s="3"/>
      <c r="J147" s="3"/>
      <c r="K147" s="3"/>
    </row>
    <row r="148" spans="1:11" x14ac:dyDescent="0.3">
      <c r="A148" s="10"/>
      <c r="B148" s="12"/>
      <c r="C148" s="12"/>
      <c r="D148" s="12"/>
      <c r="E148" s="12"/>
      <c r="F148" s="3"/>
      <c r="G148" s="10"/>
      <c r="H148" s="3"/>
      <c r="I148" s="3"/>
      <c r="J148" s="3"/>
      <c r="K148" s="3"/>
    </row>
    <row r="149" spans="1:11" x14ac:dyDescent="0.3">
      <c r="A149" s="10"/>
      <c r="B149" s="12"/>
      <c r="C149" s="12"/>
      <c r="D149" s="12"/>
      <c r="E149" s="12"/>
      <c r="F149" s="3"/>
      <c r="G149" s="10"/>
      <c r="H149" s="3"/>
      <c r="I149" s="3"/>
      <c r="J149" s="3"/>
      <c r="K149" s="3"/>
    </row>
    <row r="150" spans="1:11" x14ac:dyDescent="0.3">
      <c r="A150" s="10"/>
      <c r="B150" s="12"/>
      <c r="C150" s="12"/>
      <c r="D150" s="12"/>
      <c r="E150" s="12"/>
      <c r="F150" s="3"/>
      <c r="G150" s="10"/>
      <c r="H150" s="3"/>
      <c r="I150" s="3"/>
      <c r="J150" s="3"/>
      <c r="K150" s="3"/>
    </row>
    <row r="151" spans="1:11" x14ac:dyDescent="0.3">
      <c r="A151" s="10"/>
      <c r="B151" s="12"/>
      <c r="C151" s="12"/>
      <c r="D151" s="12"/>
      <c r="E151" s="12"/>
      <c r="F151" s="3"/>
      <c r="G151" s="10"/>
      <c r="H151" s="3"/>
      <c r="I151" s="3"/>
      <c r="J151" s="3"/>
      <c r="K151" s="3"/>
    </row>
    <row r="152" spans="1:11" x14ac:dyDescent="0.3">
      <c r="A152" s="10"/>
      <c r="B152" s="12"/>
      <c r="C152" s="12"/>
      <c r="D152" s="12"/>
      <c r="E152" s="12"/>
      <c r="F152" s="3"/>
      <c r="G152" s="10"/>
      <c r="H152" s="3"/>
      <c r="I152" s="3"/>
      <c r="J152" s="3"/>
      <c r="K152" s="3"/>
    </row>
    <row r="153" spans="1:11" x14ac:dyDescent="0.3">
      <c r="A153" s="10"/>
      <c r="B153" s="12"/>
      <c r="C153" s="12"/>
      <c r="D153" s="12"/>
      <c r="E153" s="12"/>
      <c r="F153" s="3"/>
      <c r="G153" s="10"/>
      <c r="H153" s="3"/>
      <c r="I153" s="3"/>
      <c r="J153" s="3"/>
      <c r="K153" s="3"/>
    </row>
    <row r="154" spans="1:11" x14ac:dyDescent="0.3">
      <c r="A154" s="10"/>
      <c r="B154" s="12"/>
      <c r="C154" s="12"/>
      <c r="D154" s="12"/>
      <c r="E154" s="12"/>
      <c r="F154" s="3"/>
      <c r="G154" s="10"/>
      <c r="H154" s="3"/>
      <c r="I154" s="3"/>
      <c r="J154" s="3"/>
      <c r="K154" s="3"/>
    </row>
    <row r="155" spans="1:11" x14ac:dyDescent="0.3">
      <c r="A155" s="10"/>
      <c r="B155" s="12"/>
      <c r="C155" s="12"/>
      <c r="D155" s="12"/>
      <c r="E155" s="12"/>
      <c r="F155" s="3"/>
      <c r="G155" s="10"/>
      <c r="H155" s="3"/>
      <c r="I155" s="3"/>
      <c r="J155" s="3"/>
      <c r="K155" s="3"/>
    </row>
    <row r="156" spans="1:11" x14ac:dyDescent="0.3">
      <c r="A156" s="10"/>
      <c r="B156" s="12"/>
      <c r="C156" s="12"/>
      <c r="D156" s="12"/>
      <c r="E156" s="12"/>
      <c r="F156" s="3"/>
      <c r="G156" s="10"/>
      <c r="H156" s="3"/>
      <c r="I156" s="3"/>
      <c r="J156" s="3"/>
      <c r="K156" s="3"/>
    </row>
    <row r="157" spans="1:11" x14ac:dyDescent="0.3">
      <c r="A157" s="10"/>
      <c r="B157" s="12"/>
      <c r="C157" s="12"/>
      <c r="D157" s="12"/>
      <c r="E157" s="12"/>
      <c r="F157" s="3"/>
      <c r="G157" s="10"/>
      <c r="H157" s="3"/>
      <c r="I157" s="3"/>
      <c r="J157" s="3"/>
      <c r="K157" s="3"/>
    </row>
    <row r="158" spans="1:11" x14ac:dyDescent="0.3">
      <c r="A158" s="10"/>
      <c r="B158" s="12"/>
      <c r="C158" s="12"/>
      <c r="D158" s="12"/>
      <c r="E158" s="12"/>
      <c r="F158" s="3"/>
      <c r="G158" s="10"/>
      <c r="H158" s="3"/>
      <c r="I158" s="3"/>
      <c r="J158" s="3"/>
      <c r="K158" s="3"/>
    </row>
    <row r="159" spans="1:11" x14ac:dyDescent="0.3">
      <c r="A159" s="10"/>
      <c r="B159" s="12"/>
      <c r="C159" s="12"/>
      <c r="D159" s="12"/>
      <c r="E159" s="12"/>
      <c r="F159" s="3"/>
      <c r="G159" s="10"/>
      <c r="H159" s="3"/>
      <c r="I159" s="3"/>
      <c r="J159" s="3"/>
      <c r="K159" s="3"/>
    </row>
    <row r="160" spans="1:11" x14ac:dyDescent="0.3">
      <c r="A160" s="10"/>
      <c r="B160" s="12"/>
      <c r="C160" s="12"/>
      <c r="D160" s="12"/>
      <c r="E160" s="12"/>
      <c r="F160" s="3"/>
      <c r="G160" s="10"/>
      <c r="H160" s="3"/>
      <c r="I160" s="3"/>
      <c r="J160" s="3"/>
      <c r="K160" s="3"/>
    </row>
    <row r="161" spans="1:11" x14ac:dyDescent="0.3">
      <c r="A161" s="10"/>
      <c r="B161" s="12"/>
      <c r="C161" s="12"/>
      <c r="D161" s="12"/>
      <c r="E161" s="12"/>
      <c r="F161" s="3"/>
      <c r="G161" s="10"/>
      <c r="H161" s="3"/>
      <c r="I161" s="3"/>
      <c r="J161" s="3"/>
      <c r="K161" s="3"/>
    </row>
    <row r="162" spans="1:11" x14ac:dyDescent="0.3">
      <c r="A162" s="10"/>
      <c r="B162" s="12"/>
      <c r="C162" s="12"/>
      <c r="D162" s="12"/>
      <c r="E162" s="12"/>
      <c r="F162" s="3"/>
      <c r="G162" s="10"/>
      <c r="H162" s="3"/>
      <c r="I162" s="3"/>
      <c r="J162" s="3"/>
      <c r="K162" s="3"/>
    </row>
    <row r="163" spans="1:11" x14ac:dyDescent="0.3">
      <c r="A163" s="10"/>
      <c r="B163" s="12"/>
      <c r="C163" s="12"/>
      <c r="D163" s="12"/>
      <c r="E163" s="12"/>
      <c r="F163" s="3"/>
      <c r="G163" s="10"/>
      <c r="H163" s="3"/>
      <c r="I163" s="3"/>
      <c r="J163" s="3"/>
      <c r="K163" s="3"/>
    </row>
    <row r="164" spans="1:11" x14ac:dyDescent="0.3">
      <c r="A164" s="10"/>
      <c r="B164" s="12"/>
      <c r="C164" s="12"/>
      <c r="D164" s="12"/>
      <c r="E164" s="12"/>
      <c r="F164" s="3"/>
      <c r="G164" s="10"/>
      <c r="H164" s="3"/>
      <c r="I164" s="3"/>
      <c r="J164" s="3"/>
      <c r="K164" s="3"/>
    </row>
    <row r="165" spans="1:11" x14ac:dyDescent="0.3">
      <c r="A165" s="10"/>
      <c r="B165" s="12"/>
      <c r="C165" s="12"/>
      <c r="D165" s="12"/>
      <c r="E165" s="12"/>
      <c r="F165" s="3"/>
      <c r="G165" s="10"/>
      <c r="H165" s="3"/>
      <c r="I165" s="3"/>
      <c r="J165" s="3"/>
      <c r="K165" s="3"/>
    </row>
    <row r="166" spans="1:11" x14ac:dyDescent="0.3">
      <c r="A166" s="10"/>
      <c r="B166" s="12"/>
      <c r="C166" s="12"/>
      <c r="D166" s="12"/>
      <c r="E166" s="12"/>
      <c r="F166" s="3"/>
      <c r="G166" s="10"/>
      <c r="H166" s="3"/>
      <c r="I166" s="3"/>
      <c r="J166" s="3"/>
      <c r="K166" s="3"/>
    </row>
    <row r="167" spans="1:11" x14ac:dyDescent="0.3">
      <c r="A167" s="10"/>
      <c r="B167" s="12"/>
      <c r="C167" s="12"/>
      <c r="D167" s="12"/>
      <c r="E167" s="12"/>
      <c r="F167" s="3"/>
      <c r="G167" s="10"/>
      <c r="H167" s="3"/>
      <c r="I167" s="3"/>
      <c r="J167" s="3"/>
      <c r="K167" s="3"/>
    </row>
    <row r="168" spans="1:11" x14ac:dyDescent="0.3">
      <c r="A168" s="10"/>
      <c r="B168" s="12"/>
      <c r="C168" s="12"/>
      <c r="D168" s="12"/>
      <c r="E168" s="12"/>
      <c r="F168" s="3"/>
      <c r="G168" s="10"/>
      <c r="H168" s="3"/>
      <c r="I168" s="3"/>
      <c r="J168" s="3"/>
      <c r="K168" s="3"/>
    </row>
    <row r="169" spans="1:11" x14ac:dyDescent="0.3">
      <c r="A169" s="10"/>
      <c r="B169" s="12"/>
      <c r="C169" s="12"/>
      <c r="D169" s="12"/>
      <c r="E169" s="12"/>
      <c r="F169" s="3"/>
      <c r="G169" s="10"/>
      <c r="H169" s="3"/>
      <c r="I169" s="3"/>
      <c r="J169" s="3"/>
      <c r="K169" s="3"/>
    </row>
    <row r="170" spans="1:11" x14ac:dyDescent="0.3">
      <c r="A170" s="10"/>
      <c r="B170" s="12"/>
      <c r="C170" s="12"/>
      <c r="D170" s="12"/>
      <c r="E170" s="12"/>
      <c r="F170" s="3"/>
      <c r="G170" s="10"/>
      <c r="H170" s="3"/>
      <c r="I170" s="3"/>
      <c r="J170" s="3"/>
      <c r="K170" s="3"/>
    </row>
    <row r="171" spans="1:11" x14ac:dyDescent="0.3">
      <c r="A171" s="10"/>
      <c r="B171" s="12"/>
      <c r="C171" s="12"/>
      <c r="D171" s="12"/>
      <c r="E171" s="12"/>
      <c r="F171" s="3"/>
      <c r="G171" s="10"/>
      <c r="H171" s="3"/>
      <c r="I171" s="3"/>
      <c r="J171" s="3"/>
      <c r="K171" s="3"/>
    </row>
    <row r="172" spans="1:11" x14ac:dyDescent="0.3">
      <c r="A172" s="10"/>
      <c r="B172" s="12"/>
      <c r="C172" s="12"/>
      <c r="D172" s="12"/>
      <c r="E172" s="12"/>
      <c r="F172" s="3"/>
      <c r="G172" s="10"/>
      <c r="H172" s="3"/>
      <c r="I172" s="3"/>
      <c r="J172" s="3"/>
      <c r="K172" s="3"/>
    </row>
    <row r="173" spans="1:11" x14ac:dyDescent="0.3">
      <c r="A173" s="10"/>
      <c r="B173" s="12"/>
      <c r="C173" s="12"/>
      <c r="D173" s="12"/>
      <c r="E173" s="12"/>
      <c r="F173" s="3"/>
      <c r="G173" s="10"/>
      <c r="H173" s="3"/>
      <c r="I173" s="3"/>
      <c r="J173" s="3"/>
      <c r="K173" s="3"/>
    </row>
    <row r="174" spans="1:11" x14ac:dyDescent="0.3">
      <c r="A174" s="10"/>
      <c r="B174" s="12"/>
      <c r="C174" s="12"/>
      <c r="D174" s="12"/>
      <c r="E174" s="12"/>
      <c r="F174" s="3"/>
      <c r="G174" s="10"/>
      <c r="H174" s="3"/>
      <c r="I174" s="3"/>
      <c r="J174" s="3"/>
      <c r="K174" s="3"/>
    </row>
    <row r="175" spans="1:11" x14ac:dyDescent="0.3">
      <c r="A175" s="10"/>
      <c r="B175" s="12"/>
      <c r="C175" s="12"/>
      <c r="D175" s="12"/>
      <c r="E175" s="12"/>
      <c r="F175" s="3"/>
      <c r="G175" s="10"/>
      <c r="H175" s="3"/>
      <c r="I175" s="3"/>
      <c r="J175" s="3"/>
      <c r="K175" s="3"/>
    </row>
    <row r="176" spans="1:11" x14ac:dyDescent="0.3">
      <c r="A176" s="10"/>
      <c r="B176" s="12"/>
      <c r="C176" s="12"/>
      <c r="D176" s="12"/>
      <c r="E176" s="12"/>
      <c r="F176" s="3"/>
      <c r="G176" s="10"/>
      <c r="H176" s="3"/>
      <c r="I176" s="3"/>
      <c r="J176" s="3"/>
      <c r="K176" s="3"/>
    </row>
    <row r="177" spans="1:11" x14ac:dyDescent="0.3">
      <c r="A177" s="10"/>
      <c r="B177" s="12"/>
      <c r="C177" s="12"/>
      <c r="D177" s="12"/>
      <c r="E177" s="12"/>
      <c r="F177" s="3"/>
      <c r="G177" s="10"/>
      <c r="H177" s="3"/>
      <c r="I177" s="3"/>
      <c r="J177" s="3"/>
      <c r="K177" s="3"/>
    </row>
    <row r="178" spans="1:11" x14ac:dyDescent="0.3">
      <c r="A178" s="10"/>
      <c r="B178" s="12"/>
      <c r="C178" s="12"/>
      <c r="D178" s="12"/>
      <c r="E178" s="12"/>
      <c r="F178" s="3"/>
      <c r="G178" s="10"/>
      <c r="H178" s="3"/>
      <c r="I178" s="3"/>
      <c r="J178" s="3"/>
      <c r="K178" s="3"/>
    </row>
    <row r="179" spans="1:11" x14ac:dyDescent="0.3">
      <c r="A179" s="10"/>
      <c r="B179" s="12"/>
      <c r="C179" s="12"/>
      <c r="D179" s="12"/>
      <c r="E179" s="12"/>
      <c r="F179" s="3"/>
      <c r="G179" s="10"/>
      <c r="H179" s="3"/>
      <c r="I179" s="3"/>
      <c r="J179" s="3"/>
      <c r="K179" s="3"/>
    </row>
    <row r="180" spans="1:11" x14ac:dyDescent="0.3">
      <c r="A180" s="10"/>
      <c r="B180" s="12"/>
      <c r="C180" s="12"/>
      <c r="D180" s="12"/>
      <c r="E180" s="12"/>
      <c r="F180" s="3"/>
      <c r="G180" s="10"/>
      <c r="H180" s="3"/>
      <c r="I180" s="3"/>
      <c r="J180" s="3"/>
      <c r="K180" s="3"/>
    </row>
    <row r="181" spans="1:11" x14ac:dyDescent="0.3">
      <c r="A181" s="10"/>
      <c r="B181" s="12"/>
      <c r="C181" s="12"/>
      <c r="D181" s="12"/>
      <c r="E181" s="12"/>
      <c r="F181" s="3"/>
      <c r="G181" s="10"/>
      <c r="H181" s="3"/>
      <c r="I181" s="3"/>
      <c r="J181" s="3"/>
      <c r="K181" s="3"/>
    </row>
    <row r="182" spans="1:11" x14ac:dyDescent="0.3">
      <c r="A182" s="10"/>
      <c r="B182" s="12"/>
      <c r="C182" s="12"/>
      <c r="D182" s="12"/>
      <c r="E182" s="12"/>
      <c r="F182" s="3"/>
      <c r="G182" s="10"/>
      <c r="H182" s="3"/>
      <c r="I182" s="3"/>
      <c r="J182" s="3"/>
      <c r="K182" s="3"/>
    </row>
    <row r="183" spans="1:11" x14ac:dyDescent="0.3">
      <c r="A183" s="10"/>
      <c r="B183" s="12"/>
      <c r="C183" s="12"/>
      <c r="D183" s="12"/>
      <c r="E183" s="12"/>
      <c r="F183" s="3"/>
      <c r="G183" s="10"/>
      <c r="H183" s="3"/>
      <c r="I183" s="3"/>
      <c r="J183" s="3"/>
      <c r="K183" s="3"/>
    </row>
    <row r="184" spans="1:11" x14ac:dyDescent="0.3">
      <c r="A184" s="10"/>
      <c r="B184" s="12"/>
      <c r="C184" s="12"/>
      <c r="D184" s="12"/>
      <c r="E184" s="12"/>
      <c r="F184" s="3"/>
      <c r="G184" s="10"/>
      <c r="H184" s="3"/>
      <c r="I184" s="3"/>
      <c r="J184" s="3"/>
      <c r="K184" s="3"/>
    </row>
    <row r="185" spans="1:11" x14ac:dyDescent="0.3">
      <c r="A185" s="10"/>
      <c r="B185" s="12"/>
      <c r="C185" s="12"/>
      <c r="D185" s="12"/>
      <c r="E185" s="12"/>
      <c r="F185" s="3"/>
      <c r="G185" s="10"/>
      <c r="H185" s="3"/>
      <c r="I185" s="3"/>
      <c r="J185" s="3"/>
      <c r="K185" s="3"/>
    </row>
    <row r="186" spans="1:11" x14ac:dyDescent="0.3">
      <c r="A186" s="10"/>
      <c r="B186" s="12"/>
      <c r="C186" s="12"/>
      <c r="D186" s="12"/>
      <c r="E186" s="12"/>
      <c r="F186" s="3"/>
      <c r="G186" s="10"/>
      <c r="H186" s="3"/>
      <c r="I186" s="3"/>
      <c r="J186" s="3"/>
      <c r="K186" s="3"/>
    </row>
    <row r="187" spans="1:11" x14ac:dyDescent="0.3">
      <c r="A187" s="10"/>
      <c r="B187" s="12"/>
      <c r="C187" s="12"/>
      <c r="D187" s="12"/>
      <c r="E187" s="12"/>
      <c r="F187" s="3"/>
      <c r="G187" s="10"/>
      <c r="H187" s="3"/>
      <c r="I187" s="3"/>
      <c r="J187" s="3"/>
      <c r="K187" s="3"/>
    </row>
    <row r="188" spans="1:11" x14ac:dyDescent="0.3">
      <c r="A188" s="10"/>
      <c r="B188" s="12"/>
      <c r="C188" s="12"/>
      <c r="D188" s="12"/>
      <c r="E188" s="12"/>
      <c r="F188" s="3"/>
      <c r="G188" s="10"/>
      <c r="H188" s="3"/>
      <c r="I188" s="3"/>
      <c r="J188" s="3"/>
      <c r="K188" s="3"/>
    </row>
    <row r="189" spans="1:11" x14ac:dyDescent="0.3">
      <c r="A189" s="10"/>
      <c r="B189" s="12"/>
      <c r="C189" s="12"/>
      <c r="D189" s="12"/>
      <c r="E189" s="12"/>
      <c r="F189" s="3"/>
      <c r="G189" s="10"/>
      <c r="H189" s="3"/>
      <c r="I189" s="3"/>
      <c r="J189" s="3"/>
      <c r="K189" s="3"/>
    </row>
    <row r="190" spans="1:11" x14ac:dyDescent="0.3">
      <c r="A190" s="10"/>
      <c r="B190" s="12"/>
      <c r="C190" s="12"/>
      <c r="D190" s="12"/>
      <c r="E190" s="12"/>
      <c r="F190" s="3"/>
      <c r="G190" s="10"/>
      <c r="H190" s="3"/>
      <c r="I190" s="3"/>
      <c r="J190" s="3"/>
      <c r="K190" s="3"/>
    </row>
    <row r="191" spans="1:11" x14ac:dyDescent="0.3">
      <c r="A191" s="10"/>
      <c r="B191" s="12"/>
      <c r="C191" s="12"/>
      <c r="D191" s="12"/>
      <c r="E191" s="12"/>
      <c r="F191" s="3"/>
      <c r="G191" s="10"/>
      <c r="H191" s="3"/>
      <c r="I191" s="3"/>
      <c r="J191" s="3"/>
      <c r="K191" s="3"/>
    </row>
    <row r="192" spans="1:11" x14ac:dyDescent="0.3">
      <c r="A192" s="10"/>
      <c r="B192" s="12"/>
      <c r="C192" s="12"/>
      <c r="D192" s="12"/>
      <c r="E192" s="12"/>
      <c r="F192" s="3"/>
      <c r="G192" s="10"/>
      <c r="H192" s="3"/>
      <c r="I192" s="3"/>
      <c r="J192" s="3"/>
      <c r="K192" s="3"/>
    </row>
    <row r="193" spans="1:11" x14ac:dyDescent="0.3">
      <c r="A193" s="10"/>
      <c r="B193" s="12"/>
      <c r="C193" s="12"/>
      <c r="D193" s="12"/>
      <c r="E193" s="12"/>
      <c r="F193" s="3"/>
      <c r="G193" s="10"/>
      <c r="H193" s="3"/>
      <c r="I193" s="3"/>
      <c r="J193" s="3"/>
      <c r="K193" s="3"/>
    </row>
    <row r="194" spans="1:11" x14ac:dyDescent="0.3">
      <c r="A194" s="10"/>
      <c r="B194" s="12"/>
      <c r="C194" s="12"/>
      <c r="D194" s="12"/>
      <c r="E194" s="12"/>
      <c r="F194" s="3"/>
      <c r="G194" s="10"/>
      <c r="H194" s="3"/>
      <c r="I194" s="3"/>
      <c r="J194" s="3"/>
      <c r="K194" s="3"/>
    </row>
    <row r="195" spans="1:11" x14ac:dyDescent="0.3">
      <c r="A195" s="10"/>
      <c r="B195" s="12"/>
      <c r="C195" s="12"/>
      <c r="D195" s="12"/>
      <c r="E195" s="12"/>
      <c r="F195" s="3"/>
      <c r="G195" s="10"/>
      <c r="H195" s="3"/>
      <c r="I195" s="3"/>
      <c r="J195" s="3"/>
      <c r="K195" s="3"/>
    </row>
    <row r="196" spans="1:11" x14ac:dyDescent="0.3">
      <c r="A196" s="10"/>
      <c r="B196" s="12"/>
      <c r="C196" s="12"/>
      <c r="D196" s="12"/>
      <c r="E196" s="12"/>
      <c r="F196" s="3"/>
      <c r="G196" s="10"/>
      <c r="H196" s="3"/>
      <c r="I196" s="3"/>
      <c r="J196" s="3"/>
      <c r="K196" s="3"/>
    </row>
    <row r="197" spans="1:11" x14ac:dyDescent="0.3">
      <c r="A197" s="10"/>
      <c r="B197" s="12"/>
      <c r="C197" s="12"/>
      <c r="D197" s="12"/>
      <c r="E197" s="12"/>
      <c r="F197" s="3"/>
      <c r="G197" s="10"/>
      <c r="H197" s="3"/>
      <c r="I197" s="3"/>
      <c r="J197" s="3"/>
      <c r="K197" s="3"/>
    </row>
    <row r="198" spans="1:11" x14ac:dyDescent="0.3">
      <c r="A198" s="10"/>
      <c r="B198" s="12"/>
      <c r="C198" s="12"/>
      <c r="D198" s="12"/>
      <c r="E198" s="12"/>
      <c r="F198" s="3"/>
      <c r="G198" s="10"/>
      <c r="H198" s="3"/>
      <c r="I198" s="3"/>
      <c r="J198" s="3"/>
      <c r="K198" s="3"/>
    </row>
    <row r="199" spans="1:11" x14ac:dyDescent="0.3">
      <c r="A199" s="10"/>
      <c r="B199" s="12"/>
      <c r="C199" s="12"/>
      <c r="D199" s="12"/>
      <c r="E199" s="12"/>
      <c r="F199" s="3"/>
      <c r="G199" s="10"/>
      <c r="H199" s="3"/>
      <c r="I199" s="3"/>
      <c r="J199" s="3"/>
      <c r="K199" s="3"/>
    </row>
    <row r="200" spans="1:11" x14ac:dyDescent="0.3">
      <c r="A200" s="10"/>
      <c r="B200" s="12"/>
      <c r="C200" s="12"/>
      <c r="D200" s="12"/>
      <c r="E200" s="12"/>
      <c r="F200" s="3"/>
      <c r="G200" s="10"/>
      <c r="H200" s="3"/>
      <c r="I200" s="3"/>
      <c r="J200" s="3"/>
      <c r="K200" s="3"/>
    </row>
    <row r="201" spans="1:11" x14ac:dyDescent="0.3">
      <c r="A201" s="10"/>
      <c r="B201" s="12"/>
      <c r="C201" s="12"/>
      <c r="D201" s="12"/>
      <c r="E201" s="12"/>
      <c r="F201" s="3"/>
      <c r="G201" s="10"/>
      <c r="H201" s="3"/>
      <c r="I201" s="3"/>
      <c r="J201" s="3"/>
      <c r="K201" s="3"/>
    </row>
    <row r="202" spans="1:11" x14ac:dyDescent="0.3">
      <c r="A202" s="10"/>
      <c r="B202" s="12"/>
      <c r="C202" s="12"/>
      <c r="D202" s="12"/>
      <c r="E202" s="12"/>
      <c r="F202" s="3"/>
      <c r="G202" s="10"/>
      <c r="H202" s="3"/>
      <c r="I202" s="3"/>
      <c r="J202" s="3"/>
      <c r="K202" s="3"/>
    </row>
    <row r="203" spans="1:11" x14ac:dyDescent="0.3">
      <c r="A203" s="10"/>
      <c r="B203" s="12"/>
      <c r="C203" s="12"/>
      <c r="D203" s="12"/>
      <c r="E203" s="12"/>
      <c r="F203" s="3"/>
      <c r="G203" s="10"/>
      <c r="H203" s="3"/>
      <c r="I203" s="3"/>
      <c r="J203" s="3"/>
      <c r="K203" s="3"/>
    </row>
    <row r="204" spans="1:11" x14ac:dyDescent="0.3">
      <c r="A204" s="10"/>
      <c r="B204" s="12"/>
      <c r="C204" s="12"/>
      <c r="D204" s="12"/>
      <c r="E204" s="12"/>
      <c r="F204" s="3"/>
      <c r="G204" s="10"/>
      <c r="H204" s="3"/>
      <c r="I204" s="3"/>
      <c r="J204" s="3"/>
      <c r="K204" s="3"/>
    </row>
    <row r="205" spans="1:11" x14ac:dyDescent="0.3">
      <c r="A205" s="10"/>
      <c r="B205" s="12"/>
      <c r="C205" s="12"/>
      <c r="D205" s="12"/>
      <c r="E205" s="12"/>
      <c r="F205" s="3"/>
      <c r="G205" s="10"/>
      <c r="H205" s="3"/>
      <c r="I205" s="3"/>
      <c r="J205" s="3"/>
      <c r="K205" s="3"/>
    </row>
    <row r="206" spans="1:11" x14ac:dyDescent="0.3">
      <c r="A206" s="10"/>
      <c r="B206" s="12"/>
      <c r="C206" s="12"/>
      <c r="D206" s="12"/>
      <c r="E206" s="12"/>
      <c r="F206" s="3"/>
      <c r="G206" s="10"/>
      <c r="H206" s="3"/>
      <c r="I206" s="3"/>
      <c r="J206" s="3"/>
      <c r="K206" s="3"/>
    </row>
    <row r="207" spans="1:11" x14ac:dyDescent="0.3">
      <c r="A207" s="10"/>
      <c r="B207" s="12"/>
      <c r="C207" s="12"/>
      <c r="D207" s="12"/>
      <c r="E207" s="12"/>
      <c r="F207" s="3"/>
      <c r="G207" s="10"/>
      <c r="H207" s="3"/>
      <c r="I207" s="3"/>
      <c r="J207" s="3"/>
      <c r="K207" s="3"/>
    </row>
    <row r="208" spans="1:11" x14ac:dyDescent="0.3">
      <c r="A208" s="10"/>
      <c r="B208" s="12"/>
      <c r="C208" s="12"/>
      <c r="D208" s="12"/>
      <c r="E208" s="12"/>
      <c r="F208" s="3"/>
      <c r="G208" s="10"/>
      <c r="H208" s="3"/>
      <c r="I208" s="3"/>
      <c r="J208" s="3"/>
      <c r="K208" s="3"/>
    </row>
    <row r="209" spans="1:11" x14ac:dyDescent="0.3">
      <c r="A209" s="10"/>
      <c r="B209" s="12"/>
      <c r="C209" s="12"/>
      <c r="D209" s="12"/>
      <c r="E209" s="12"/>
      <c r="F209" s="3"/>
      <c r="G209" s="10"/>
      <c r="H209" s="3"/>
      <c r="I209" s="3"/>
      <c r="J209" s="3"/>
      <c r="K209" s="3"/>
    </row>
    <row r="210" spans="1:11" x14ac:dyDescent="0.3">
      <c r="A210" s="10"/>
      <c r="B210" s="12"/>
      <c r="C210" s="12"/>
      <c r="D210" s="12"/>
      <c r="E210" s="12"/>
      <c r="F210" s="3"/>
      <c r="G210" s="10"/>
      <c r="H210" s="3"/>
      <c r="I210" s="3"/>
      <c r="J210" s="3"/>
      <c r="K210" s="3"/>
    </row>
    <row r="211" spans="1:11" x14ac:dyDescent="0.3">
      <c r="A211" s="10"/>
      <c r="B211" s="12"/>
      <c r="C211" s="12"/>
      <c r="D211" s="12"/>
      <c r="E211" s="12"/>
      <c r="F211" s="3"/>
      <c r="G211" s="10"/>
      <c r="H211" s="3"/>
      <c r="I211" s="3"/>
      <c r="J211" s="3"/>
      <c r="K211" s="3"/>
    </row>
    <row r="212" spans="1:11" x14ac:dyDescent="0.3">
      <c r="A212" s="10"/>
      <c r="B212" s="12"/>
      <c r="C212" s="12"/>
      <c r="D212" s="12"/>
      <c r="E212" s="12"/>
      <c r="F212" s="3"/>
      <c r="G212" s="10"/>
      <c r="H212" s="3"/>
      <c r="I212" s="3"/>
      <c r="J212" s="3"/>
      <c r="K212" s="3"/>
    </row>
    <row r="213" spans="1:11" x14ac:dyDescent="0.3">
      <c r="A213" s="10"/>
      <c r="B213" s="12"/>
      <c r="C213" s="12"/>
      <c r="D213" s="12"/>
      <c r="E213" s="12"/>
      <c r="F213" s="3"/>
      <c r="G213" s="10"/>
      <c r="H213" s="3"/>
      <c r="I213" s="3"/>
      <c r="J213" s="3"/>
      <c r="K213" s="3"/>
    </row>
    <row r="214" spans="1:11" x14ac:dyDescent="0.3">
      <c r="A214" s="10"/>
      <c r="B214" s="12"/>
      <c r="C214" s="12"/>
      <c r="D214" s="12"/>
      <c r="E214" s="12"/>
      <c r="F214" s="3"/>
      <c r="G214" s="10"/>
      <c r="H214" s="3"/>
      <c r="I214" s="3"/>
      <c r="J214" s="3"/>
      <c r="K214" s="3"/>
    </row>
    <row r="215" spans="1:11" x14ac:dyDescent="0.3">
      <c r="A215" s="10"/>
      <c r="B215" s="12"/>
      <c r="C215" s="12"/>
      <c r="D215" s="12"/>
      <c r="E215" s="12"/>
      <c r="F215" s="3"/>
      <c r="G215" s="10"/>
      <c r="H215" s="3"/>
      <c r="I215" s="3"/>
      <c r="J215" s="3"/>
      <c r="K215" s="3"/>
    </row>
    <row r="216" spans="1:11" x14ac:dyDescent="0.3">
      <c r="A216" s="10"/>
      <c r="B216" s="12"/>
      <c r="C216" s="12"/>
      <c r="D216" s="12"/>
      <c r="E216" s="12"/>
      <c r="F216" s="3"/>
      <c r="G216" s="10"/>
      <c r="H216" s="3"/>
      <c r="I216" s="3"/>
      <c r="J216" s="3"/>
      <c r="K216" s="3"/>
    </row>
    <row r="217" spans="1:11" x14ac:dyDescent="0.3">
      <c r="A217" s="10"/>
      <c r="B217" s="12"/>
      <c r="C217" s="12"/>
      <c r="D217" s="12"/>
      <c r="E217" s="12"/>
      <c r="F217" s="3"/>
      <c r="G217" s="10"/>
      <c r="H217" s="3"/>
      <c r="I217" s="3"/>
      <c r="J217" s="3"/>
      <c r="K217" s="3"/>
    </row>
    <row r="218" spans="1:11" x14ac:dyDescent="0.3">
      <c r="A218" s="10"/>
      <c r="B218" s="12"/>
      <c r="C218" s="12"/>
      <c r="D218" s="12"/>
      <c r="E218" s="12"/>
      <c r="F218" s="3"/>
      <c r="G218" s="10"/>
      <c r="H218" s="3"/>
      <c r="I218" s="3"/>
      <c r="J218" s="3"/>
      <c r="K218" s="3"/>
    </row>
    <row r="219" spans="1:11" x14ac:dyDescent="0.3">
      <c r="A219" s="10"/>
      <c r="B219" s="12"/>
      <c r="C219" s="12"/>
      <c r="D219" s="12"/>
      <c r="E219" s="12"/>
      <c r="F219" s="3"/>
      <c r="G219" s="10"/>
      <c r="H219" s="3"/>
      <c r="I219" s="3"/>
      <c r="J219" s="3"/>
      <c r="K219" s="3"/>
    </row>
    <row r="220" spans="1:11" x14ac:dyDescent="0.3">
      <c r="A220" s="10"/>
      <c r="B220" s="12"/>
      <c r="C220" s="12"/>
      <c r="D220" s="12"/>
      <c r="E220" s="12"/>
      <c r="F220" s="3"/>
      <c r="G220" s="10"/>
      <c r="H220" s="3"/>
      <c r="I220" s="3"/>
      <c r="J220" s="3"/>
      <c r="K220" s="3"/>
    </row>
    <row r="221" spans="1:11" x14ac:dyDescent="0.3">
      <c r="A221" s="10"/>
      <c r="B221" s="12"/>
      <c r="C221" s="12"/>
      <c r="D221" s="12"/>
      <c r="E221" s="12"/>
      <c r="F221" s="3"/>
      <c r="G221" s="10"/>
      <c r="H221" s="3"/>
      <c r="I221" s="3"/>
      <c r="J221" s="3"/>
      <c r="K221" s="3"/>
    </row>
    <row r="222" spans="1:11" x14ac:dyDescent="0.3">
      <c r="A222" s="10"/>
      <c r="B222" s="12"/>
      <c r="C222" s="12"/>
      <c r="D222" s="12"/>
      <c r="E222" s="12"/>
      <c r="F222" s="3"/>
      <c r="G222" s="10"/>
      <c r="H222" s="3"/>
      <c r="I222" s="3"/>
      <c r="J222" s="3"/>
      <c r="K222" s="3"/>
    </row>
    <row r="223" spans="1:11" x14ac:dyDescent="0.3">
      <c r="A223" s="10"/>
      <c r="B223" s="12"/>
      <c r="C223" s="12"/>
      <c r="D223" s="12"/>
      <c r="E223" s="12"/>
      <c r="F223" s="3"/>
      <c r="G223" s="10"/>
      <c r="H223" s="3"/>
      <c r="I223" s="3"/>
      <c r="J223" s="3"/>
      <c r="K223" s="3"/>
    </row>
    <row r="224" spans="1:11" x14ac:dyDescent="0.3">
      <c r="A224" s="10"/>
      <c r="B224" s="12"/>
      <c r="C224" s="12"/>
      <c r="D224" s="12"/>
      <c r="E224" s="12"/>
      <c r="F224" s="3"/>
      <c r="G224" s="10"/>
      <c r="H224" s="3"/>
      <c r="I224" s="3"/>
      <c r="J224" s="3"/>
      <c r="K224" s="3"/>
    </row>
    <row r="225" spans="1:11" x14ac:dyDescent="0.3">
      <c r="A225" s="10"/>
      <c r="B225" s="12"/>
      <c r="C225" s="12"/>
      <c r="D225" s="12"/>
      <c r="E225" s="12"/>
      <c r="F225" s="3"/>
      <c r="G225" s="10"/>
      <c r="H225" s="3"/>
      <c r="I225" s="3"/>
      <c r="J225" s="3"/>
      <c r="K225" s="3"/>
    </row>
    <row r="226" spans="1:11" x14ac:dyDescent="0.3">
      <c r="A226" s="10"/>
      <c r="B226" s="12"/>
      <c r="C226" s="12"/>
      <c r="D226" s="12"/>
      <c r="E226" s="12"/>
      <c r="F226" s="3"/>
      <c r="G226" s="10"/>
      <c r="H226" s="3"/>
      <c r="I226" s="3"/>
      <c r="J226" s="3"/>
      <c r="K226" s="3"/>
    </row>
    <row r="227" spans="1:11" x14ac:dyDescent="0.3">
      <c r="A227" s="10"/>
      <c r="B227" s="12"/>
      <c r="C227" s="12"/>
      <c r="D227" s="12"/>
      <c r="E227" s="12"/>
      <c r="F227" s="3"/>
      <c r="G227" s="10"/>
      <c r="H227" s="3"/>
      <c r="I227" s="3"/>
      <c r="J227" s="3"/>
      <c r="K227" s="3"/>
    </row>
    <row r="228" spans="1:11" x14ac:dyDescent="0.3">
      <c r="A228" s="10"/>
      <c r="B228" s="12"/>
      <c r="C228" s="12"/>
      <c r="D228" s="12"/>
      <c r="E228" s="12"/>
      <c r="F228" s="3"/>
      <c r="G228" s="10"/>
      <c r="H228" s="3"/>
      <c r="I228" s="3"/>
      <c r="J228" s="3"/>
      <c r="K228" s="3"/>
    </row>
    <row r="229" spans="1:11" x14ac:dyDescent="0.3">
      <c r="A229" s="10"/>
      <c r="B229" s="12"/>
      <c r="C229" s="12"/>
      <c r="D229" s="12"/>
      <c r="E229" s="12"/>
      <c r="F229" s="3"/>
      <c r="G229" s="10"/>
      <c r="H229" s="3"/>
      <c r="I229" s="3"/>
      <c r="J229" s="3"/>
      <c r="K229" s="3"/>
    </row>
    <row r="230" spans="1:11" x14ac:dyDescent="0.3">
      <c r="A230" s="10"/>
      <c r="B230" s="12"/>
      <c r="C230" s="12"/>
      <c r="D230" s="12"/>
      <c r="E230" s="12"/>
      <c r="F230" s="3"/>
      <c r="G230" s="10"/>
      <c r="H230" s="3"/>
      <c r="I230" s="3"/>
      <c r="J230" s="3"/>
      <c r="K230" s="3"/>
    </row>
    <row r="231" spans="1:11" x14ac:dyDescent="0.3">
      <c r="A231" s="10"/>
      <c r="B231" s="12"/>
      <c r="C231" s="12"/>
      <c r="D231" s="12"/>
      <c r="E231" s="12"/>
      <c r="F231" s="3"/>
      <c r="G231" s="10"/>
      <c r="H231" s="3"/>
      <c r="I231" s="3"/>
      <c r="J231" s="3"/>
      <c r="K231" s="3"/>
    </row>
    <row r="232" spans="1:11" x14ac:dyDescent="0.3">
      <c r="A232" s="10"/>
      <c r="B232" s="12"/>
      <c r="C232" s="12"/>
      <c r="D232" s="12"/>
      <c r="E232" s="12"/>
      <c r="F232" s="3"/>
      <c r="G232" s="10"/>
      <c r="H232" s="3"/>
      <c r="I232" s="3"/>
      <c r="J232" s="3"/>
      <c r="K232" s="3"/>
    </row>
    <row r="233" spans="1:11" x14ac:dyDescent="0.3">
      <c r="A233" s="10"/>
      <c r="B233" s="12"/>
      <c r="C233" s="12"/>
      <c r="D233" s="12"/>
      <c r="E233" s="12"/>
      <c r="F233" s="3"/>
      <c r="G233" s="10"/>
      <c r="H233" s="3"/>
      <c r="I233" s="3"/>
      <c r="J233" s="3"/>
      <c r="K233" s="3"/>
    </row>
    <row r="234" spans="1:11" x14ac:dyDescent="0.3">
      <c r="A234" s="10"/>
      <c r="B234" s="12"/>
      <c r="C234" s="12"/>
      <c r="D234" s="12"/>
      <c r="E234" s="12"/>
      <c r="F234" s="3"/>
      <c r="G234" s="10"/>
      <c r="H234" s="3"/>
      <c r="I234" s="3"/>
      <c r="J234" s="3"/>
      <c r="K234" s="3"/>
    </row>
    <row r="235" spans="1:11" x14ac:dyDescent="0.3">
      <c r="A235" s="10"/>
      <c r="B235" s="12"/>
      <c r="C235" s="12"/>
      <c r="D235" s="12"/>
      <c r="E235" s="12"/>
      <c r="F235" s="3"/>
      <c r="G235" s="10"/>
      <c r="H235" s="3"/>
      <c r="I235" s="3"/>
      <c r="J235" s="3"/>
      <c r="K235" s="3"/>
    </row>
    <row r="236" spans="1:11" x14ac:dyDescent="0.3">
      <c r="A236" s="10"/>
      <c r="B236" s="12"/>
      <c r="C236" s="12"/>
      <c r="D236" s="12"/>
      <c r="E236" s="12"/>
      <c r="F236" s="3"/>
      <c r="G236" s="10"/>
      <c r="H236" s="3"/>
      <c r="I236" s="3"/>
      <c r="J236" s="3"/>
      <c r="K236" s="3"/>
    </row>
    <row r="237" spans="1:11" x14ac:dyDescent="0.3">
      <c r="A237" s="10"/>
      <c r="B237" s="12"/>
      <c r="C237" s="12"/>
      <c r="D237" s="12"/>
      <c r="E237" s="12"/>
      <c r="F237" s="3"/>
      <c r="G237" s="10"/>
      <c r="H237" s="3"/>
      <c r="I237" s="3"/>
      <c r="J237" s="3"/>
      <c r="K237" s="3"/>
    </row>
    <row r="238" spans="1:11" x14ac:dyDescent="0.3">
      <c r="A238" s="10"/>
      <c r="B238" s="12"/>
      <c r="C238" s="12"/>
      <c r="D238" s="12"/>
      <c r="E238" s="12"/>
      <c r="F238" s="3"/>
      <c r="G238" s="10"/>
      <c r="H238" s="3"/>
      <c r="I238" s="3"/>
      <c r="J238" s="3"/>
      <c r="K238" s="3"/>
    </row>
    <row r="239" spans="1:11" x14ac:dyDescent="0.3">
      <c r="A239" s="10"/>
      <c r="B239" s="12"/>
      <c r="C239" s="12"/>
      <c r="D239" s="12"/>
      <c r="E239" s="12"/>
      <c r="F239" s="3"/>
      <c r="G239" s="10"/>
      <c r="H239" s="3"/>
      <c r="I239" s="3"/>
      <c r="J239" s="3"/>
      <c r="K239" s="3"/>
    </row>
    <row r="240" spans="1:11" x14ac:dyDescent="0.3">
      <c r="A240" s="10"/>
      <c r="B240" s="12"/>
      <c r="C240" s="12"/>
      <c r="D240" s="12"/>
      <c r="E240" s="12"/>
      <c r="F240" s="3"/>
      <c r="G240" s="10"/>
      <c r="H240" s="3"/>
      <c r="I240" s="3"/>
      <c r="J240" s="3"/>
      <c r="K240" s="3"/>
    </row>
    <row r="241" spans="1:11" x14ac:dyDescent="0.3">
      <c r="A241" s="10"/>
      <c r="B241" s="12"/>
      <c r="C241" s="12"/>
      <c r="D241" s="12"/>
      <c r="E241" s="12"/>
      <c r="F241" s="3"/>
      <c r="G241" s="10"/>
      <c r="H241" s="3"/>
      <c r="I241" s="3"/>
      <c r="J241" s="3"/>
      <c r="K241" s="3"/>
    </row>
    <row r="242" spans="1:11" x14ac:dyDescent="0.3">
      <c r="A242" s="10"/>
      <c r="B242" s="12"/>
      <c r="C242" s="12"/>
      <c r="D242" s="12"/>
      <c r="E242" s="12"/>
      <c r="F242" s="3"/>
      <c r="G242" s="10"/>
      <c r="H242" s="3"/>
      <c r="I242" s="3"/>
      <c r="J242" s="3"/>
      <c r="K242" s="3"/>
    </row>
    <row r="243" spans="1:11" x14ac:dyDescent="0.3">
      <c r="A243" s="10"/>
      <c r="B243" s="12"/>
      <c r="C243" s="12"/>
      <c r="D243" s="12"/>
      <c r="E243" s="12"/>
      <c r="F243" s="3"/>
      <c r="G243" s="10"/>
      <c r="H243" s="3"/>
      <c r="I243" s="3"/>
      <c r="J243" s="3"/>
      <c r="K243" s="3"/>
    </row>
    <row r="244" spans="1:11" x14ac:dyDescent="0.3">
      <c r="A244" s="10"/>
      <c r="B244" s="12"/>
      <c r="C244" s="12"/>
      <c r="D244" s="12"/>
      <c r="E244" s="12"/>
      <c r="F244" s="3"/>
      <c r="G244" s="10"/>
      <c r="H244" s="3"/>
      <c r="I244" s="3"/>
      <c r="J244" s="3"/>
      <c r="K244" s="3"/>
    </row>
    <row r="245" spans="1:11" x14ac:dyDescent="0.3">
      <c r="A245" s="10"/>
      <c r="B245" s="12"/>
      <c r="C245" s="12"/>
      <c r="D245" s="12"/>
      <c r="E245" s="12"/>
      <c r="F245" s="3"/>
      <c r="G245" s="10"/>
      <c r="H245" s="3"/>
      <c r="I245" s="3"/>
      <c r="J245" s="3"/>
      <c r="K245" s="3"/>
    </row>
    <row r="246" spans="1:11" x14ac:dyDescent="0.3">
      <c r="A246" s="10"/>
      <c r="B246" s="12"/>
      <c r="C246" s="12"/>
      <c r="D246" s="12"/>
      <c r="E246" s="12"/>
      <c r="F246" s="3"/>
      <c r="G246" s="10"/>
      <c r="H246" s="3"/>
      <c r="I246" s="3"/>
      <c r="J246" s="3"/>
      <c r="K246" s="3"/>
    </row>
    <row r="247" spans="1:11" x14ac:dyDescent="0.3">
      <c r="A247" s="10"/>
      <c r="B247" s="12"/>
      <c r="C247" s="12"/>
      <c r="D247" s="12"/>
      <c r="E247" s="12"/>
      <c r="F247" s="3"/>
      <c r="G247" s="10"/>
      <c r="H247" s="3"/>
      <c r="I247" s="3"/>
      <c r="J247" s="3"/>
      <c r="K247" s="3"/>
    </row>
    <row r="248" spans="1:11" x14ac:dyDescent="0.3">
      <c r="A248" s="10"/>
      <c r="B248" s="12"/>
      <c r="C248" s="12"/>
      <c r="D248" s="12"/>
      <c r="E248" s="12"/>
      <c r="F248" s="3"/>
      <c r="G248" s="10"/>
      <c r="H248" s="3"/>
      <c r="I248" s="3"/>
      <c r="J248" s="3"/>
      <c r="K248" s="3"/>
    </row>
    <row r="249" spans="1:11" x14ac:dyDescent="0.3">
      <c r="A249" s="10"/>
      <c r="B249" s="12"/>
      <c r="C249" s="12"/>
      <c r="D249" s="12"/>
      <c r="E249" s="12"/>
      <c r="F249" s="3"/>
      <c r="G249" s="10"/>
      <c r="H249" s="3"/>
      <c r="I249" s="3"/>
      <c r="J249" s="3"/>
      <c r="K249" s="3"/>
    </row>
    <row r="250" spans="1:11" x14ac:dyDescent="0.3">
      <c r="A250" s="10"/>
      <c r="B250" s="12"/>
      <c r="C250" s="12"/>
      <c r="D250" s="12"/>
      <c r="E250" s="12"/>
      <c r="F250" s="3"/>
      <c r="G250" s="10"/>
      <c r="H250" s="3"/>
      <c r="I250" s="3"/>
      <c r="J250" s="3"/>
      <c r="K250" s="3"/>
    </row>
    <row r="251" spans="1:11" x14ac:dyDescent="0.3">
      <c r="A251" s="10"/>
      <c r="B251" s="12"/>
      <c r="C251" s="12"/>
      <c r="D251" s="12"/>
      <c r="E251" s="12"/>
      <c r="F251" s="3"/>
      <c r="G251" s="10"/>
      <c r="H251" s="3"/>
      <c r="I251" s="3"/>
      <c r="J251" s="3"/>
      <c r="K251" s="3"/>
    </row>
    <row r="252" spans="1:11" x14ac:dyDescent="0.3">
      <c r="A252" s="10"/>
      <c r="B252" s="12"/>
      <c r="C252" s="12"/>
      <c r="D252" s="12"/>
      <c r="E252" s="12"/>
      <c r="F252" s="3"/>
      <c r="G252" s="10"/>
      <c r="H252" s="3"/>
      <c r="I252" s="3"/>
      <c r="J252" s="3"/>
      <c r="K252" s="3"/>
    </row>
    <row r="253" spans="1:11" x14ac:dyDescent="0.3">
      <c r="A253" s="10"/>
      <c r="B253" s="12"/>
      <c r="C253" s="12"/>
      <c r="D253" s="12"/>
      <c r="E253" s="12"/>
      <c r="F253" s="3"/>
      <c r="G253" s="10"/>
      <c r="H253" s="3"/>
      <c r="I253" s="3"/>
      <c r="J253" s="3"/>
      <c r="K253" s="3"/>
    </row>
    <row r="254" spans="1:11" x14ac:dyDescent="0.3">
      <c r="A254" s="10"/>
      <c r="B254" s="12"/>
      <c r="C254" s="12"/>
      <c r="D254" s="12"/>
      <c r="E254" s="12"/>
      <c r="F254" s="3"/>
      <c r="G254" s="10"/>
      <c r="H254" s="3"/>
      <c r="I254" s="3"/>
      <c r="J254" s="3"/>
      <c r="K254" s="3"/>
    </row>
    <row r="255" spans="1:11" x14ac:dyDescent="0.3">
      <c r="A255" s="10"/>
      <c r="B255" s="12"/>
      <c r="C255" s="12"/>
      <c r="D255" s="12"/>
      <c r="E255" s="12"/>
      <c r="F255" s="3"/>
      <c r="G255" s="10"/>
      <c r="H255" s="3"/>
      <c r="I255" s="3"/>
      <c r="J255" s="3"/>
      <c r="K255" s="3"/>
    </row>
    <row r="256" spans="1:11" x14ac:dyDescent="0.3">
      <c r="A256" s="10"/>
      <c r="B256" s="12"/>
      <c r="C256" s="12"/>
      <c r="D256" s="12"/>
      <c r="E256" s="12"/>
      <c r="F256" s="3"/>
      <c r="G256" s="10"/>
      <c r="H256" s="3"/>
      <c r="I256" s="3"/>
      <c r="J256" s="3"/>
      <c r="K256" s="3"/>
    </row>
    <row r="257" spans="1:11" x14ac:dyDescent="0.3">
      <c r="A257" s="10"/>
      <c r="B257" s="12"/>
      <c r="C257" s="12"/>
      <c r="D257" s="12"/>
      <c r="E257" s="12"/>
      <c r="F257" s="3"/>
      <c r="G257" s="10"/>
      <c r="H257" s="3"/>
      <c r="I257" s="3"/>
      <c r="J257" s="3"/>
      <c r="K257" s="3"/>
    </row>
    <row r="258" spans="1:11" x14ac:dyDescent="0.3">
      <c r="A258" s="10"/>
      <c r="B258" s="12"/>
      <c r="C258" s="12"/>
      <c r="D258" s="12"/>
      <c r="E258" s="12"/>
      <c r="F258" s="3"/>
      <c r="G258" s="10"/>
      <c r="H258" s="3"/>
      <c r="I258" s="3"/>
      <c r="J258" s="3"/>
      <c r="K258" s="3"/>
    </row>
    <row r="259" spans="1:11" x14ac:dyDescent="0.3">
      <c r="A259" s="10"/>
      <c r="B259" s="12"/>
      <c r="C259" s="12"/>
      <c r="D259" s="12"/>
      <c r="E259" s="12"/>
      <c r="F259" s="3"/>
      <c r="G259" s="10"/>
      <c r="H259" s="3"/>
      <c r="I259" s="3"/>
      <c r="J259" s="3"/>
      <c r="K259" s="3"/>
    </row>
    <row r="260" spans="1:11" x14ac:dyDescent="0.3">
      <c r="A260" s="10"/>
      <c r="B260" s="12"/>
      <c r="C260" s="12"/>
      <c r="D260" s="12"/>
      <c r="E260" s="12"/>
      <c r="F260" s="3"/>
      <c r="G260" s="10"/>
      <c r="H260" s="3"/>
      <c r="I260" s="3"/>
      <c r="J260" s="3"/>
      <c r="K260" s="3"/>
    </row>
    <row r="261" spans="1:11" x14ac:dyDescent="0.3">
      <c r="A261" s="10"/>
      <c r="B261" s="12"/>
      <c r="C261" s="12"/>
      <c r="D261" s="12"/>
      <c r="E261" s="12"/>
      <c r="F261" s="3"/>
      <c r="G261" s="10"/>
      <c r="H261" s="3"/>
      <c r="I261" s="3"/>
      <c r="J261" s="3"/>
      <c r="K261" s="3"/>
    </row>
    <row r="262" spans="1:11" x14ac:dyDescent="0.3">
      <c r="A262" s="10"/>
      <c r="B262" s="12"/>
      <c r="C262" s="12"/>
      <c r="D262" s="12"/>
      <c r="E262" s="12"/>
      <c r="F262" s="3"/>
      <c r="G262" s="10"/>
      <c r="H262" s="3"/>
      <c r="I262" s="3"/>
      <c r="J262" s="3"/>
      <c r="K262" s="3"/>
    </row>
    <row r="263" spans="1:11" x14ac:dyDescent="0.3">
      <c r="A263" s="10"/>
      <c r="B263" s="12"/>
      <c r="C263" s="12"/>
      <c r="D263" s="12"/>
      <c r="E263" s="12"/>
      <c r="F263" s="3"/>
      <c r="G263" s="10"/>
      <c r="H263" s="3"/>
      <c r="I263" s="3"/>
      <c r="J263" s="3"/>
      <c r="K263" s="3"/>
    </row>
    <row r="264" spans="1:11" x14ac:dyDescent="0.3">
      <c r="A264" s="10"/>
      <c r="B264" s="12"/>
      <c r="C264" s="12"/>
      <c r="D264" s="12"/>
      <c r="E264" s="12"/>
      <c r="F264" s="3"/>
      <c r="G264" s="10"/>
      <c r="H264" s="3"/>
      <c r="I264" s="3"/>
      <c r="J264" s="3"/>
      <c r="K264" s="3"/>
    </row>
    <row r="265" spans="1:11" x14ac:dyDescent="0.3">
      <c r="A265" s="10"/>
      <c r="B265" s="12"/>
      <c r="C265" s="12"/>
      <c r="D265" s="12"/>
      <c r="E265" s="12"/>
      <c r="F265" s="3"/>
      <c r="G265" s="10"/>
      <c r="H265" s="3"/>
      <c r="I265" s="3"/>
      <c r="J265" s="3"/>
      <c r="K265" s="3"/>
    </row>
    <row r="266" spans="1:11" x14ac:dyDescent="0.3">
      <c r="A266" s="10"/>
      <c r="B266" s="12"/>
      <c r="C266" s="12"/>
      <c r="D266" s="12"/>
      <c r="E266" s="12"/>
      <c r="F266" s="3"/>
      <c r="G266" s="10"/>
      <c r="H266" s="3"/>
      <c r="I266" s="3"/>
      <c r="J266" s="3"/>
      <c r="K266" s="3"/>
    </row>
    <row r="267" spans="1:11" x14ac:dyDescent="0.3">
      <c r="A267" s="10"/>
      <c r="B267" s="12"/>
      <c r="C267" s="12"/>
      <c r="D267" s="12"/>
      <c r="E267" s="12"/>
      <c r="F267" s="3"/>
      <c r="G267" s="10"/>
      <c r="H267" s="3"/>
      <c r="I267" s="3"/>
      <c r="J267" s="3"/>
      <c r="K267" s="3"/>
    </row>
    <row r="268" spans="1:11" x14ac:dyDescent="0.3">
      <c r="A268" s="10"/>
      <c r="B268" s="12"/>
      <c r="C268" s="12"/>
      <c r="D268" s="12"/>
      <c r="E268" s="12"/>
      <c r="F268" s="3"/>
      <c r="G268" s="10"/>
      <c r="H268" s="3"/>
      <c r="I268" s="3"/>
      <c r="J268" s="3"/>
      <c r="K268" s="3"/>
    </row>
    <row r="269" spans="1:11" x14ac:dyDescent="0.3">
      <c r="A269" s="10"/>
      <c r="B269" s="12"/>
      <c r="C269" s="12"/>
      <c r="D269" s="12"/>
      <c r="E269" s="12"/>
      <c r="F269" s="3"/>
      <c r="G269" s="10"/>
      <c r="H269" s="3"/>
      <c r="I269" s="3"/>
      <c r="J269" s="3"/>
      <c r="K269" s="3"/>
    </row>
    <row r="270" spans="1:11" x14ac:dyDescent="0.3">
      <c r="A270" s="10"/>
      <c r="B270" s="12"/>
      <c r="C270" s="12"/>
      <c r="D270" s="12"/>
      <c r="E270" s="12"/>
      <c r="F270" s="3"/>
      <c r="G270" s="10"/>
      <c r="H270" s="3"/>
      <c r="I270" s="3"/>
      <c r="J270" s="3"/>
      <c r="K270" s="3"/>
    </row>
    <row r="271" spans="1:11" x14ac:dyDescent="0.3">
      <c r="A271" s="10"/>
      <c r="B271" s="12"/>
      <c r="C271" s="12"/>
      <c r="D271" s="12"/>
      <c r="E271" s="12"/>
      <c r="F271" s="3"/>
      <c r="G271" s="10"/>
      <c r="H271" s="3"/>
      <c r="I271" s="3"/>
      <c r="J271" s="3"/>
      <c r="K271" s="3"/>
    </row>
    <row r="272" spans="1:11" x14ac:dyDescent="0.3">
      <c r="A272" s="10"/>
      <c r="B272" s="12"/>
      <c r="C272" s="12"/>
      <c r="D272" s="12"/>
      <c r="E272" s="12"/>
      <c r="F272" s="3"/>
      <c r="G272" s="10"/>
      <c r="H272" s="3"/>
      <c r="I272" s="3"/>
      <c r="J272" s="3"/>
      <c r="K272" s="3"/>
    </row>
    <row r="273" spans="1:11" x14ac:dyDescent="0.3">
      <c r="A273" s="10"/>
      <c r="B273" s="12"/>
      <c r="C273" s="12"/>
      <c r="D273" s="12"/>
      <c r="E273" s="12"/>
      <c r="F273" s="3"/>
      <c r="G273" s="10"/>
      <c r="H273" s="3"/>
      <c r="I273" s="3"/>
      <c r="J273" s="3"/>
      <c r="K273" s="3"/>
    </row>
    <row r="274" spans="1:11" x14ac:dyDescent="0.3">
      <c r="A274" s="10"/>
      <c r="B274" s="12"/>
      <c r="C274" s="12"/>
      <c r="D274" s="12"/>
      <c r="E274" s="12"/>
      <c r="F274" s="3"/>
      <c r="G274" s="10"/>
      <c r="H274" s="3"/>
      <c r="I274" s="3"/>
      <c r="J274" s="3"/>
      <c r="K274" s="3"/>
    </row>
    <row r="275" spans="1:11" x14ac:dyDescent="0.3">
      <c r="A275" s="10"/>
      <c r="B275" s="12"/>
      <c r="C275" s="12"/>
      <c r="D275" s="12"/>
      <c r="E275" s="12"/>
      <c r="F275" s="3"/>
      <c r="G275" s="10"/>
      <c r="H275" s="3"/>
      <c r="I275" s="3"/>
      <c r="J275" s="3"/>
      <c r="K275" s="3"/>
    </row>
    <row r="276" spans="1:11" x14ac:dyDescent="0.3">
      <c r="A276" s="10"/>
      <c r="B276" s="12"/>
      <c r="C276" s="12"/>
      <c r="D276" s="12"/>
      <c r="E276" s="12"/>
      <c r="F276" s="3"/>
      <c r="G276" s="10"/>
      <c r="H276" s="3"/>
      <c r="I276" s="3"/>
      <c r="J276" s="3"/>
      <c r="K276" s="3"/>
    </row>
    <row r="277" spans="1:11" x14ac:dyDescent="0.3">
      <c r="A277" s="10"/>
      <c r="B277" s="12"/>
      <c r="C277" s="12"/>
      <c r="D277" s="12"/>
      <c r="E277" s="12"/>
      <c r="F277" s="3"/>
      <c r="G277" s="10"/>
      <c r="H277" s="3"/>
      <c r="I277" s="3"/>
      <c r="J277" s="3"/>
      <c r="K277" s="3"/>
    </row>
    <row r="278" spans="1:11" x14ac:dyDescent="0.3">
      <c r="A278" s="10"/>
      <c r="B278" s="12"/>
      <c r="C278" s="12"/>
      <c r="D278" s="12"/>
      <c r="E278" s="12"/>
      <c r="F278" s="3"/>
      <c r="G278" s="10"/>
      <c r="H278" s="3"/>
      <c r="I278" s="3"/>
      <c r="J278" s="3"/>
      <c r="K278" s="3"/>
    </row>
    <row r="279" spans="1:11" x14ac:dyDescent="0.3">
      <c r="A279" s="10"/>
      <c r="B279" s="12"/>
      <c r="C279" s="12"/>
      <c r="D279" s="12"/>
      <c r="E279" s="12"/>
      <c r="F279" s="3"/>
      <c r="G279" s="10"/>
      <c r="H279" s="3"/>
      <c r="I279" s="3"/>
      <c r="J279" s="3"/>
      <c r="K279" s="3"/>
    </row>
    <row r="280" spans="1:11" x14ac:dyDescent="0.3">
      <c r="A280" s="10"/>
      <c r="B280" s="12"/>
      <c r="C280" s="12"/>
      <c r="D280" s="12"/>
      <c r="E280" s="12"/>
      <c r="F280" s="3"/>
      <c r="G280" s="10"/>
      <c r="H280" s="3"/>
      <c r="I280" s="3"/>
      <c r="J280" s="3"/>
      <c r="K280" s="3"/>
    </row>
    <row r="281" spans="1:11" x14ac:dyDescent="0.3">
      <c r="A281" s="10"/>
      <c r="B281" s="12"/>
      <c r="C281" s="12"/>
      <c r="D281" s="12"/>
      <c r="E281" s="12"/>
      <c r="F281" s="3"/>
      <c r="G281" s="10"/>
      <c r="H281" s="3"/>
      <c r="I281" s="3"/>
      <c r="J281" s="3"/>
      <c r="K281" s="3"/>
    </row>
    <row r="282" spans="1:11" x14ac:dyDescent="0.3">
      <c r="A282" s="10"/>
      <c r="B282" s="12"/>
      <c r="C282" s="12"/>
      <c r="D282" s="12"/>
      <c r="E282" s="12"/>
      <c r="F282" s="3"/>
      <c r="G282" s="10"/>
      <c r="H282" s="3"/>
      <c r="I282" s="3"/>
      <c r="J282" s="3"/>
      <c r="K282" s="3"/>
    </row>
    <row r="283" spans="1:11" x14ac:dyDescent="0.3">
      <c r="A283" s="10"/>
      <c r="B283" s="12"/>
      <c r="C283" s="12"/>
      <c r="D283" s="12"/>
      <c r="E283" s="12"/>
      <c r="F283" s="3"/>
      <c r="G283" s="10"/>
      <c r="H283" s="3"/>
      <c r="I283" s="3"/>
      <c r="J283" s="3"/>
      <c r="K283" s="3"/>
    </row>
    <row r="284" spans="1:11" x14ac:dyDescent="0.3">
      <c r="A284" s="10"/>
      <c r="B284" s="12"/>
      <c r="C284" s="12"/>
      <c r="D284" s="12"/>
      <c r="E284" s="12"/>
      <c r="F284" s="3"/>
      <c r="G284" s="10"/>
      <c r="H284" s="3"/>
      <c r="I284" s="3"/>
      <c r="J284" s="3"/>
      <c r="K284" s="3"/>
    </row>
    <row r="285" spans="1:11" x14ac:dyDescent="0.3">
      <c r="A285" s="10"/>
      <c r="B285" s="12"/>
      <c r="C285" s="12"/>
      <c r="D285" s="12"/>
      <c r="E285" s="12"/>
      <c r="F285" s="3"/>
      <c r="G285" s="10"/>
      <c r="H285" s="3"/>
      <c r="I285" s="3"/>
      <c r="J285" s="3"/>
      <c r="K285" s="3"/>
    </row>
    <row r="286" spans="1:11" x14ac:dyDescent="0.3">
      <c r="A286" s="10"/>
      <c r="B286" s="12"/>
      <c r="C286" s="12"/>
      <c r="D286" s="12"/>
      <c r="E286" s="12"/>
      <c r="F286" s="3"/>
      <c r="G286" s="10"/>
      <c r="H286" s="3"/>
      <c r="I286" s="3"/>
      <c r="J286" s="3"/>
      <c r="K286" s="3"/>
    </row>
    <row r="287" spans="1:11" x14ac:dyDescent="0.3">
      <c r="A287" s="10"/>
      <c r="B287" s="12"/>
      <c r="C287" s="12"/>
      <c r="D287" s="12"/>
      <c r="E287" s="12"/>
      <c r="F287" s="3"/>
      <c r="G287" s="10"/>
      <c r="H287" s="3"/>
      <c r="I287" s="3"/>
      <c r="J287" s="3"/>
      <c r="K287" s="3"/>
    </row>
    <row r="288" spans="1:11" x14ac:dyDescent="0.3">
      <c r="A288" s="10"/>
      <c r="B288" s="12"/>
      <c r="C288" s="12"/>
      <c r="D288" s="12"/>
      <c r="E288" s="12"/>
      <c r="F288" s="3"/>
      <c r="G288" s="10"/>
      <c r="H288" s="3"/>
      <c r="I288" s="3"/>
      <c r="J288" s="3"/>
      <c r="K288" s="3"/>
    </row>
    <row r="289" spans="1:11" x14ac:dyDescent="0.3">
      <c r="A289" s="10"/>
      <c r="B289" s="12"/>
      <c r="C289" s="12"/>
      <c r="D289" s="12"/>
      <c r="E289" s="12"/>
      <c r="F289" s="3"/>
      <c r="G289" s="10"/>
      <c r="H289" s="3"/>
      <c r="I289" s="3"/>
      <c r="J289" s="3"/>
      <c r="K289" s="3"/>
    </row>
    <row r="290" spans="1:11" x14ac:dyDescent="0.3">
      <c r="A290" s="10"/>
      <c r="B290" s="12"/>
      <c r="C290" s="12"/>
      <c r="D290" s="12"/>
      <c r="E290" s="12"/>
      <c r="F290" s="3"/>
      <c r="G290" s="10"/>
      <c r="H290" s="3"/>
      <c r="I290" s="3"/>
      <c r="J290" s="3"/>
      <c r="K290" s="3"/>
    </row>
    <row r="291" spans="1:11" x14ac:dyDescent="0.3">
      <c r="A291" s="10"/>
      <c r="B291" s="12"/>
      <c r="C291" s="12"/>
      <c r="D291" s="12"/>
      <c r="E291" s="12"/>
      <c r="F291" s="3"/>
      <c r="G291" s="10"/>
      <c r="H291" s="3"/>
      <c r="I291" s="3"/>
      <c r="J291" s="3"/>
      <c r="K291" s="3"/>
    </row>
    <row r="292" spans="1:11" x14ac:dyDescent="0.3">
      <c r="A292" s="10"/>
      <c r="B292" s="12"/>
      <c r="C292" s="12"/>
      <c r="D292" s="12"/>
      <c r="E292" s="12"/>
      <c r="F292" s="3"/>
      <c r="G292" s="10"/>
      <c r="H292" s="3"/>
      <c r="I292" s="3"/>
      <c r="J292" s="3"/>
      <c r="K292" s="3"/>
    </row>
    <row r="293" spans="1:11" x14ac:dyDescent="0.3">
      <c r="A293" s="10"/>
      <c r="B293" s="12"/>
      <c r="C293" s="12"/>
      <c r="D293" s="12"/>
      <c r="E293" s="12"/>
      <c r="F293" s="3"/>
      <c r="G293" s="10"/>
      <c r="H293" s="3"/>
      <c r="I293" s="3"/>
      <c r="J293" s="3"/>
      <c r="K293" s="3"/>
    </row>
    <row r="294" spans="1:11" x14ac:dyDescent="0.3">
      <c r="A294" s="10"/>
      <c r="B294" s="12"/>
      <c r="C294" s="12"/>
      <c r="D294" s="12"/>
      <c r="E294" s="12"/>
      <c r="F294" s="3"/>
      <c r="G294" s="10"/>
      <c r="H294" s="3"/>
      <c r="I294" s="3"/>
      <c r="J294" s="3"/>
      <c r="K294" s="3"/>
    </row>
    <row r="295" spans="1:11" x14ac:dyDescent="0.3">
      <c r="A295" s="10"/>
      <c r="B295" s="12"/>
      <c r="C295" s="12"/>
      <c r="D295" s="12"/>
      <c r="E295" s="12"/>
      <c r="F295" s="3"/>
      <c r="G295" s="10"/>
      <c r="H295" s="3"/>
      <c r="I295" s="3"/>
      <c r="J295" s="3"/>
      <c r="K295" s="3"/>
    </row>
    <row r="296" spans="1:11" x14ac:dyDescent="0.3">
      <c r="A296" s="10"/>
      <c r="B296" s="12"/>
      <c r="C296" s="12"/>
      <c r="D296" s="12"/>
      <c r="E296" s="12"/>
      <c r="F296" s="3"/>
      <c r="G296" s="10"/>
      <c r="H296" s="3"/>
      <c r="I296" s="3"/>
      <c r="J296" s="3"/>
      <c r="K296" s="3"/>
    </row>
    <row r="297" spans="1:11" x14ac:dyDescent="0.3">
      <c r="A297" s="10"/>
      <c r="B297" s="12"/>
      <c r="C297" s="12"/>
      <c r="D297" s="12"/>
      <c r="E297" s="12"/>
      <c r="F297" s="3"/>
      <c r="G297" s="10"/>
      <c r="H297" s="3"/>
      <c r="I297" s="3"/>
      <c r="J297" s="3"/>
      <c r="K297" s="3"/>
    </row>
    <row r="298" spans="1:11" x14ac:dyDescent="0.3">
      <c r="A298" s="10"/>
      <c r="B298" s="12"/>
      <c r="C298" s="12"/>
      <c r="D298" s="12"/>
      <c r="E298" s="12"/>
      <c r="F298" s="3"/>
      <c r="G298" s="10"/>
      <c r="H298" s="3"/>
      <c r="I298" s="3"/>
      <c r="J298" s="3"/>
      <c r="K298" s="3"/>
    </row>
    <row r="299" spans="1:11" x14ac:dyDescent="0.3">
      <c r="A299" s="10"/>
      <c r="B299" s="12"/>
      <c r="C299" s="12"/>
      <c r="D299" s="12"/>
      <c r="E299" s="12"/>
      <c r="F299" s="3"/>
      <c r="G299" s="10"/>
      <c r="H299" s="3"/>
      <c r="I299" s="3"/>
      <c r="J299" s="3"/>
      <c r="K299" s="3"/>
    </row>
    <row r="300" spans="1:11" x14ac:dyDescent="0.3">
      <c r="A300" s="10"/>
      <c r="B300" s="12"/>
      <c r="C300" s="12"/>
      <c r="D300" s="12"/>
      <c r="E300" s="12"/>
      <c r="F300" s="3"/>
      <c r="G300" s="10"/>
      <c r="H300" s="3"/>
      <c r="I300" s="3"/>
      <c r="J300" s="3"/>
      <c r="K300" s="3"/>
    </row>
    <row r="301" spans="1:11" x14ac:dyDescent="0.3">
      <c r="A301" s="10"/>
      <c r="B301" s="12"/>
      <c r="C301" s="12"/>
      <c r="D301" s="12"/>
      <c r="E301" s="12"/>
      <c r="F301" s="3"/>
      <c r="G301" s="10"/>
      <c r="H301" s="3"/>
      <c r="I301" s="3"/>
      <c r="J301" s="3"/>
      <c r="K301" s="3"/>
    </row>
    <row r="302" spans="1:11" x14ac:dyDescent="0.3">
      <c r="A302" s="10"/>
      <c r="B302" s="12"/>
      <c r="C302" s="12"/>
      <c r="D302" s="12"/>
      <c r="E302" s="12"/>
      <c r="F302" s="3"/>
      <c r="G302" s="10"/>
      <c r="H302" s="3"/>
      <c r="I302" s="3"/>
      <c r="J302" s="3"/>
      <c r="K302" s="3"/>
    </row>
    <row r="303" spans="1:11" x14ac:dyDescent="0.3">
      <c r="A303" s="10"/>
      <c r="B303" s="12"/>
      <c r="C303" s="12"/>
      <c r="D303" s="12"/>
      <c r="E303" s="12"/>
      <c r="F303" s="3"/>
      <c r="G303" s="10"/>
      <c r="H303" s="3"/>
      <c r="I303" s="3"/>
      <c r="J303" s="3"/>
      <c r="K303" s="3"/>
    </row>
    <row r="304" spans="1:11" x14ac:dyDescent="0.3">
      <c r="A304" s="10"/>
      <c r="B304" s="12"/>
      <c r="C304" s="12"/>
      <c r="D304" s="12"/>
      <c r="E304" s="12"/>
      <c r="F304" s="3"/>
      <c r="G304" s="10"/>
      <c r="H304" s="3"/>
      <c r="I304" s="3"/>
      <c r="J304" s="3"/>
      <c r="K304" s="3"/>
    </row>
    <row r="305" spans="1:11" x14ac:dyDescent="0.3">
      <c r="A305" s="10"/>
      <c r="B305" s="12"/>
      <c r="C305" s="12"/>
      <c r="D305" s="12"/>
      <c r="E305" s="12"/>
      <c r="F305" s="3"/>
      <c r="G305" s="10"/>
      <c r="H305" s="3"/>
      <c r="I305" s="3"/>
      <c r="J305" s="3"/>
      <c r="K305" s="3"/>
    </row>
    <row r="306" spans="1:11" x14ac:dyDescent="0.3">
      <c r="A306" s="10"/>
      <c r="B306" s="12"/>
      <c r="C306" s="12"/>
      <c r="D306" s="12"/>
      <c r="E306" s="12"/>
      <c r="F306" s="3"/>
      <c r="G306" s="10"/>
      <c r="H306" s="3"/>
      <c r="I306" s="3"/>
      <c r="J306" s="3"/>
      <c r="K306" s="3"/>
    </row>
    <row r="307" spans="1:11" x14ac:dyDescent="0.3">
      <c r="A307" s="10"/>
      <c r="B307" s="12"/>
      <c r="C307" s="12"/>
      <c r="D307" s="12"/>
      <c r="E307" s="12"/>
      <c r="F307" s="3"/>
      <c r="G307" s="10"/>
      <c r="H307" s="3"/>
      <c r="I307" s="3"/>
      <c r="J307" s="3"/>
      <c r="K307" s="3"/>
    </row>
    <row r="308" spans="1:11" x14ac:dyDescent="0.3">
      <c r="A308" s="10"/>
      <c r="B308" s="12"/>
      <c r="C308" s="12"/>
      <c r="D308" s="12"/>
      <c r="E308" s="12"/>
      <c r="F308" s="3"/>
      <c r="G308" s="10"/>
      <c r="H308" s="3"/>
      <c r="I308" s="3"/>
      <c r="J308" s="3"/>
      <c r="K308" s="3"/>
    </row>
    <row r="309" spans="1:11" x14ac:dyDescent="0.3">
      <c r="A309" s="10"/>
      <c r="B309" s="12"/>
      <c r="C309" s="12"/>
      <c r="D309" s="12"/>
      <c r="E309" s="12"/>
      <c r="F309" s="3"/>
      <c r="G309" s="10"/>
      <c r="H309" s="3"/>
      <c r="I309" s="3"/>
      <c r="J309" s="3"/>
      <c r="K309" s="3"/>
    </row>
    <row r="310" spans="1:11" x14ac:dyDescent="0.3">
      <c r="A310" s="10"/>
      <c r="B310" s="12"/>
      <c r="C310" s="12"/>
      <c r="D310" s="12"/>
      <c r="E310" s="12"/>
      <c r="F310" s="3"/>
      <c r="G310" s="10"/>
      <c r="H310" s="3"/>
      <c r="I310" s="3"/>
      <c r="J310" s="3"/>
      <c r="K310" s="3"/>
    </row>
    <row r="311" spans="1:11" x14ac:dyDescent="0.3">
      <c r="A311" s="10"/>
      <c r="B311" s="12"/>
      <c r="C311" s="12"/>
      <c r="D311" s="12"/>
      <c r="E311" s="12"/>
      <c r="F311" s="3"/>
      <c r="G311" s="10"/>
      <c r="H311" s="3"/>
      <c r="I311" s="3"/>
      <c r="J311" s="3"/>
      <c r="K311" s="3"/>
    </row>
    <row r="312" spans="1:11" x14ac:dyDescent="0.3">
      <c r="A312" s="10"/>
      <c r="B312" s="12"/>
      <c r="C312" s="12"/>
      <c r="D312" s="12"/>
      <c r="E312" s="12"/>
      <c r="F312" s="3"/>
      <c r="G312" s="10"/>
      <c r="H312" s="3"/>
      <c r="I312" s="3"/>
      <c r="J312" s="3"/>
      <c r="K312" s="3"/>
    </row>
    <row r="313" spans="1:11" x14ac:dyDescent="0.3">
      <c r="A313" s="10"/>
      <c r="B313" s="12"/>
      <c r="C313" s="12"/>
      <c r="D313" s="12"/>
      <c r="E313" s="12"/>
      <c r="F313" s="3"/>
      <c r="G313" s="10"/>
      <c r="H313" s="3"/>
      <c r="I313" s="3"/>
      <c r="J313" s="3"/>
      <c r="K313" s="3"/>
    </row>
    <row r="314" spans="1:11" x14ac:dyDescent="0.3">
      <c r="A314" s="10"/>
      <c r="B314" s="12"/>
      <c r="C314" s="12"/>
      <c r="D314" s="12"/>
      <c r="E314" s="12"/>
      <c r="F314" s="3"/>
      <c r="G314" s="10"/>
      <c r="H314" s="3"/>
      <c r="I314" s="3"/>
      <c r="J314" s="3"/>
      <c r="K314" s="3"/>
    </row>
    <row r="315" spans="1:11" x14ac:dyDescent="0.3">
      <c r="A315" s="10"/>
      <c r="B315" s="12"/>
      <c r="C315" s="12"/>
      <c r="D315" s="12"/>
      <c r="E315" s="12"/>
      <c r="F315" s="3"/>
      <c r="G315" s="10"/>
      <c r="H315" s="3"/>
      <c r="I315" s="3"/>
      <c r="J315" s="3"/>
      <c r="K315" s="3"/>
    </row>
    <row r="316" spans="1:11" x14ac:dyDescent="0.3">
      <c r="A316" s="10"/>
      <c r="B316" s="12"/>
      <c r="C316" s="12"/>
      <c r="D316" s="12"/>
      <c r="E316" s="12"/>
      <c r="F316" s="3"/>
      <c r="G316" s="10"/>
      <c r="H316" s="3"/>
      <c r="I316" s="3"/>
      <c r="J316" s="3"/>
      <c r="K316" s="3"/>
    </row>
    <row r="317" spans="1:11" x14ac:dyDescent="0.3">
      <c r="A317" s="10"/>
      <c r="B317" s="12"/>
      <c r="C317" s="12"/>
      <c r="D317" s="12"/>
      <c r="E317" s="12"/>
      <c r="F317" s="3"/>
      <c r="G317" s="10"/>
      <c r="H317" s="3"/>
      <c r="I317" s="3"/>
      <c r="J317" s="3"/>
      <c r="K317" s="3"/>
    </row>
    <row r="318" spans="1:11" x14ac:dyDescent="0.3">
      <c r="A318" s="10"/>
      <c r="B318" s="12"/>
      <c r="C318" s="12"/>
      <c r="D318" s="12"/>
      <c r="E318" s="12"/>
      <c r="F318" s="3"/>
      <c r="G318" s="10"/>
      <c r="H318" s="3"/>
      <c r="I318" s="3"/>
      <c r="J318" s="3"/>
      <c r="K318" s="3"/>
    </row>
    <row r="319" spans="1:11" x14ac:dyDescent="0.3">
      <c r="A319" s="10"/>
      <c r="B319" s="12"/>
      <c r="C319" s="12"/>
      <c r="D319" s="12"/>
      <c r="E319" s="12"/>
      <c r="F319" s="3"/>
      <c r="G319" s="10"/>
      <c r="H319" s="3"/>
      <c r="I319" s="3"/>
      <c r="J319" s="3"/>
      <c r="K319" s="3"/>
    </row>
    <row r="320" spans="1:11" x14ac:dyDescent="0.3">
      <c r="A320" s="10"/>
      <c r="B320" s="12"/>
      <c r="C320" s="12"/>
      <c r="D320" s="12"/>
      <c r="E320" s="12"/>
      <c r="F320" s="3"/>
      <c r="G320" s="10"/>
      <c r="H320" s="3"/>
      <c r="I320" s="3"/>
      <c r="J320" s="3"/>
      <c r="K320" s="3"/>
    </row>
    <row r="321" spans="1:11" x14ac:dyDescent="0.3">
      <c r="A321" s="10"/>
      <c r="B321" s="12"/>
      <c r="C321" s="12"/>
      <c r="D321" s="12"/>
      <c r="E321" s="12"/>
      <c r="F321" s="3"/>
      <c r="G321" s="10"/>
      <c r="H321" s="3"/>
      <c r="I321" s="3"/>
      <c r="J321" s="3"/>
      <c r="K321" s="3"/>
    </row>
    <row r="322" spans="1:11" x14ac:dyDescent="0.3">
      <c r="A322" s="10"/>
      <c r="B322" s="12"/>
      <c r="C322" s="12"/>
      <c r="D322" s="12"/>
      <c r="E322" s="12"/>
      <c r="F322" s="3"/>
      <c r="G322" s="10"/>
      <c r="H322" s="3"/>
      <c r="I322" s="3"/>
      <c r="J322" s="3"/>
      <c r="K322" s="3"/>
    </row>
    <row r="323" spans="1:11" x14ac:dyDescent="0.3">
      <c r="A323" s="10"/>
      <c r="B323" s="12"/>
      <c r="C323" s="12"/>
      <c r="D323" s="12"/>
      <c r="E323" s="12"/>
      <c r="F323" s="3"/>
      <c r="G323" s="10"/>
      <c r="H323" s="3"/>
      <c r="I323" s="3"/>
      <c r="J323" s="3"/>
      <c r="K323" s="3"/>
    </row>
    <row r="324" spans="1:11" x14ac:dyDescent="0.3">
      <c r="A324" s="10"/>
      <c r="B324" s="12"/>
      <c r="C324" s="12"/>
      <c r="D324" s="12"/>
      <c r="E324" s="12"/>
      <c r="F324" s="3"/>
      <c r="G324" s="10"/>
      <c r="H324" s="3"/>
      <c r="I324" s="3"/>
      <c r="J324" s="3"/>
      <c r="K324" s="3"/>
    </row>
    <row r="325" spans="1:11" x14ac:dyDescent="0.3">
      <c r="A325" s="10"/>
      <c r="B325" s="12"/>
      <c r="C325" s="12"/>
      <c r="D325" s="12"/>
      <c r="E325" s="12"/>
      <c r="F325" s="3"/>
      <c r="G325" s="10"/>
      <c r="H325" s="3"/>
      <c r="I325" s="3"/>
      <c r="J325" s="3"/>
      <c r="K325" s="3"/>
    </row>
    <row r="326" spans="1:11" x14ac:dyDescent="0.3">
      <c r="A326" s="10"/>
      <c r="B326" s="12"/>
      <c r="C326" s="12"/>
      <c r="D326" s="12"/>
      <c r="E326" s="12"/>
      <c r="F326" s="3"/>
      <c r="G326" s="10"/>
      <c r="H326" s="3"/>
      <c r="I326" s="3"/>
      <c r="J326" s="3"/>
      <c r="K326" s="3"/>
    </row>
    <row r="327" spans="1:11" x14ac:dyDescent="0.3">
      <c r="A327" s="10"/>
      <c r="B327" s="12"/>
      <c r="C327" s="12"/>
      <c r="D327" s="12"/>
      <c r="E327" s="12"/>
      <c r="F327" s="3"/>
      <c r="G327" s="10"/>
      <c r="H327" s="3"/>
      <c r="I327" s="3"/>
      <c r="J327" s="3"/>
      <c r="K327" s="3"/>
    </row>
    <row r="328" spans="1:11" x14ac:dyDescent="0.3">
      <c r="A328" s="10"/>
      <c r="B328" s="12"/>
      <c r="C328" s="12"/>
      <c r="D328" s="12"/>
      <c r="E328" s="12"/>
      <c r="F328" s="3"/>
      <c r="G328" s="10"/>
      <c r="H328" s="3"/>
      <c r="I328" s="3"/>
      <c r="J328" s="3"/>
      <c r="K328" s="3"/>
    </row>
    <row r="329" spans="1:11" x14ac:dyDescent="0.3">
      <c r="A329" s="10"/>
      <c r="B329" s="12"/>
      <c r="C329" s="12"/>
      <c r="D329" s="12"/>
      <c r="E329" s="12"/>
      <c r="F329" s="3"/>
      <c r="G329" s="10"/>
      <c r="H329" s="3"/>
      <c r="I329" s="3"/>
      <c r="J329" s="3"/>
      <c r="K329" s="3"/>
    </row>
    <row r="330" spans="1:11" x14ac:dyDescent="0.3">
      <c r="A330" s="10"/>
      <c r="B330" s="12"/>
      <c r="C330" s="12"/>
      <c r="D330" s="12"/>
      <c r="E330" s="12"/>
      <c r="F330" s="3"/>
      <c r="G330" s="10"/>
      <c r="H330" s="3"/>
      <c r="I330" s="3"/>
      <c r="J330" s="3"/>
      <c r="K330" s="3"/>
    </row>
    <row r="331" spans="1:11" x14ac:dyDescent="0.3">
      <c r="A331" s="10"/>
      <c r="B331" s="12"/>
      <c r="C331" s="12"/>
      <c r="D331" s="12"/>
      <c r="E331" s="12"/>
      <c r="F331" s="3"/>
      <c r="G331" s="10"/>
      <c r="H331" s="3"/>
      <c r="I331" s="3"/>
      <c r="J331" s="3"/>
      <c r="K331" s="3"/>
    </row>
    <row r="332" spans="1:11" x14ac:dyDescent="0.3">
      <c r="A332" s="10"/>
      <c r="B332" s="12"/>
      <c r="C332" s="12"/>
      <c r="D332" s="12"/>
      <c r="E332" s="12"/>
      <c r="F332" s="3"/>
      <c r="G332" s="10"/>
      <c r="H332" s="3"/>
      <c r="I332" s="3"/>
      <c r="J332" s="3"/>
      <c r="K332" s="3"/>
    </row>
    <row r="333" spans="1:11" x14ac:dyDescent="0.3">
      <c r="A333" s="10"/>
      <c r="B333" s="12"/>
      <c r="C333" s="12"/>
      <c r="D333" s="12"/>
      <c r="E333" s="12"/>
      <c r="F333" s="3"/>
      <c r="G333" s="10"/>
      <c r="H333" s="3"/>
      <c r="I333" s="3"/>
      <c r="J333" s="3"/>
      <c r="K333" s="3"/>
    </row>
    <row r="334" spans="1:11" x14ac:dyDescent="0.3">
      <c r="A334" s="10"/>
      <c r="B334" s="12"/>
      <c r="C334" s="12"/>
      <c r="D334" s="12"/>
      <c r="E334" s="12"/>
      <c r="F334" s="3"/>
      <c r="G334" s="10"/>
      <c r="H334" s="3"/>
      <c r="I334" s="3"/>
      <c r="J334" s="3"/>
      <c r="K334" s="3"/>
    </row>
    <row r="335" spans="1:11" x14ac:dyDescent="0.3">
      <c r="A335" s="10"/>
      <c r="B335" s="12"/>
      <c r="C335" s="12"/>
      <c r="D335" s="12"/>
      <c r="E335" s="12"/>
      <c r="F335" s="3"/>
      <c r="G335" s="10"/>
      <c r="H335" s="3"/>
      <c r="I335" s="3"/>
      <c r="J335" s="3"/>
      <c r="K335" s="3"/>
    </row>
    <row r="336" spans="1:11" x14ac:dyDescent="0.3">
      <c r="A336" s="10"/>
      <c r="B336" s="12"/>
      <c r="C336" s="12"/>
      <c r="D336" s="12"/>
      <c r="E336" s="12"/>
      <c r="F336" s="3"/>
      <c r="G336" s="10"/>
      <c r="H336" s="3"/>
      <c r="I336" s="3"/>
      <c r="J336" s="3"/>
      <c r="K336" s="3"/>
    </row>
    <row r="337" spans="1:11" x14ac:dyDescent="0.3">
      <c r="A337" s="10"/>
      <c r="B337" s="12"/>
      <c r="C337" s="12"/>
      <c r="D337" s="12"/>
      <c r="E337" s="12"/>
      <c r="F337" s="3"/>
      <c r="G337" s="10"/>
      <c r="H337" s="3"/>
      <c r="I337" s="3"/>
      <c r="J337" s="3"/>
      <c r="K337" s="3"/>
    </row>
    <row r="338" spans="1:11" x14ac:dyDescent="0.3">
      <c r="A338" s="10"/>
      <c r="B338" s="12"/>
      <c r="C338" s="12"/>
      <c r="D338" s="12"/>
      <c r="E338" s="12"/>
      <c r="F338" s="3"/>
      <c r="G338" s="10"/>
      <c r="H338" s="3"/>
      <c r="I338" s="3"/>
      <c r="J338" s="3"/>
      <c r="K338" s="3"/>
    </row>
    <row r="339" spans="1:11" x14ac:dyDescent="0.3">
      <c r="A339" s="10"/>
      <c r="B339" s="12"/>
      <c r="C339" s="12"/>
      <c r="D339" s="12"/>
      <c r="E339" s="12"/>
      <c r="F339" s="3"/>
      <c r="G339" s="10"/>
      <c r="H339" s="3"/>
      <c r="I339" s="3"/>
      <c r="J339" s="3"/>
      <c r="K339" s="3"/>
    </row>
    <row r="340" spans="1:11" x14ac:dyDescent="0.3">
      <c r="A340" s="10"/>
      <c r="B340" s="12"/>
      <c r="C340" s="12"/>
      <c r="D340" s="12"/>
      <c r="E340" s="12"/>
      <c r="F340" s="3"/>
      <c r="G340" s="10"/>
      <c r="H340" s="3"/>
      <c r="I340" s="3"/>
      <c r="J340" s="3"/>
      <c r="K340" s="3"/>
    </row>
    <row r="341" spans="1:11" x14ac:dyDescent="0.3">
      <c r="A341" s="10"/>
      <c r="B341" s="12"/>
      <c r="C341" s="12"/>
      <c r="D341" s="12"/>
      <c r="E341" s="12"/>
      <c r="F341" s="3"/>
      <c r="G341" s="10"/>
      <c r="H341" s="3"/>
      <c r="I341" s="3"/>
      <c r="J341" s="3"/>
      <c r="K341" s="3"/>
    </row>
    <row r="342" spans="1:11" x14ac:dyDescent="0.3">
      <c r="A342" s="10"/>
      <c r="B342" s="12"/>
      <c r="C342" s="12"/>
      <c r="D342" s="12"/>
      <c r="E342" s="12"/>
      <c r="F342" s="3"/>
      <c r="G342" s="10"/>
      <c r="H342" s="3"/>
      <c r="I342" s="3"/>
      <c r="J342" s="3"/>
      <c r="K342" s="3"/>
    </row>
    <row r="343" spans="1:11" x14ac:dyDescent="0.3">
      <c r="A343" s="10"/>
      <c r="B343" s="12"/>
      <c r="C343" s="12"/>
      <c r="D343" s="12"/>
      <c r="E343" s="12"/>
      <c r="F343" s="3"/>
      <c r="G343" s="10"/>
      <c r="H343" s="3"/>
      <c r="I343" s="3"/>
      <c r="J343" s="3"/>
      <c r="K343" s="3"/>
    </row>
    <row r="344" spans="1:11" x14ac:dyDescent="0.3">
      <c r="A344" s="10"/>
      <c r="B344" s="12"/>
      <c r="C344" s="12"/>
      <c r="D344" s="12"/>
      <c r="E344" s="12"/>
      <c r="F344" s="3"/>
      <c r="G344" s="10"/>
      <c r="H344" s="3"/>
      <c r="I344" s="3"/>
      <c r="J344" s="3"/>
      <c r="K344" s="3"/>
    </row>
    <row r="345" spans="1:11" x14ac:dyDescent="0.3">
      <c r="A345" s="10"/>
      <c r="B345" s="12"/>
      <c r="C345" s="12"/>
      <c r="D345" s="12"/>
      <c r="E345" s="12"/>
      <c r="F345" s="3"/>
      <c r="G345" s="10"/>
      <c r="H345" s="3"/>
      <c r="I345" s="3"/>
      <c r="J345" s="3"/>
      <c r="K345" s="3"/>
    </row>
    <row r="346" spans="1:11" x14ac:dyDescent="0.3">
      <c r="A346" s="10"/>
      <c r="B346" s="12"/>
      <c r="C346" s="12"/>
      <c r="D346" s="12"/>
      <c r="E346" s="12"/>
      <c r="F346" s="3"/>
      <c r="G346" s="10"/>
      <c r="H346" s="3"/>
      <c r="I346" s="3"/>
      <c r="J346" s="3"/>
      <c r="K346" s="3"/>
    </row>
    <row r="347" spans="1:11" x14ac:dyDescent="0.3">
      <c r="A347" s="10"/>
      <c r="B347" s="12"/>
      <c r="C347" s="12"/>
      <c r="D347" s="12"/>
      <c r="E347" s="12"/>
      <c r="F347" s="3"/>
      <c r="G347" s="10"/>
      <c r="H347" s="3"/>
      <c r="I347" s="3"/>
      <c r="J347" s="3"/>
      <c r="K347" s="3"/>
    </row>
    <row r="348" spans="1:11" x14ac:dyDescent="0.3">
      <c r="A348" s="10"/>
      <c r="B348" s="12"/>
      <c r="C348" s="12"/>
      <c r="D348" s="12"/>
      <c r="E348" s="12"/>
      <c r="F348" s="3"/>
      <c r="G348" s="10"/>
      <c r="H348" s="3"/>
      <c r="I348" s="3"/>
      <c r="J348" s="3"/>
      <c r="K348" s="3"/>
    </row>
    <row r="349" spans="1:11" x14ac:dyDescent="0.3">
      <c r="A349" s="10"/>
      <c r="B349" s="12"/>
      <c r="C349" s="12"/>
      <c r="D349" s="12"/>
      <c r="E349" s="12"/>
      <c r="F349" s="3"/>
      <c r="G349" s="10"/>
      <c r="H349" s="3"/>
      <c r="I349" s="3"/>
      <c r="J349" s="3"/>
      <c r="K349" s="3"/>
    </row>
    <row r="350" spans="1:11" x14ac:dyDescent="0.3">
      <c r="A350" s="10"/>
      <c r="B350" s="12"/>
      <c r="C350" s="12"/>
      <c r="D350" s="12"/>
      <c r="E350" s="12"/>
      <c r="F350" s="3"/>
      <c r="G350" s="10"/>
      <c r="H350" s="3"/>
      <c r="I350" s="3"/>
      <c r="J350" s="3"/>
      <c r="K350" s="3"/>
    </row>
    <row r="351" spans="1:11" x14ac:dyDescent="0.3">
      <c r="A351" s="10"/>
      <c r="B351" s="12"/>
      <c r="C351" s="12"/>
      <c r="D351" s="12"/>
      <c r="E351" s="12"/>
      <c r="F351" s="3"/>
      <c r="G351" s="10"/>
      <c r="H351" s="3"/>
      <c r="I351" s="3"/>
      <c r="J351" s="3"/>
      <c r="K351" s="3"/>
    </row>
    <row r="352" spans="1:11" x14ac:dyDescent="0.3">
      <c r="A352" s="10"/>
      <c r="B352" s="12"/>
      <c r="C352" s="12"/>
      <c r="D352" s="12"/>
      <c r="E352" s="12"/>
      <c r="F352" s="3"/>
      <c r="G352" s="10"/>
      <c r="H352" s="3"/>
      <c r="I352" s="3"/>
      <c r="J352" s="3"/>
      <c r="K352" s="3"/>
    </row>
    <row r="353" spans="1:11" x14ac:dyDescent="0.3">
      <c r="A353" s="10"/>
      <c r="B353" s="12"/>
      <c r="C353" s="12"/>
      <c r="D353" s="12"/>
      <c r="E353" s="12"/>
      <c r="F353" s="3"/>
      <c r="G353" s="10"/>
      <c r="H353" s="3"/>
      <c r="I353" s="3"/>
      <c r="J353" s="3"/>
      <c r="K353" s="3"/>
    </row>
    <row r="354" spans="1:11" x14ac:dyDescent="0.3">
      <c r="A354" s="10"/>
      <c r="B354" s="12"/>
      <c r="C354" s="12"/>
      <c r="D354" s="12"/>
      <c r="E354" s="12"/>
      <c r="F354" s="3"/>
      <c r="G354" s="10"/>
      <c r="H354" s="3"/>
      <c r="I354" s="3"/>
      <c r="J354" s="3"/>
      <c r="K354" s="3"/>
    </row>
    <row r="355" spans="1:11" x14ac:dyDescent="0.3">
      <c r="A355" s="10"/>
      <c r="B355" s="12"/>
      <c r="C355" s="12"/>
      <c r="D355" s="12"/>
      <c r="E355" s="12"/>
      <c r="F355" s="3"/>
      <c r="G355" s="10"/>
      <c r="H355" s="3"/>
      <c r="I355" s="3"/>
      <c r="J355" s="3"/>
      <c r="K355" s="3"/>
    </row>
    <row r="356" spans="1:11" x14ac:dyDescent="0.3">
      <c r="A356" s="10"/>
      <c r="B356" s="12"/>
      <c r="C356" s="12"/>
      <c r="D356" s="12"/>
      <c r="E356" s="12"/>
      <c r="F356" s="3"/>
      <c r="G356" s="10"/>
      <c r="H356" s="3"/>
      <c r="I356" s="3"/>
      <c r="J356" s="3"/>
      <c r="K356" s="3"/>
    </row>
    <row r="357" spans="1:11" x14ac:dyDescent="0.3">
      <c r="A357" s="10"/>
      <c r="B357" s="12"/>
      <c r="C357" s="12"/>
      <c r="D357" s="12"/>
      <c r="E357" s="12"/>
      <c r="F357" s="3"/>
      <c r="G357" s="10"/>
      <c r="H357" s="3"/>
      <c r="I357" s="3"/>
      <c r="J357" s="3"/>
      <c r="K357" s="3"/>
    </row>
    <row r="358" spans="1:11" x14ac:dyDescent="0.3">
      <c r="A358" s="10"/>
      <c r="B358" s="12"/>
      <c r="C358" s="12"/>
      <c r="D358" s="12"/>
      <c r="E358" s="12"/>
      <c r="F358" s="3"/>
      <c r="G358" s="10"/>
      <c r="H358" s="3"/>
      <c r="I358" s="3"/>
      <c r="J358" s="3"/>
      <c r="K358" s="3"/>
    </row>
    <row r="359" spans="1:11" x14ac:dyDescent="0.3">
      <c r="A359" s="10"/>
      <c r="B359" s="12"/>
      <c r="C359" s="12"/>
      <c r="D359" s="12"/>
      <c r="E359" s="12"/>
      <c r="F359" s="3"/>
      <c r="G359" s="10"/>
      <c r="H359" s="3"/>
      <c r="I359" s="3"/>
      <c r="J359" s="3"/>
      <c r="K359" s="3"/>
    </row>
    <row r="360" spans="1:11" x14ac:dyDescent="0.3">
      <c r="A360" s="10"/>
      <c r="B360" s="12"/>
      <c r="C360" s="12"/>
      <c r="D360" s="12"/>
      <c r="E360" s="12"/>
      <c r="F360" s="3"/>
      <c r="G360" s="10"/>
      <c r="H360" s="3"/>
      <c r="I360" s="3"/>
      <c r="J360" s="3"/>
      <c r="K360" s="3"/>
    </row>
    <row r="361" spans="1:11" x14ac:dyDescent="0.3">
      <c r="A361" s="10"/>
      <c r="B361" s="12"/>
      <c r="C361" s="12"/>
      <c r="D361" s="12"/>
      <c r="E361" s="12"/>
      <c r="F361" s="3"/>
      <c r="G361" s="10"/>
      <c r="H361" s="3"/>
      <c r="I361" s="3"/>
      <c r="J361" s="3"/>
      <c r="K361" s="3"/>
    </row>
    <row r="362" spans="1:11" x14ac:dyDescent="0.3">
      <c r="A362" s="10"/>
      <c r="B362" s="12"/>
      <c r="C362" s="12"/>
      <c r="D362" s="12"/>
      <c r="E362" s="12"/>
      <c r="F362" s="3"/>
      <c r="G362" s="10"/>
      <c r="H362" s="3"/>
      <c r="I362" s="3"/>
      <c r="J362" s="3"/>
      <c r="K362" s="3"/>
    </row>
    <row r="363" spans="1:11" x14ac:dyDescent="0.3">
      <c r="A363" s="10"/>
      <c r="B363" s="12"/>
      <c r="C363" s="12"/>
      <c r="D363" s="12"/>
      <c r="E363" s="12"/>
      <c r="F363" s="3"/>
      <c r="G363" s="10"/>
      <c r="H363" s="3"/>
      <c r="I363" s="3"/>
      <c r="J363" s="3"/>
      <c r="K363" s="3"/>
    </row>
    <row r="364" spans="1:11" x14ac:dyDescent="0.3">
      <c r="A364" s="10"/>
      <c r="B364" s="12"/>
      <c r="C364" s="12"/>
      <c r="D364" s="12"/>
      <c r="E364" s="12"/>
      <c r="F364" s="3"/>
      <c r="G364" s="10"/>
      <c r="H364" s="3"/>
      <c r="I364" s="3"/>
      <c r="J364" s="3"/>
      <c r="K364" s="3"/>
    </row>
    <row r="365" spans="1:11" x14ac:dyDescent="0.3">
      <c r="A365" s="10"/>
      <c r="B365" s="12"/>
      <c r="C365" s="12"/>
      <c r="D365" s="12"/>
      <c r="E365" s="12"/>
      <c r="F365" s="3"/>
      <c r="G365" s="10"/>
      <c r="H365" s="3"/>
      <c r="I365" s="3"/>
      <c r="J365" s="3"/>
      <c r="K365" s="3"/>
    </row>
    <row r="366" spans="1:11" x14ac:dyDescent="0.3">
      <c r="A366" s="10"/>
      <c r="B366" s="12"/>
      <c r="C366" s="12"/>
      <c r="D366" s="12"/>
      <c r="E366" s="12"/>
      <c r="F366" s="3"/>
      <c r="G366" s="10"/>
      <c r="H366" s="3"/>
      <c r="I366" s="3"/>
      <c r="J366" s="3"/>
      <c r="K366" s="3"/>
    </row>
    <row r="367" spans="1:11" x14ac:dyDescent="0.3">
      <c r="A367" s="10"/>
      <c r="B367" s="12"/>
      <c r="C367" s="12"/>
      <c r="D367" s="12"/>
      <c r="E367" s="12"/>
      <c r="F367" s="3"/>
      <c r="G367" s="10"/>
      <c r="H367" s="3"/>
      <c r="I367" s="3"/>
      <c r="J367" s="3"/>
      <c r="K367" s="3"/>
    </row>
    <row r="368" spans="1:11" x14ac:dyDescent="0.3">
      <c r="A368" s="10"/>
      <c r="B368" s="12"/>
      <c r="C368" s="12"/>
      <c r="D368" s="12"/>
      <c r="E368" s="12"/>
      <c r="F368" s="3"/>
      <c r="G368" s="10"/>
      <c r="H368" s="3"/>
      <c r="I368" s="3"/>
      <c r="J368" s="3"/>
      <c r="K368" s="3"/>
    </row>
    <row r="369" spans="1:11" x14ac:dyDescent="0.3">
      <c r="A369" s="10"/>
      <c r="B369" s="12"/>
      <c r="C369" s="12"/>
      <c r="D369" s="12"/>
      <c r="E369" s="12"/>
      <c r="F369" s="3"/>
      <c r="G369" s="10"/>
      <c r="H369" s="3"/>
      <c r="I369" s="3"/>
      <c r="J369" s="3"/>
      <c r="K369" s="3"/>
    </row>
    <row r="370" spans="1:11" x14ac:dyDescent="0.3">
      <c r="A370" s="10"/>
      <c r="B370" s="12"/>
      <c r="C370" s="12"/>
      <c r="D370" s="12"/>
      <c r="E370" s="12"/>
      <c r="F370" s="3"/>
      <c r="G370" s="10"/>
      <c r="H370" s="3"/>
      <c r="I370" s="3"/>
      <c r="J370" s="3"/>
      <c r="K370" s="3"/>
    </row>
    <row r="371" spans="1:11" x14ac:dyDescent="0.3">
      <c r="A371" s="10"/>
      <c r="B371" s="12"/>
      <c r="C371" s="12"/>
      <c r="D371" s="12"/>
      <c r="E371" s="12"/>
      <c r="F371" s="3"/>
      <c r="G371" s="10"/>
      <c r="H371" s="3"/>
      <c r="I371" s="3"/>
      <c r="J371" s="3"/>
      <c r="K371" s="3"/>
    </row>
    <row r="372" spans="1:11" x14ac:dyDescent="0.3">
      <c r="A372" s="10"/>
      <c r="B372" s="12"/>
      <c r="C372" s="12"/>
      <c r="D372" s="12"/>
      <c r="E372" s="12"/>
      <c r="F372" s="3"/>
      <c r="G372" s="10"/>
      <c r="H372" s="3"/>
      <c r="I372" s="3"/>
      <c r="J372" s="3"/>
      <c r="K372" s="3"/>
    </row>
    <row r="373" spans="1:11" x14ac:dyDescent="0.3">
      <c r="A373" s="10"/>
      <c r="B373" s="12"/>
      <c r="C373" s="12"/>
      <c r="D373" s="12"/>
      <c r="E373" s="12"/>
      <c r="F373" s="3"/>
      <c r="G373" s="10"/>
      <c r="H373" s="3"/>
      <c r="I373" s="3"/>
      <c r="J373" s="3"/>
      <c r="K373" s="3"/>
    </row>
    <row r="374" spans="1:11" x14ac:dyDescent="0.3">
      <c r="A374" s="10"/>
      <c r="B374" s="12"/>
      <c r="C374" s="12"/>
      <c r="D374" s="12"/>
      <c r="E374" s="12"/>
      <c r="F374" s="3"/>
      <c r="G374" s="10"/>
      <c r="H374" s="3"/>
      <c r="I374" s="3"/>
      <c r="J374" s="3"/>
      <c r="K374" s="3"/>
    </row>
    <row r="375" spans="1:11" x14ac:dyDescent="0.3">
      <c r="A375" s="10"/>
      <c r="B375" s="12"/>
      <c r="C375" s="12"/>
      <c r="D375" s="12"/>
      <c r="E375" s="12"/>
      <c r="F375" s="3"/>
      <c r="G375" s="10"/>
      <c r="H375" s="3"/>
      <c r="I375" s="3"/>
      <c r="J375" s="3"/>
      <c r="K375" s="3"/>
    </row>
    <row r="376" spans="1:11" x14ac:dyDescent="0.3">
      <c r="A376" s="10"/>
      <c r="B376" s="12"/>
      <c r="C376" s="12"/>
      <c r="D376" s="12"/>
      <c r="E376" s="12"/>
      <c r="F376" s="3"/>
      <c r="G376" s="10"/>
      <c r="H376" s="3"/>
      <c r="I376" s="3"/>
      <c r="J376" s="3"/>
      <c r="K376" s="3"/>
    </row>
    <row r="377" spans="1:11" x14ac:dyDescent="0.3">
      <c r="A377" s="10"/>
      <c r="B377" s="12"/>
      <c r="C377" s="12"/>
      <c r="D377" s="12"/>
      <c r="E377" s="12"/>
      <c r="F377" s="3"/>
      <c r="G377" s="10"/>
      <c r="H377" s="3"/>
      <c r="I377" s="3"/>
      <c r="J377" s="3"/>
      <c r="K377" s="3"/>
    </row>
    <row r="378" spans="1:11" x14ac:dyDescent="0.3">
      <c r="A378" s="10"/>
      <c r="B378" s="12"/>
      <c r="C378" s="12"/>
      <c r="D378" s="12"/>
      <c r="E378" s="12"/>
      <c r="F378" s="3"/>
      <c r="G378" s="10"/>
      <c r="H378" s="3"/>
      <c r="I378" s="3"/>
      <c r="J378" s="3"/>
      <c r="K378" s="3"/>
    </row>
    <row r="379" spans="1:11" x14ac:dyDescent="0.3">
      <c r="A379" s="10"/>
      <c r="B379" s="12"/>
      <c r="C379" s="12"/>
      <c r="D379" s="12"/>
      <c r="E379" s="12"/>
      <c r="F379" s="3"/>
      <c r="G379" s="10"/>
      <c r="H379" s="3"/>
      <c r="I379" s="3"/>
      <c r="J379" s="3"/>
      <c r="K379" s="3"/>
    </row>
    <row r="380" spans="1:11" x14ac:dyDescent="0.3">
      <c r="A380" s="10"/>
      <c r="B380" s="12"/>
      <c r="C380" s="12"/>
      <c r="D380" s="12"/>
      <c r="E380" s="12"/>
      <c r="F380" s="3"/>
      <c r="G380" s="10"/>
      <c r="H380" s="3"/>
      <c r="I380" s="3"/>
      <c r="J380" s="3"/>
      <c r="K380" s="3"/>
    </row>
    <row r="381" spans="1:11" x14ac:dyDescent="0.3">
      <c r="A381" s="10"/>
      <c r="B381" s="12"/>
      <c r="C381" s="12"/>
      <c r="D381" s="12"/>
      <c r="E381" s="12"/>
      <c r="F381" s="3"/>
      <c r="G381" s="10"/>
      <c r="H381" s="3"/>
      <c r="I381" s="3"/>
      <c r="J381" s="3"/>
      <c r="K381" s="3"/>
    </row>
    <row r="382" spans="1:11" x14ac:dyDescent="0.3">
      <c r="A382" s="10"/>
      <c r="B382" s="12"/>
      <c r="C382" s="12"/>
      <c r="D382" s="12"/>
      <c r="E382" s="12"/>
      <c r="F382" s="3"/>
      <c r="G382" s="10"/>
      <c r="H382" s="3"/>
      <c r="I382" s="3"/>
      <c r="J382" s="3"/>
      <c r="K382" s="3"/>
    </row>
    <row r="383" spans="1:11" x14ac:dyDescent="0.3">
      <c r="A383" s="10"/>
      <c r="B383" s="12"/>
      <c r="C383" s="12"/>
      <c r="D383" s="12"/>
      <c r="E383" s="12"/>
      <c r="F383" s="3"/>
      <c r="G383" s="10"/>
      <c r="H383" s="3"/>
      <c r="I383" s="3"/>
      <c r="J383" s="3"/>
      <c r="K383" s="3"/>
    </row>
    <row r="384" spans="1:11" x14ac:dyDescent="0.3">
      <c r="A384" s="10"/>
      <c r="B384" s="12"/>
      <c r="C384" s="12"/>
      <c r="D384" s="12"/>
      <c r="E384" s="12"/>
      <c r="F384" s="3"/>
      <c r="G384" s="10"/>
      <c r="H384" s="3"/>
      <c r="I384" s="3"/>
      <c r="J384" s="3"/>
      <c r="K384" s="3"/>
    </row>
    <row r="385" spans="1:11" x14ac:dyDescent="0.3">
      <c r="A385" s="10"/>
      <c r="B385" s="12"/>
      <c r="C385" s="12"/>
      <c r="D385" s="12"/>
      <c r="E385" s="12"/>
      <c r="F385" s="3"/>
      <c r="G385" s="10"/>
      <c r="H385" s="3"/>
      <c r="I385" s="3"/>
      <c r="J385" s="3"/>
      <c r="K385" s="3"/>
    </row>
    <row r="386" spans="1:11" x14ac:dyDescent="0.3">
      <c r="A386" s="10"/>
      <c r="B386" s="12"/>
      <c r="C386" s="12"/>
      <c r="D386" s="12"/>
      <c r="E386" s="12"/>
      <c r="F386" s="3"/>
      <c r="G386" s="10"/>
      <c r="H386" s="3"/>
      <c r="I386" s="3"/>
      <c r="J386" s="3"/>
      <c r="K386" s="3"/>
    </row>
    <row r="387" spans="1:11" x14ac:dyDescent="0.3">
      <c r="A387" s="10"/>
      <c r="B387" s="12"/>
      <c r="C387" s="12"/>
      <c r="D387" s="12"/>
      <c r="E387" s="12"/>
      <c r="F387" s="3"/>
      <c r="G387" s="10"/>
      <c r="H387" s="3"/>
      <c r="I387" s="3"/>
      <c r="J387" s="3"/>
      <c r="K387" s="3"/>
    </row>
    <row r="388" spans="1:11" x14ac:dyDescent="0.3">
      <c r="A388" s="10"/>
      <c r="B388" s="12"/>
      <c r="C388" s="12"/>
      <c r="D388" s="12"/>
      <c r="E388" s="12"/>
      <c r="F388" s="3"/>
      <c r="G388" s="10"/>
      <c r="H388" s="3"/>
      <c r="I388" s="3"/>
      <c r="J388" s="3"/>
      <c r="K388" s="3"/>
    </row>
    <row r="389" spans="1:11" x14ac:dyDescent="0.3">
      <c r="A389" s="10"/>
      <c r="B389" s="12"/>
      <c r="C389" s="12"/>
      <c r="D389" s="12"/>
      <c r="E389" s="12"/>
      <c r="F389" s="3"/>
      <c r="G389" s="10"/>
      <c r="H389" s="3"/>
      <c r="I389" s="3"/>
      <c r="J389" s="3"/>
      <c r="K389" s="3"/>
    </row>
    <row r="390" spans="1:11" x14ac:dyDescent="0.3">
      <c r="A390" s="10"/>
      <c r="B390" s="12"/>
      <c r="C390" s="12"/>
      <c r="D390" s="12"/>
      <c r="E390" s="12"/>
      <c r="F390" s="3"/>
      <c r="G390" s="10"/>
      <c r="H390" s="3"/>
      <c r="I390" s="3"/>
      <c r="J390" s="3"/>
      <c r="K390" s="3"/>
    </row>
    <row r="391" spans="1:11" x14ac:dyDescent="0.3">
      <c r="A391" s="10"/>
      <c r="B391" s="12"/>
      <c r="C391" s="12"/>
      <c r="D391" s="12"/>
      <c r="E391" s="12"/>
      <c r="F391" s="3"/>
      <c r="G391" s="10"/>
      <c r="H391" s="3"/>
      <c r="I391" s="3"/>
      <c r="J391" s="3"/>
      <c r="K391" s="3"/>
    </row>
    <row r="392" spans="1:11" x14ac:dyDescent="0.3">
      <c r="A392" s="10"/>
      <c r="B392" s="12"/>
      <c r="C392" s="12"/>
      <c r="D392" s="12"/>
      <c r="E392" s="12"/>
      <c r="F392" s="3"/>
      <c r="G392" s="10"/>
      <c r="H392" s="3"/>
      <c r="I392" s="3"/>
      <c r="J392" s="3"/>
      <c r="K392" s="3"/>
    </row>
    <row r="393" spans="1:11" x14ac:dyDescent="0.3">
      <c r="A393" s="10"/>
      <c r="B393" s="12"/>
      <c r="C393" s="12"/>
      <c r="D393" s="12"/>
      <c r="E393" s="12"/>
      <c r="F393" s="3"/>
      <c r="G393" s="10"/>
      <c r="H393" s="3"/>
      <c r="I393" s="3"/>
      <c r="J393" s="3"/>
      <c r="K393" s="3"/>
    </row>
    <row r="394" spans="1:11" x14ac:dyDescent="0.3">
      <c r="A394" s="10"/>
      <c r="B394" s="12"/>
      <c r="C394" s="12"/>
      <c r="D394" s="12"/>
      <c r="E394" s="12"/>
      <c r="F394" s="3"/>
      <c r="G394" s="10"/>
      <c r="H394" s="3"/>
      <c r="I394" s="3"/>
      <c r="J394" s="3"/>
      <c r="K394" s="3"/>
    </row>
    <row r="395" spans="1:11" x14ac:dyDescent="0.3">
      <c r="A395" s="10"/>
      <c r="B395" s="12"/>
      <c r="C395" s="12"/>
      <c r="D395" s="12"/>
      <c r="E395" s="12"/>
      <c r="F395" s="3"/>
      <c r="G395" s="10"/>
      <c r="H395" s="3"/>
      <c r="I395" s="3"/>
      <c r="J395" s="3"/>
      <c r="K395" s="3"/>
    </row>
    <row r="396" spans="1:11" x14ac:dyDescent="0.3">
      <c r="A396" s="10"/>
      <c r="B396" s="12"/>
      <c r="C396" s="12"/>
      <c r="D396" s="12"/>
      <c r="E396" s="12"/>
      <c r="F396" s="3"/>
      <c r="G396" s="10"/>
      <c r="H396" s="3"/>
      <c r="I396" s="3"/>
      <c r="J396" s="3"/>
      <c r="K396" s="3"/>
    </row>
    <row r="397" spans="1:11" x14ac:dyDescent="0.3">
      <c r="A397" s="10"/>
      <c r="B397" s="12"/>
      <c r="C397" s="12"/>
      <c r="D397" s="12"/>
      <c r="E397" s="12"/>
      <c r="F397" s="3"/>
      <c r="G397" s="10"/>
      <c r="H397" s="3"/>
      <c r="I397" s="3"/>
      <c r="J397" s="3"/>
      <c r="K397" s="3"/>
    </row>
    <row r="398" spans="1:11" x14ac:dyDescent="0.3">
      <c r="A398" s="10"/>
      <c r="B398" s="12"/>
      <c r="C398" s="12"/>
      <c r="D398" s="12"/>
      <c r="E398" s="12"/>
      <c r="F398" s="3"/>
      <c r="G398" s="10"/>
      <c r="H398" s="3"/>
      <c r="I398" s="3"/>
      <c r="J398" s="3"/>
      <c r="K398" s="3"/>
    </row>
    <row r="399" spans="1:11" x14ac:dyDescent="0.3">
      <c r="A399" s="10"/>
      <c r="B399" s="12"/>
      <c r="C399" s="12"/>
      <c r="D399" s="12"/>
      <c r="E399" s="12"/>
      <c r="F399" s="3"/>
      <c r="G399" s="10"/>
      <c r="H399" s="3"/>
      <c r="I399" s="3"/>
      <c r="J399" s="3"/>
      <c r="K399" s="3"/>
    </row>
    <row r="400" spans="1:11" x14ac:dyDescent="0.3">
      <c r="A400" s="10"/>
      <c r="B400" s="12"/>
      <c r="C400" s="12"/>
      <c r="D400" s="12"/>
      <c r="E400" s="12"/>
      <c r="F400" s="3"/>
      <c r="G400" s="10"/>
      <c r="H400" s="3"/>
      <c r="I400" s="3"/>
      <c r="J400" s="3"/>
      <c r="K400" s="3"/>
    </row>
    <row r="401" spans="1:11" x14ac:dyDescent="0.3">
      <c r="A401" s="10"/>
      <c r="B401" s="12"/>
      <c r="C401" s="12"/>
      <c r="D401" s="12"/>
      <c r="E401" s="12"/>
      <c r="F401" s="3"/>
      <c r="G401" s="10"/>
      <c r="H401" s="3"/>
      <c r="I401" s="3"/>
      <c r="J401" s="3"/>
      <c r="K401" s="3"/>
    </row>
    <row r="402" spans="1:11" x14ac:dyDescent="0.3">
      <c r="A402" s="10"/>
      <c r="B402" s="12"/>
      <c r="C402" s="12"/>
      <c r="D402" s="12"/>
      <c r="E402" s="12"/>
      <c r="F402" s="3"/>
      <c r="G402" s="10"/>
      <c r="H402" s="3"/>
      <c r="I402" s="3"/>
      <c r="J402" s="3"/>
      <c r="K402" s="3"/>
    </row>
    <row r="403" spans="1:11" x14ac:dyDescent="0.3">
      <c r="A403" s="10"/>
      <c r="B403" s="12"/>
      <c r="C403" s="12"/>
      <c r="D403" s="12"/>
      <c r="E403" s="12"/>
      <c r="F403" s="3"/>
      <c r="G403" s="10"/>
      <c r="H403" s="3"/>
      <c r="I403" s="3"/>
      <c r="J403" s="3"/>
      <c r="K403" s="3"/>
    </row>
    <row r="404" spans="1:11" x14ac:dyDescent="0.3">
      <c r="A404" s="10"/>
      <c r="B404" s="12"/>
      <c r="C404" s="12"/>
      <c r="D404" s="12"/>
      <c r="E404" s="12"/>
      <c r="F404" s="3"/>
      <c r="G404" s="10"/>
      <c r="H404" s="3"/>
      <c r="I404" s="3"/>
      <c r="J404" s="3"/>
      <c r="K404" s="3"/>
    </row>
    <row r="405" spans="1:11" x14ac:dyDescent="0.3">
      <c r="A405" s="10"/>
      <c r="B405" s="12"/>
      <c r="C405" s="12"/>
      <c r="D405" s="12"/>
      <c r="E405" s="12"/>
      <c r="F405" s="3"/>
      <c r="G405" s="10"/>
      <c r="H405" s="3"/>
      <c r="I405" s="3"/>
      <c r="J405" s="3"/>
      <c r="K405" s="3"/>
    </row>
    <row r="406" spans="1:11" x14ac:dyDescent="0.3">
      <c r="A406" s="10"/>
      <c r="B406" s="12"/>
      <c r="C406" s="12"/>
      <c r="D406" s="12"/>
      <c r="E406" s="12"/>
      <c r="F406" s="3"/>
      <c r="G406" s="10"/>
      <c r="H406" s="3"/>
      <c r="I406" s="3"/>
      <c r="J406" s="3"/>
      <c r="K406" s="3"/>
    </row>
    <row r="407" spans="1:11" x14ac:dyDescent="0.3">
      <c r="A407" s="10"/>
      <c r="B407" s="12"/>
      <c r="C407" s="12"/>
      <c r="D407" s="12"/>
      <c r="E407" s="12"/>
      <c r="F407" s="3"/>
      <c r="G407" s="10"/>
      <c r="H407" s="3"/>
      <c r="I407" s="3"/>
      <c r="J407" s="3"/>
      <c r="K407" s="3"/>
    </row>
    <row r="408" spans="1:11" x14ac:dyDescent="0.3">
      <c r="A408" s="10"/>
      <c r="B408" s="12"/>
      <c r="C408" s="12"/>
      <c r="D408" s="12"/>
      <c r="E408" s="12"/>
      <c r="F408" s="3"/>
      <c r="G408" s="10"/>
      <c r="H408" s="3"/>
      <c r="I408" s="3"/>
      <c r="J408" s="3"/>
      <c r="K408" s="3"/>
    </row>
    <row r="409" spans="1:11" x14ac:dyDescent="0.3">
      <c r="A409" s="10"/>
      <c r="B409" s="12"/>
      <c r="C409" s="12"/>
      <c r="D409" s="12"/>
      <c r="E409" s="12"/>
      <c r="F409" s="3"/>
      <c r="G409" s="10"/>
      <c r="H409" s="3"/>
      <c r="I409" s="3"/>
      <c r="J409" s="3"/>
      <c r="K409" s="3"/>
    </row>
    <row r="410" spans="1:11" x14ac:dyDescent="0.3">
      <c r="A410" s="10"/>
      <c r="B410" s="12"/>
      <c r="C410" s="12"/>
      <c r="D410" s="12"/>
      <c r="E410" s="12"/>
      <c r="F410" s="3"/>
      <c r="G410" s="10"/>
      <c r="H410" s="3"/>
      <c r="I410" s="3"/>
      <c r="J410" s="3"/>
      <c r="K410" s="3"/>
    </row>
    <row r="411" spans="1:11" x14ac:dyDescent="0.3">
      <c r="A411" s="10"/>
      <c r="B411" s="12"/>
      <c r="C411" s="12"/>
      <c r="D411" s="12"/>
      <c r="E411" s="12"/>
      <c r="F411" s="3"/>
      <c r="G411" s="10"/>
      <c r="H411" s="3"/>
      <c r="I411" s="3"/>
      <c r="J411" s="3"/>
      <c r="K411" s="3"/>
    </row>
    <row r="412" spans="1:11" x14ac:dyDescent="0.3">
      <c r="A412" s="10"/>
      <c r="B412" s="12"/>
      <c r="C412" s="12"/>
      <c r="D412" s="12"/>
      <c r="E412" s="12"/>
      <c r="F412" s="3"/>
      <c r="G412" s="10"/>
      <c r="H412" s="3"/>
      <c r="I412" s="3"/>
      <c r="J412" s="3"/>
      <c r="K412" s="3"/>
    </row>
    <row r="413" spans="1:11" x14ac:dyDescent="0.3">
      <c r="A413" s="10"/>
      <c r="B413" s="12"/>
      <c r="C413" s="12"/>
      <c r="D413" s="12"/>
      <c r="E413" s="12"/>
      <c r="F413" s="3"/>
      <c r="G413" s="10"/>
      <c r="H413" s="3"/>
      <c r="I413" s="3"/>
      <c r="J413" s="3"/>
      <c r="K413" s="3"/>
    </row>
    <row r="414" spans="1:11" x14ac:dyDescent="0.3">
      <c r="A414" s="10"/>
      <c r="B414" s="12"/>
      <c r="C414" s="12"/>
      <c r="D414" s="12"/>
      <c r="E414" s="12"/>
      <c r="F414" s="3"/>
      <c r="G414" s="10"/>
      <c r="H414" s="3"/>
      <c r="I414" s="3"/>
      <c r="J414" s="3"/>
      <c r="K414" s="3"/>
    </row>
    <row r="415" spans="1:11" x14ac:dyDescent="0.3">
      <c r="A415" s="10"/>
      <c r="B415" s="12"/>
      <c r="C415" s="12"/>
      <c r="D415" s="12"/>
      <c r="E415" s="12"/>
      <c r="F415" s="3"/>
      <c r="G415" s="10"/>
      <c r="H415" s="3"/>
      <c r="I415" s="3"/>
      <c r="J415" s="3"/>
      <c r="K415" s="3"/>
    </row>
    <row r="416" spans="1:11" x14ac:dyDescent="0.3">
      <c r="A416" s="10"/>
      <c r="B416" s="12"/>
      <c r="C416" s="12"/>
      <c r="D416" s="12"/>
      <c r="E416" s="12"/>
      <c r="F416" s="3"/>
      <c r="G416" s="10"/>
      <c r="H416" s="3"/>
      <c r="I416" s="3"/>
      <c r="J416" s="3"/>
      <c r="K416" s="3"/>
    </row>
    <row r="417" spans="1:11" x14ac:dyDescent="0.3">
      <c r="A417" s="10"/>
      <c r="B417" s="12"/>
      <c r="C417" s="12"/>
      <c r="D417" s="12"/>
      <c r="E417" s="12"/>
      <c r="F417" s="3"/>
      <c r="G417" s="10"/>
      <c r="H417" s="3"/>
      <c r="I417" s="3"/>
      <c r="J417" s="3"/>
      <c r="K417" s="3"/>
    </row>
    <row r="418" spans="1:11" x14ac:dyDescent="0.3">
      <c r="A418" s="10"/>
      <c r="B418" s="12"/>
      <c r="C418" s="12"/>
      <c r="D418" s="12"/>
      <c r="E418" s="12"/>
      <c r="F418" s="3"/>
      <c r="G418" s="10"/>
      <c r="H418" s="3"/>
      <c r="I418" s="3"/>
      <c r="J418" s="3"/>
      <c r="K418" s="3"/>
    </row>
    <row r="419" spans="1:11" x14ac:dyDescent="0.3">
      <c r="A419" s="10"/>
      <c r="B419" s="12"/>
      <c r="C419" s="12"/>
      <c r="D419" s="12"/>
      <c r="E419" s="12"/>
      <c r="F419" s="3"/>
      <c r="G419" s="10"/>
      <c r="H419" s="3"/>
      <c r="I419" s="3"/>
      <c r="J419" s="3"/>
      <c r="K419" s="3"/>
    </row>
    <row r="420" spans="1:11" x14ac:dyDescent="0.3">
      <c r="A420" s="10"/>
      <c r="B420" s="12"/>
      <c r="C420" s="12"/>
      <c r="D420" s="12"/>
      <c r="E420" s="12"/>
      <c r="F420" s="3"/>
      <c r="G420" s="10"/>
      <c r="H420" s="3"/>
      <c r="I420" s="3"/>
      <c r="J420" s="3"/>
      <c r="K420" s="3"/>
    </row>
    <row r="421" spans="1:11" x14ac:dyDescent="0.3">
      <c r="A421" s="10"/>
      <c r="B421" s="12"/>
      <c r="C421" s="12"/>
      <c r="D421" s="12"/>
      <c r="E421" s="12"/>
      <c r="F421" s="3"/>
      <c r="G421" s="10"/>
      <c r="H421" s="3"/>
      <c r="I421" s="3"/>
      <c r="J421" s="3"/>
      <c r="K421" s="3"/>
    </row>
    <row r="422" spans="1:11" x14ac:dyDescent="0.3">
      <c r="A422" s="10"/>
      <c r="B422" s="12"/>
      <c r="C422" s="12"/>
      <c r="D422" s="12"/>
      <c r="E422" s="12"/>
      <c r="F422" s="3"/>
      <c r="G422" s="10"/>
      <c r="H422" s="3"/>
      <c r="I422" s="3"/>
      <c r="J422" s="3"/>
      <c r="K422" s="3"/>
    </row>
    <row r="423" spans="1:11" x14ac:dyDescent="0.3">
      <c r="A423" s="10"/>
      <c r="B423" s="12"/>
      <c r="C423" s="12"/>
      <c r="D423" s="12"/>
      <c r="E423" s="12"/>
      <c r="F423" s="3"/>
      <c r="G423" s="10"/>
      <c r="H423" s="3"/>
      <c r="I423" s="3"/>
      <c r="J423" s="3"/>
      <c r="K423" s="3"/>
    </row>
    <row r="424" spans="1:11" x14ac:dyDescent="0.3">
      <c r="A424" s="10"/>
      <c r="B424" s="12"/>
      <c r="C424" s="12"/>
      <c r="D424" s="12"/>
      <c r="E424" s="12"/>
      <c r="F424" s="3"/>
      <c r="G424" s="10"/>
      <c r="H424" s="3"/>
      <c r="I424" s="3"/>
      <c r="J424" s="3"/>
      <c r="K424" s="3"/>
    </row>
    <row r="425" spans="1:11" x14ac:dyDescent="0.3">
      <c r="A425" s="10"/>
      <c r="B425" s="12"/>
      <c r="C425" s="12"/>
      <c r="D425" s="12"/>
      <c r="E425" s="12"/>
      <c r="F425" s="3"/>
      <c r="G425" s="10"/>
      <c r="H425" s="3"/>
      <c r="I425" s="3"/>
      <c r="J425" s="3"/>
      <c r="K425" s="3"/>
    </row>
    <row r="426" spans="1:11" x14ac:dyDescent="0.3">
      <c r="A426" s="10"/>
      <c r="B426" s="12"/>
      <c r="C426" s="12"/>
      <c r="D426" s="12"/>
      <c r="E426" s="12"/>
      <c r="F426" s="3"/>
      <c r="G426" s="10"/>
      <c r="H426" s="3"/>
      <c r="I426" s="3"/>
      <c r="J426" s="3"/>
      <c r="K426" s="3"/>
    </row>
    <row r="427" spans="1:11" x14ac:dyDescent="0.3">
      <c r="A427" s="10"/>
      <c r="B427" s="12"/>
      <c r="C427" s="12"/>
      <c r="D427" s="12"/>
      <c r="E427" s="12"/>
      <c r="F427" s="3"/>
      <c r="G427" s="10"/>
      <c r="H427" s="3"/>
      <c r="I427" s="3"/>
      <c r="J427" s="3"/>
      <c r="K427" s="3"/>
    </row>
    <row r="428" spans="1:11" x14ac:dyDescent="0.3">
      <c r="A428" s="10"/>
      <c r="B428" s="12"/>
      <c r="C428" s="12"/>
      <c r="D428" s="12"/>
      <c r="E428" s="12"/>
      <c r="F428" s="3"/>
      <c r="G428" s="10"/>
      <c r="H428" s="3"/>
      <c r="I428" s="3"/>
      <c r="J428" s="3"/>
      <c r="K428" s="3"/>
    </row>
    <row r="429" spans="1:11" x14ac:dyDescent="0.3">
      <c r="A429" s="10"/>
      <c r="B429" s="12"/>
      <c r="C429" s="12"/>
      <c r="D429" s="12"/>
      <c r="E429" s="12"/>
      <c r="F429" s="3"/>
      <c r="G429" s="10"/>
      <c r="H429" s="3"/>
      <c r="I429" s="3"/>
      <c r="J429" s="3"/>
      <c r="K429" s="3"/>
    </row>
    <row r="430" spans="1:11" x14ac:dyDescent="0.3">
      <c r="A430" s="10"/>
      <c r="B430" s="12"/>
      <c r="C430" s="12"/>
      <c r="D430" s="12"/>
      <c r="E430" s="12"/>
      <c r="F430" s="3"/>
      <c r="G430" s="10"/>
      <c r="H430" s="3"/>
      <c r="I430" s="3"/>
      <c r="J430" s="3"/>
      <c r="K430" s="3"/>
    </row>
    <row r="431" spans="1:11" x14ac:dyDescent="0.3">
      <c r="A431" s="10"/>
      <c r="B431" s="12"/>
      <c r="C431" s="12"/>
      <c r="D431" s="12"/>
      <c r="E431" s="12"/>
      <c r="F431" s="3"/>
      <c r="G431" s="10"/>
      <c r="H431" s="3"/>
      <c r="I431" s="3"/>
      <c r="J431" s="3"/>
      <c r="K431" s="3"/>
    </row>
    <row r="432" spans="1:11" x14ac:dyDescent="0.3">
      <c r="A432" s="10"/>
      <c r="B432" s="12"/>
      <c r="C432" s="12"/>
      <c r="D432" s="12"/>
      <c r="E432" s="12"/>
      <c r="F432" s="3"/>
      <c r="G432" s="10"/>
      <c r="H432" s="3"/>
      <c r="I432" s="3"/>
      <c r="J432" s="3"/>
      <c r="K432" s="3"/>
    </row>
    <row r="433" spans="1:11" x14ac:dyDescent="0.3">
      <c r="A433" s="10"/>
      <c r="B433" s="12"/>
      <c r="C433" s="12"/>
      <c r="D433" s="12"/>
      <c r="E433" s="12"/>
      <c r="F433" s="3"/>
      <c r="G433" s="10"/>
      <c r="H433" s="3"/>
      <c r="I433" s="3"/>
      <c r="J433" s="3"/>
      <c r="K433" s="3"/>
    </row>
    <row r="434" spans="1:11" x14ac:dyDescent="0.3">
      <c r="A434" s="10"/>
      <c r="B434" s="12"/>
      <c r="C434" s="12"/>
      <c r="D434" s="12"/>
      <c r="E434" s="12"/>
      <c r="F434" s="3"/>
      <c r="G434" s="10"/>
      <c r="H434" s="3"/>
      <c r="I434" s="3"/>
      <c r="J434" s="3"/>
      <c r="K434" s="3"/>
    </row>
    <row r="435" spans="1:11" x14ac:dyDescent="0.3">
      <c r="A435" s="10"/>
      <c r="B435" s="12"/>
      <c r="C435" s="12"/>
      <c r="D435" s="12"/>
      <c r="E435" s="12"/>
      <c r="F435" s="3"/>
      <c r="G435" s="10"/>
      <c r="H435" s="3"/>
      <c r="I435" s="3"/>
      <c r="J435" s="3"/>
      <c r="K435" s="3"/>
    </row>
    <row r="436" spans="1:11" x14ac:dyDescent="0.3">
      <c r="A436" s="10"/>
      <c r="B436" s="12"/>
      <c r="C436" s="12"/>
      <c r="D436" s="12"/>
      <c r="E436" s="12"/>
      <c r="F436" s="3"/>
      <c r="G436" s="10"/>
      <c r="H436" s="3"/>
      <c r="I436" s="3"/>
      <c r="J436" s="3"/>
      <c r="K436" s="3"/>
    </row>
    <row r="437" spans="1:11" x14ac:dyDescent="0.3">
      <c r="A437" s="10"/>
      <c r="B437" s="12"/>
      <c r="C437" s="12"/>
      <c r="D437" s="12"/>
      <c r="E437" s="12"/>
      <c r="F437" s="3"/>
      <c r="G437" s="10"/>
      <c r="H437" s="3"/>
      <c r="I437" s="3"/>
      <c r="J437" s="3"/>
      <c r="K437" s="3"/>
    </row>
    <row r="438" spans="1:11" x14ac:dyDescent="0.3">
      <c r="A438" s="10"/>
      <c r="B438" s="12"/>
      <c r="C438" s="12"/>
      <c r="D438" s="12"/>
      <c r="E438" s="12"/>
      <c r="F438" s="3"/>
      <c r="G438" s="10"/>
      <c r="H438" s="3"/>
      <c r="I438" s="3"/>
      <c r="J438" s="3"/>
      <c r="K438" s="3"/>
    </row>
    <row r="439" spans="1:11" x14ac:dyDescent="0.3">
      <c r="A439" s="10"/>
      <c r="B439" s="12"/>
      <c r="C439" s="12"/>
      <c r="D439" s="12"/>
      <c r="E439" s="12"/>
      <c r="F439" s="3"/>
      <c r="G439" s="10"/>
      <c r="H439" s="3"/>
      <c r="I439" s="3"/>
      <c r="J439" s="3"/>
      <c r="K439" s="3"/>
    </row>
    <row r="440" spans="1:11" x14ac:dyDescent="0.3">
      <c r="A440" s="10"/>
      <c r="B440" s="12"/>
      <c r="C440" s="12"/>
      <c r="D440" s="12"/>
      <c r="E440" s="12"/>
      <c r="F440" s="3"/>
      <c r="G440" s="10"/>
      <c r="H440" s="3"/>
      <c r="I440" s="3"/>
      <c r="J440" s="3"/>
      <c r="K440" s="3"/>
    </row>
    <row r="441" spans="1:11" x14ac:dyDescent="0.3">
      <c r="A441" s="10"/>
      <c r="B441" s="12"/>
      <c r="C441" s="12"/>
      <c r="D441" s="12"/>
      <c r="E441" s="12"/>
      <c r="F441" s="3"/>
      <c r="G441" s="10"/>
      <c r="H441" s="3"/>
      <c r="I441" s="3"/>
      <c r="J441" s="3"/>
      <c r="K441" s="3"/>
    </row>
    <row r="442" spans="1:11" x14ac:dyDescent="0.3">
      <c r="A442" s="10"/>
      <c r="B442" s="12"/>
      <c r="C442" s="12"/>
      <c r="D442" s="12"/>
      <c r="E442" s="12"/>
      <c r="F442" s="3"/>
      <c r="G442" s="10"/>
      <c r="H442" s="3"/>
      <c r="I442" s="3"/>
      <c r="J442" s="3"/>
      <c r="K442" s="3"/>
    </row>
    <row r="443" spans="1:11" x14ac:dyDescent="0.3">
      <c r="A443" s="10"/>
      <c r="B443" s="12"/>
      <c r="C443" s="12"/>
      <c r="D443" s="12"/>
      <c r="E443" s="12"/>
      <c r="F443" s="3"/>
      <c r="G443" s="10"/>
      <c r="H443" s="3"/>
      <c r="I443" s="3"/>
      <c r="J443" s="3"/>
      <c r="K443" s="3"/>
    </row>
    <row r="444" spans="1:11" x14ac:dyDescent="0.3">
      <c r="A444" s="10"/>
      <c r="B444" s="12"/>
      <c r="C444" s="12"/>
      <c r="D444" s="12"/>
      <c r="E444" s="12"/>
      <c r="F444" s="3"/>
      <c r="G444" s="10"/>
      <c r="H444" s="3"/>
      <c r="I444" s="3"/>
      <c r="J444" s="3"/>
      <c r="K444" s="3"/>
    </row>
    <row r="445" spans="1:11" x14ac:dyDescent="0.3">
      <c r="A445" s="10"/>
      <c r="B445" s="12"/>
      <c r="C445" s="12"/>
      <c r="D445" s="12"/>
      <c r="E445" s="12"/>
      <c r="F445" s="3"/>
      <c r="G445" s="10"/>
      <c r="H445" s="3"/>
      <c r="I445" s="3"/>
      <c r="J445" s="3"/>
      <c r="K445" s="3"/>
    </row>
    <row r="446" spans="1:11" x14ac:dyDescent="0.3">
      <c r="A446" s="10"/>
      <c r="B446" s="12"/>
      <c r="C446" s="12"/>
      <c r="D446" s="12"/>
      <c r="E446" s="12"/>
      <c r="F446" s="3"/>
      <c r="G446" s="10"/>
      <c r="H446" s="3"/>
      <c r="I446" s="3"/>
      <c r="J446" s="3"/>
      <c r="K446" s="3"/>
    </row>
    <row r="447" spans="1:11" x14ac:dyDescent="0.3">
      <c r="A447" s="10"/>
      <c r="B447" s="12"/>
      <c r="C447" s="12"/>
      <c r="D447" s="12"/>
      <c r="E447" s="12"/>
      <c r="F447" s="3"/>
      <c r="G447" s="10"/>
      <c r="H447" s="3"/>
      <c r="I447" s="3"/>
      <c r="J447" s="3"/>
      <c r="K447" s="3"/>
    </row>
    <row r="448" spans="1:11" x14ac:dyDescent="0.3">
      <c r="A448" s="10"/>
      <c r="B448" s="12"/>
      <c r="C448" s="12"/>
      <c r="D448" s="12"/>
      <c r="E448" s="12"/>
      <c r="F448" s="3"/>
      <c r="G448" s="10"/>
      <c r="H448" s="3"/>
      <c r="I448" s="3"/>
      <c r="J448" s="3"/>
      <c r="K448" s="3"/>
    </row>
    <row r="449" spans="1:11" x14ac:dyDescent="0.3">
      <c r="A449" s="10"/>
      <c r="B449" s="12"/>
      <c r="C449" s="12"/>
      <c r="D449" s="12"/>
      <c r="E449" s="12"/>
      <c r="F449" s="3"/>
      <c r="G449" s="10"/>
      <c r="H449" s="3"/>
      <c r="I449" s="3"/>
      <c r="J449" s="3"/>
      <c r="K449" s="3"/>
    </row>
    <row r="450" spans="1:11" x14ac:dyDescent="0.3">
      <c r="A450" s="10"/>
      <c r="B450" s="12"/>
      <c r="C450" s="12"/>
      <c r="D450" s="12"/>
      <c r="E450" s="12"/>
      <c r="F450" s="3"/>
      <c r="G450" s="10"/>
      <c r="H450" s="3"/>
      <c r="I450" s="3"/>
      <c r="J450" s="3"/>
      <c r="K450" s="3"/>
    </row>
    <row r="451" spans="1:11" x14ac:dyDescent="0.3">
      <c r="A451" s="10"/>
      <c r="B451" s="12"/>
      <c r="C451" s="12"/>
      <c r="D451" s="12"/>
      <c r="E451" s="12"/>
      <c r="F451" s="3"/>
      <c r="G451" s="10"/>
      <c r="H451" s="3"/>
      <c r="I451" s="3"/>
      <c r="J451" s="3"/>
      <c r="K451" s="3"/>
    </row>
    <row r="452" spans="1:11" x14ac:dyDescent="0.3">
      <c r="A452" s="10"/>
      <c r="B452" s="12"/>
      <c r="C452" s="12"/>
      <c r="D452" s="12"/>
      <c r="E452" s="12"/>
      <c r="F452" s="3"/>
      <c r="G452" s="10"/>
      <c r="H452" s="3"/>
      <c r="I452" s="3"/>
      <c r="J452" s="3"/>
      <c r="K452" s="3"/>
    </row>
    <row r="453" spans="1:11" x14ac:dyDescent="0.3">
      <c r="A453" s="10"/>
      <c r="B453" s="12"/>
      <c r="C453" s="12"/>
      <c r="D453" s="12"/>
      <c r="E453" s="12"/>
      <c r="F453" s="3"/>
      <c r="G453" s="10"/>
      <c r="H453" s="3"/>
      <c r="I453" s="3"/>
      <c r="J453" s="3"/>
      <c r="K453" s="3"/>
    </row>
    <row r="454" spans="1:11" x14ac:dyDescent="0.3">
      <c r="A454" s="10"/>
      <c r="B454" s="12"/>
      <c r="C454" s="12"/>
      <c r="D454" s="12"/>
      <c r="E454" s="12"/>
      <c r="F454" s="3"/>
      <c r="G454" s="10"/>
      <c r="H454" s="3"/>
      <c r="I454" s="3"/>
      <c r="J454" s="3"/>
      <c r="K454" s="3"/>
    </row>
    <row r="455" spans="1:11" x14ac:dyDescent="0.3">
      <c r="A455" s="10"/>
      <c r="B455" s="12"/>
      <c r="C455" s="12"/>
      <c r="D455" s="12"/>
      <c r="E455" s="12"/>
      <c r="F455" s="3"/>
      <c r="G455" s="10"/>
      <c r="H455" s="3"/>
      <c r="I455" s="3"/>
      <c r="J455" s="3"/>
      <c r="K455" s="3"/>
    </row>
    <row r="456" spans="1:11" x14ac:dyDescent="0.3">
      <c r="A456" s="10"/>
      <c r="B456" s="12"/>
      <c r="C456" s="12"/>
      <c r="D456" s="12"/>
      <c r="E456" s="12"/>
      <c r="F456" s="3"/>
      <c r="G456" s="10"/>
      <c r="H456" s="3"/>
      <c r="I456" s="3"/>
      <c r="J456" s="3"/>
      <c r="K456" s="3"/>
    </row>
    <row r="457" spans="1:11" x14ac:dyDescent="0.3">
      <c r="A457" s="10"/>
      <c r="B457" s="12"/>
      <c r="C457" s="12"/>
      <c r="D457" s="12"/>
      <c r="E457" s="12"/>
      <c r="F457" s="3"/>
      <c r="G457" s="10"/>
      <c r="H457" s="3"/>
      <c r="I457" s="3"/>
      <c r="J457" s="3"/>
      <c r="K457" s="3"/>
    </row>
    <row r="458" spans="1:11" x14ac:dyDescent="0.3">
      <c r="A458" s="10"/>
      <c r="B458" s="12"/>
      <c r="C458" s="12"/>
      <c r="D458" s="12"/>
      <c r="E458" s="12"/>
      <c r="F458" s="3"/>
      <c r="G458" s="10"/>
      <c r="H458" s="3"/>
      <c r="I458" s="3"/>
      <c r="J458" s="3"/>
      <c r="K458" s="3"/>
    </row>
    <row r="459" spans="1:11" x14ac:dyDescent="0.3">
      <c r="A459" s="10"/>
      <c r="B459" s="12"/>
      <c r="C459" s="12"/>
      <c r="D459" s="12"/>
      <c r="E459" s="12"/>
      <c r="F459" s="3"/>
      <c r="G459" s="10"/>
      <c r="H459" s="3"/>
      <c r="I459" s="3"/>
      <c r="J459" s="3"/>
      <c r="K459" s="3"/>
    </row>
    <row r="460" spans="1:11" x14ac:dyDescent="0.3">
      <c r="A460" s="10"/>
      <c r="B460" s="12"/>
      <c r="C460" s="12"/>
      <c r="D460" s="12"/>
      <c r="E460" s="12"/>
      <c r="F460" s="3"/>
      <c r="G460" s="10"/>
      <c r="H460" s="3"/>
      <c r="I460" s="3"/>
      <c r="J460" s="3"/>
      <c r="K460" s="3"/>
    </row>
    <row r="461" spans="1:11" x14ac:dyDescent="0.3">
      <c r="A461" s="10"/>
      <c r="B461" s="12"/>
      <c r="C461" s="12"/>
      <c r="D461" s="12"/>
      <c r="E461" s="12"/>
      <c r="F461" s="3"/>
      <c r="G461" s="10"/>
      <c r="H461" s="3"/>
      <c r="I461" s="3"/>
      <c r="J461" s="3"/>
      <c r="K461" s="3"/>
    </row>
    <row r="462" spans="1:11" x14ac:dyDescent="0.3">
      <c r="A462" s="10"/>
      <c r="B462" s="12"/>
      <c r="C462" s="12"/>
      <c r="D462" s="12"/>
      <c r="E462" s="12"/>
      <c r="F462" s="3"/>
      <c r="G462" s="10"/>
      <c r="H462" s="3"/>
      <c r="I462" s="3"/>
      <c r="J462" s="3"/>
      <c r="K462" s="3"/>
    </row>
    <row r="463" spans="1:11" x14ac:dyDescent="0.3">
      <c r="A463" s="10"/>
      <c r="B463" s="12"/>
      <c r="C463" s="12"/>
      <c r="D463" s="12"/>
      <c r="E463" s="12"/>
      <c r="F463" s="3"/>
      <c r="G463" s="10"/>
      <c r="H463" s="3"/>
      <c r="I463" s="3"/>
      <c r="J463" s="3"/>
      <c r="K463" s="3"/>
    </row>
    <row r="464" spans="1:11" x14ac:dyDescent="0.3">
      <c r="A464" s="10"/>
      <c r="B464" s="12"/>
      <c r="C464" s="12"/>
      <c r="D464" s="12"/>
      <c r="E464" s="12"/>
      <c r="F464" s="3"/>
      <c r="G464" s="10"/>
      <c r="H464" s="3"/>
      <c r="I464" s="3"/>
      <c r="J464" s="3"/>
      <c r="K464" s="3"/>
    </row>
    <row r="465" spans="1:11" x14ac:dyDescent="0.3">
      <c r="A465" s="10"/>
      <c r="B465" s="12"/>
      <c r="C465" s="12"/>
      <c r="D465" s="12"/>
      <c r="E465" s="12"/>
      <c r="F465" s="3"/>
      <c r="G465" s="10"/>
      <c r="H465" s="3"/>
      <c r="I465" s="3"/>
      <c r="J465" s="3"/>
      <c r="K465" s="3"/>
    </row>
    <row r="466" spans="1:11" x14ac:dyDescent="0.3">
      <c r="A466" s="10"/>
      <c r="B466" s="12"/>
      <c r="C466" s="12"/>
      <c r="D466" s="12"/>
      <c r="E466" s="12"/>
      <c r="F466" s="3"/>
      <c r="G466" s="10"/>
      <c r="H466" s="3"/>
      <c r="I466" s="3"/>
      <c r="J466" s="3"/>
      <c r="K466" s="3"/>
    </row>
    <row r="467" spans="1:11" x14ac:dyDescent="0.3">
      <c r="A467" s="10"/>
      <c r="B467" s="12"/>
      <c r="C467" s="12"/>
      <c r="D467" s="12"/>
      <c r="E467" s="12"/>
      <c r="F467" s="3"/>
      <c r="G467" s="10"/>
      <c r="H467" s="3"/>
      <c r="I467" s="3"/>
      <c r="J467" s="3"/>
      <c r="K467" s="3"/>
    </row>
    <row r="468" spans="1:11" x14ac:dyDescent="0.3">
      <c r="A468" s="10"/>
      <c r="B468" s="12"/>
      <c r="C468" s="12"/>
      <c r="D468" s="12"/>
      <c r="E468" s="12"/>
      <c r="F468" s="3"/>
      <c r="G468" s="10"/>
      <c r="H468" s="3"/>
      <c r="I468" s="3"/>
      <c r="J468" s="3"/>
      <c r="K468" s="3"/>
    </row>
    <row r="469" spans="1:11" x14ac:dyDescent="0.3">
      <c r="A469" s="10"/>
      <c r="B469" s="12"/>
      <c r="C469" s="12"/>
      <c r="D469" s="12"/>
      <c r="E469" s="12"/>
      <c r="F469" s="3"/>
      <c r="G469" s="10"/>
      <c r="H469" s="3"/>
      <c r="I469" s="3"/>
      <c r="J469" s="3"/>
      <c r="K469" s="3"/>
    </row>
    <row r="470" spans="1:11" x14ac:dyDescent="0.3">
      <c r="A470" s="10"/>
      <c r="B470" s="12"/>
      <c r="C470" s="12"/>
      <c r="D470" s="12"/>
      <c r="E470" s="12"/>
      <c r="F470" s="3"/>
      <c r="G470" s="10"/>
      <c r="H470" s="3"/>
      <c r="I470" s="3"/>
      <c r="J470" s="3"/>
      <c r="K470" s="3"/>
    </row>
    <row r="471" spans="1:11" x14ac:dyDescent="0.3">
      <c r="A471" s="10"/>
      <c r="B471" s="12"/>
      <c r="C471" s="12"/>
      <c r="D471" s="12"/>
      <c r="E471" s="12"/>
      <c r="F471" s="3"/>
      <c r="G471" s="10"/>
      <c r="H471" s="3"/>
      <c r="I471" s="3"/>
      <c r="J471" s="3"/>
      <c r="K471" s="3"/>
    </row>
    <row r="472" spans="1:11" x14ac:dyDescent="0.3">
      <c r="A472" s="10"/>
      <c r="B472" s="12"/>
      <c r="C472" s="12"/>
      <c r="D472" s="12"/>
      <c r="E472" s="12"/>
      <c r="F472" s="3"/>
      <c r="G472" s="10"/>
      <c r="H472" s="3"/>
      <c r="I472" s="3"/>
      <c r="J472" s="3"/>
      <c r="K472" s="3"/>
    </row>
    <row r="473" spans="1:11" x14ac:dyDescent="0.3">
      <c r="A473" s="10"/>
      <c r="B473" s="12"/>
      <c r="C473" s="12"/>
      <c r="D473" s="12"/>
      <c r="E473" s="12"/>
      <c r="F473" s="3"/>
      <c r="G473" s="10"/>
      <c r="H473" s="3"/>
      <c r="I473" s="3"/>
      <c r="J473" s="3"/>
      <c r="K473" s="3"/>
    </row>
    <row r="474" spans="1:11" x14ac:dyDescent="0.3">
      <c r="A474" s="10"/>
      <c r="B474" s="12"/>
      <c r="C474" s="12"/>
      <c r="D474" s="12"/>
      <c r="E474" s="12"/>
      <c r="F474" s="3"/>
      <c r="G474" s="10"/>
      <c r="H474" s="3"/>
      <c r="I474" s="3"/>
      <c r="J474" s="3"/>
      <c r="K474" s="3"/>
    </row>
    <row r="475" spans="1:11" x14ac:dyDescent="0.3">
      <c r="A475" s="10"/>
      <c r="B475" s="12"/>
      <c r="C475" s="12"/>
      <c r="D475" s="12"/>
      <c r="E475" s="12"/>
      <c r="F475" s="3"/>
      <c r="G475" s="10"/>
      <c r="H475" s="3"/>
      <c r="I475" s="3"/>
      <c r="J475" s="3"/>
      <c r="K475" s="3"/>
    </row>
    <row r="476" spans="1:11" x14ac:dyDescent="0.3">
      <c r="A476" s="10"/>
      <c r="B476" s="12"/>
      <c r="C476" s="12"/>
      <c r="D476" s="12"/>
      <c r="E476" s="12"/>
      <c r="F476" s="3"/>
      <c r="G476" s="10"/>
      <c r="H476" s="3"/>
      <c r="I476" s="3"/>
      <c r="J476" s="3"/>
      <c r="K476" s="3"/>
    </row>
    <row r="477" spans="1:11" x14ac:dyDescent="0.3">
      <c r="A477" s="10"/>
      <c r="B477" s="12"/>
      <c r="C477" s="12"/>
      <c r="D477" s="12"/>
      <c r="E477" s="12"/>
      <c r="F477" s="3"/>
      <c r="G477" s="10"/>
      <c r="H477" s="3"/>
      <c r="I477" s="3"/>
      <c r="J477" s="3"/>
      <c r="K477" s="3"/>
    </row>
    <row r="478" spans="1:11" x14ac:dyDescent="0.3">
      <c r="A478" s="10"/>
      <c r="B478" s="12"/>
      <c r="C478" s="12"/>
      <c r="D478" s="12"/>
      <c r="E478" s="12"/>
      <c r="F478" s="3"/>
      <c r="G478" s="10"/>
      <c r="H478" s="3"/>
      <c r="I478" s="3"/>
      <c r="J478" s="3"/>
      <c r="K478" s="3"/>
    </row>
    <row r="479" spans="1:11" x14ac:dyDescent="0.3">
      <c r="A479" s="10"/>
      <c r="B479" s="12"/>
      <c r="C479" s="12"/>
      <c r="D479" s="12"/>
      <c r="E479" s="12"/>
      <c r="F479" s="3"/>
      <c r="G479" s="10"/>
      <c r="H479" s="3"/>
      <c r="I479" s="3"/>
      <c r="J479" s="3"/>
      <c r="K479" s="3"/>
    </row>
    <row r="480" spans="1:11" x14ac:dyDescent="0.3">
      <c r="A480" s="10"/>
      <c r="B480" s="12"/>
      <c r="C480" s="12"/>
      <c r="D480" s="12"/>
      <c r="E480" s="12"/>
      <c r="F480" s="3"/>
      <c r="G480" s="10"/>
      <c r="H480" s="3"/>
      <c r="I480" s="3"/>
      <c r="J480" s="3"/>
      <c r="K480" s="3"/>
    </row>
    <row r="481" spans="1:11" x14ac:dyDescent="0.3">
      <c r="A481" s="10"/>
      <c r="B481" s="12"/>
      <c r="C481" s="12"/>
      <c r="D481" s="12"/>
      <c r="E481" s="12"/>
      <c r="F481" s="3"/>
      <c r="G481" s="10"/>
      <c r="H481" s="3"/>
      <c r="I481" s="3"/>
      <c r="J481" s="3"/>
      <c r="K481" s="3"/>
    </row>
    <row r="482" spans="1:11" x14ac:dyDescent="0.3">
      <c r="A482" s="10"/>
      <c r="B482" s="12"/>
      <c r="C482" s="12"/>
      <c r="D482" s="12"/>
      <c r="E482" s="12"/>
      <c r="F482" s="3"/>
      <c r="G482" s="10"/>
      <c r="H482" s="3"/>
      <c r="I482" s="3"/>
      <c r="J482" s="3"/>
      <c r="K482" s="3"/>
    </row>
    <row r="483" spans="1:11" x14ac:dyDescent="0.3">
      <c r="A483" s="10"/>
      <c r="B483" s="12"/>
      <c r="C483" s="12"/>
      <c r="D483" s="12"/>
      <c r="E483" s="12"/>
      <c r="F483" s="3"/>
      <c r="G483" s="10"/>
      <c r="H483" s="3"/>
      <c r="I483" s="3"/>
      <c r="J483" s="3"/>
      <c r="K483" s="3"/>
    </row>
    <row r="484" spans="1:11" x14ac:dyDescent="0.3">
      <c r="A484" s="10"/>
      <c r="B484" s="12"/>
      <c r="C484" s="12"/>
      <c r="D484" s="12"/>
      <c r="E484" s="12"/>
      <c r="F484" s="3"/>
      <c r="G484" s="10"/>
      <c r="H484" s="3"/>
      <c r="I484" s="3"/>
      <c r="J484" s="3"/>
      <c r="K484" s="3"/>
    </row>
    <row r="485" spans="1:11" x14ac:dyDescent="0.3">
      <c r="A485" s="10"/>
      <c r="B485" s="12"/>
      <c r="C485" s="12"/>
      <c r="D485" s="12"/>
      <c r="E485" s="12"/>
      <c r="F485" s="3"/>
      <c r="G485" s="10"/>
      <c r="H485" s="3"/>
      <c r="I485" s="3"/>
      <c r="J485" s="3"/>
      <c r="K485" s="3"/>
    </row>
    <row r="486" spans="1:11" x14ac:dyDescent="0.3">
      <c r="A486" s="10"/>
      <c r="B486" s="12"/>
      <c r="C486" s="12"/>
      <c r="D486" s="12"/>
      <c r="E486" s="12"/>
      <c r="F486" s="3"/>
      <c r="G486" s="10"/>
      <c r="H486" s="3"/>
      <c r="I486" s="3"/>
      <c r="J486" s="3"/>
      <c r="K486" s="3"/>
    </row>
    <row r="487" spans="1:11" x14ac:dyDescent="0.3">
      <c r="A487" s="10"/>
      <c r="B487" s="12"/>
      <c r="C487" s="12"/>
      <c r="D487" s="12"/>
      <c r="E487" s="12"/>
      <c r="F487" s="3"/>
      <c r="G487" s="10"/>
      <c r="H487" s="3"/>
      <c r="I487" s="3"/>
      <c r="J487" s="3"/>
      <c r="K487" s="3"/>
    </row>
    <row r="488" spans="1:11" x14ac:dyDescent="0.3">
      <c r="A488" s="10"/>
      <c r="B488" s="12"/>
      <c r="C488" s="12"/>
      <c r="D488" s="12"/>
      <c r="E488" s="12"/>
      <c r="F488" s="3"/>
      <c r="G488" s="10"/>
      <c r="H488" s="3"/>
      <c r="I488" s="3"/>
      <c r="J488" s="3"/>
      <c r="K488" s="3"/>
    </row>
    <row r="489" spans="1:11" x14ac:dyDescent="0.3">
      <c r="A489" s="10"/>
      <c r="B489" s="12"/>
      <c r="C489" s="12"/>
      <c r="D489" s="12"/>
      <c r="E489" s="12"/>
      <c r="F489" s="3"/>
      <c r="G489" s="10"/>
      <c r="H489" s="3"/>
      <c r="I489" s="3"/>
      <c r="J489" s="3"/>
      <c r="K489" s="3"/>
    </row>
    <row r="490" spans="1:11" x14ac:dyDescent="0.3">
      <c r="A490" s="10"/>
      <c r="B490" s="12"/>
      <c r="C490" s="12"/>
      <c r="D490" s="12"/>
      <c r="E490" s="12"/>
      <c r="F490" s="3"/>
      <c r="G490" s="10"/>
      <c r="H490" s="3"/>
      <c r="I490" s="3"/>
      <c r="J490" s="3"/>
      <c r="K490" s="3"/>
    </row>
    <row r="491" spans="1:11" x14ac:dyDescent="0.3">
      <c r="A491" s="10"/>
      <c r="B491" s="12"/>
      <c r="C491" s="12"/>
      <c r="D491" s="12"/>
      <c r="E491" s="12"/>
      <c r="F491" s="3"/>
      <c r="G491" s="10"/>
      <c r="H491" s="3"/>
      <c r="I491" s="3"/>
      <c r="J491" s="3"/>
      <c r="K491" s="3"/>
    </row>
    <row r="492" spans="1:11" x14ac:dyDescent="0.3">
      <c r="A492" s="10"/>
      <c r="B492" s="12"/>
      <c r="C492" s="12"/>
      <c r="D492" s="12"/>
      <c r="E492" s="12"/>
      <c r="F492" s="3"/>
      <c r="G492" s="10"/>
      <c r="H492" s="3"/>
      <c r="I492" s="3"/>
      <c r="J492" s="3"/>
      <c r="K492" s="3"/>
    </row>
    <row r="493" spans="1:11" x14ac:dyDescent="0.3">
      <c r="A493" s="10"/>
      <c r="B493" s="12"/>
      <c r="C493" s="12"/>
      <c r="D493" s="12"/>
      <c r="E493" s="12"/>
      <c r="F493" s="3"/>
      <c r="G493" s="10"/>
      <c r="H493" s="3"/>
      <c r="I493" s="3"/>
      <c r="J493" s="3"/>
      <c r="K493" s="3"/>
    </row>
    <row r="494" spans="1:11" x14ac:dyDescent="0.3">
      <c r="A494" s="10"/>
      <c r="B494" s="12"/>
      <c r="C494" s="12"/>
      <c r="D494" s="12"/>
      <c r="E494" s="12"/>
      <c r="F494" s="3"/>
      <c r="G494" s="10"/>
      <c r="H494" s="3"/>
      <c r="I494" s="3"/>
      <c r="J494" s="3"/>
      <c r="K494" s="3"/>
    </row>
    <row r="495" spans="1:11" x14ac:dyDescent="0.3">
      <c r="A495" s="10"/>
      <c r="B495" s="12"/>
      <c r="C495" s="12"/>
      <c r="D495" s="12"/>
      <c r="E495" s="12"/>
      <c r="F495" s="3"/>
      <c r="G495" s="10"/>
      <c r="H495" s="3"/>
      <c r="I495" s="3"/>
      <c r="J495" s="3"/>
      <c r="K495" s="3"/>
    </row>
    <row r="496" spans="1:11" x14ac:dyDescent="0.3">
      <c r="A496" s="10"/>
      <c r="B496" s="12"/>
      <c r="C496" s="12"/>
      <c r="D496" s="12"/>
      <c r="E496" s="12"/>
      <c r="F496" s="3"/>
      <c r="G496" s="10"/>
      <c r="H496" s="3"/>
      <c r="I496" s="3"/>
      <c r="J496" s="3"/>
      <c r="K496" s="3"/>
    </row>
    <row r="497" spans="1:11" x14ac:dyDescent="0.3">
      <c r="A497" s="10"/>
      <c r="B497" s="12"/>
      <c r="C497" s="12"/>
      <c r="D497" s="12"/>
      <c r="E497" s="12"/>
      <c r="F497" s="3"/>
      <c r="G497" s="10"/>
      <c r="H497" s="3"/>
      <c r="I497" s="3"/>
      <c r="J497" s="3"/>
      <c r="K497" s="3"/>
    </row>
    <row r="498" spans="1:11" x14ac:dyDescent="0.3">
      <c r="A498" s="10"/>
      <c r="B498" s="12"/>
      <c r="C498" s="12"/>
      <c r="D498" s="12"/>
      <c r="E498" s="12"/>
      <c r="F498" s="3"/>
      <c r="G498" s="10"/>
      <c r="H498" s="3"/>
      <c r="I498" s="3"/>
      <c r="J498" s="3"/>
      <c r="K498" s="3"/>
    </row>
    <row r="499" spans="1:11" x14ac:dyDescent="0.3">
      <c r="A499" s="10"/>
      <c r="B499" s="12"/>
      <c r="C499" s="12"/>
      <c r="D499" s="12"/>
      <c r="E499" s="12"/>
      <c r="F499" s="3"/>
      <c r="G499" s="10"/>
      <c r="H499" s="3"/>
      <c r="I499" s="3"/>
      <c r="J499" s="3"/>
      <c r="K499" s="3"/>
    </row>
    <row r="500" spans="1:11" x14ac:dyDescent="0.3">
      <c r="A500" s="10"/>
      <c r="B500" s="12"/>
      <c r="C500" s="12"/>
      <c r="D500" s="12"/>
      <c r="E500" s="12"/>
      <c r="F500" s="3"/>
      <c r="G500" s="10"/>
      <c r="H500" s="3"/>
      <c r="I500" s="3"/>
      <c r="J500" s="3"/>
      <c r="K500" s="3"/>
    </row>
    <row r="501" spans="1:11" x14ac:dyDescent="0.3">
      <c r="A501" s="10"/>
      <c r="B501" s="12"/>
      <c r="C501" s="12"/>
      <c r="D501" s="12"/>
      <c r="E501" s="12"/>
      <c r="F501" s="3"/>
      <c r="G501" s="10"/>
      <c r="H501" s="3"/>
      <c r="I501" s="3"/>
      <c r="J501" s="3"/>
      <c r="K50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0884-209B-4C8F-8563-AAC67687A377}">
  <sheetPr codeName="Sheet9">
    <tabColor theme="8" tint="0.39997558519241921"/>
  </sheetPr>
  <dimension ref="A1:K501"/>
  <sheetViews>
    <sheetView workbookViewId="0">
      <selection activeCell="A2" sqref="A2"/>
    </sheetView>
  </sheetViews>
  <sheetFormatPr defaultRowHeight="14.4" x14ac:dyDescent="0.3"/>
  <cols>
    <col min="1" max="1" width="15.77734375" style="18" bestFit="1" customWidth="1"/>
    <col min="2" max="5" width="11.44140625" style="21" bestFit="1" customWidth="1"/>
    <col min="6" max="6" width="11" style="17" bestFit="1" customWidth="1"/>
    <col min="7" max="7" width="15.88671875" style="18" bestFit="1" customWidth="1"/>
    <col min="8" max="8" width="16.77734375" style="17" bestFit="1" customWidth="1"/>
    <col min="9" max="9" width="15.109375" style="17" bestFit="1" customWidth="1"/>
    <col min="10" max="10" width="15.21875" style="17" bestFit="1" customWidth="1"/>
    <col min="11" max="11" width="16.44140625" style="17" bestFit="1" customWidth="1"/>
    <col min="12" max="16384" width="8.88671875" style="17"/>
  </cols>
  <sheetData>
    <row r="1" spans="1:11" x14ac:dyDescent="0.3">
      <c r="A1" s="1" t="str" cm="1">
        <f t="array" ref="A1">_xll.KlineStream("BTCUSDT","1h",500)</f>
        <v xml:space="preserve">no close frame received or sent: Traceback (most recent call last):
  File "C:\Program Files\Python311\Lib\asyncio\proactor_events.py", line 305, in _loop_reading
    self._read_fut = self._loop._proactor.recv_into(self._sock, self._data)
                     ^^^^^^^^^^^^^^^^^^^^^^^^^^^^^^^^^^^^^^^^^^^^^^^^^^^^^^
  File "C:\Program Files\Python311\Lib\asyncio\windows_events.py", line 486, in recv_into
    ov.WSARecvInto(conn.fileno(), buf, flags)
ConnectionResetError: [WinError 10054] An existing connection was forcibly closed by the remote host
The above exception was the direct cause of the following exception:
Traceback (most recent call last):
  File "C:\Program Files\Python311\Lib\site-packages\xloil\register.py", line 192, in run_async
    async for result in fn(*args, **kwargs):
  File "C:\Users\HP\Desktop\MIS_Project\Bitcoin\Data\KlineStream.py", line 118, in KlineStream
    async for raw in ws:
  File "C:\Program Files\Python311\Lib\site-packages\websockets\asyncio\connection.py", line 242, in __aiter__
    yield await self.recv()
          ^^^^^^^^^^^^^^^^^
  File "C:\Program Files\Python311\Lib\site-packages\websockets\asyncio\connection.py", line 322, in recv
    raise self.protocol.close_exc from self.recv_exc
websockets.exceptions.ConnectionClosedError: no close frame received or sent
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4"/>
      <c r="B2" s="19"/>
      <c r="C2" s="19"/>
      <c r="D2" s="19"/>
      <c r="E2" s="19"/>
      <c r="F2" s="16"/>
      <c r="G2" s="14"/>
      <c r="H2" s="16"/>
      <c r="I2" s="16"/>
      <c r="J2" s="16"/>
      <c r="K2" s="16"/>
    </row>
    <row r="3" spans="1:11" x14ac:dyDescent="0.3">
      <c r="A3" s="10"/>
      <c r="B3" s="20"/>
      <c r="C3" s="20"/>
      <c r="D3" s="20"/>
      <c r="E3" s="20"/>
      <c r="F3" s="3"/>
      <c r="G3" s="10"/>
      <c r="H3" s="3"/>
      <c r="I3" s="3"/>
      <c r="J3" s="3"/>
      <c r="K3" s="3"/>
    </row>
    <row r="4" spans="1:11" x14ac:dyDescent="0.3">
      <c r="A4" s="10"/>
      <c r="B4" s="20"/>
      <c r="C4" s="20"/>
      <c r="D4" s="20"/>
      <c r="E4" s="20"/>
      <c r="F4" s="3"/>
      <c r="G4" s="10"/>
      <c r="H4" s="3"/>
      <c r="I4" s="3"/>
      <c r="J4" s="3"/>
      <c r="K4" s="3"/>
    </row>
    <row r="5" spans="1:11" x14ac:dyDescent="0.3">
      <c r="A5" s="10"/>
      <c r="B5" s="20"/>
      <c r="C5" s="20"/>
      <c r="D5" s="20"/>
      <c r="E5" s="20"/>
      <c r="F5" s="3"/>
      <c r="G5" s="10"/>
      <c r="H5" s="3"/>
      <c r="I5" s="3"/>
      <c r="J5" s="3"/>
      <c r="K5" s="3"/>
    </row>
    <row r="6" spans="1:11" x14ac:dyDescent="0.3">
      <c r="A6" s="10"/>
      <c r="B6" s="20"/>
      <c r="C6" s="20"/>
      <c r="D6" s="20"/>
      <c r="E6" s="20"/>
      <c r="F6" s="3"/>
      <c r="G6" s="10"/>
      <c r="H6" s="3"/>
      <c r="I6" s="3"/>
      <c r="J6" s="3"/>
      <c r="K6" s="3"/>
    </row>
    <row r="7" spans="1:11" x14ac:dyDescent="0.3">
      <c r="A7" s="10"/>
      <c r="B7" s="20"/>
      <c r="C7" s="20"/>
      <c r="D7" s="20"/>
      <c r="E7" s="20"/>
      <c r="F7" s="3"/>
      <c r="G7" s="10"/>
      <c r="H7" s="3"/>
      <c r="I7" s="3"/>
      <c r="J7" s="3"/>
      <c r="K7" s="3"/>
    </row>
    <row r="8" spans="1:11" x14ac:dyDescent="0.3">
      <c r="A8" s="10"/>
      <c r="B8" s="20"/>
      <c r="C8" s="20"/>
      <c r="D8" s="20"/>
      <c r="E8" s="20"/>
      <c r="F8" s="3"/>
      <c r="G8" s="10"/>
      <c r="H8" s="3"/>
      <c r="I8" s="3"/>
      <c r="J8" s="3"/>
      <c r="K8" s="3"/>
    </row>
    <row r="9" spans="1:11" x14ac:dyDescent="0.3">
      <c r="A9" s="10"/>
      <c r="B9" s="20"/>
      <c r="C9" s="20"/>
      <c r="D9" s="20"/>
      <c r="E9" s="20"/>
      <c r="F9" s="3"/>
      <c r="G9" s="10"/>
      <c r="H9" s="3"/>
      <c r="I9" s="3"/>
      <c r="J9" s="3"/>
      <c r="K9" s="3"/>
    </row>
    <row r="10" spans="1:11" x14ac:dyDescent="0.3">
      <c r="A10" s="10"/>
      <c r="B10" s="20"/>
      <c r="C10" s="20"/>
      <c r="D10" s="20"/>
      <c r="E10" s="20"/>
      <c r="F10" s="3"/>
      <c r="G10" s="10"/>
      <c r="H10" s="3"/>
      <c r="I10" s="3"/>
      <c r="J10" s="3"/>
      <c r="K10" s="3"/>
    </row>
    <row r="11" spans="1:11" x14ac:dyDescent="0.3">
      <c r="A11" s="10"/>
      <c r="B11" s="20"/>
      <c r="C11" s="20"/>
      <c r="D11" s="20"/>
      <c r="E11" s="20"/>
      <c r="F11" s="3"/>
      <c r="G11" s="10"/>
      <c r="H11" s="3"/>
      <c r="I11" s="3"/>
      <c r="J11" s="3"/>
      <c r="K11" s="3"/>
    </row>
    <row r="12" spans="1:11" x14ac:dyDescent="0.3">
      <c r="A12" s="10"/>
      <c r="B12" s="20"/>
      <c r="C12" s="20"/>
      <c r="D12" s="20"/>
      <c r="E12" s="20"/>
      <c r="F12" s="3"/>
      <c r="G12" s="10"/>
      <c r="H12" s="3"/>
      <c r="I12" s="3"/>
      <c r="J12" s="3"/>
      <c r="K12" s="3"/>
    </row>
    <row r="13" spans="1:11" x14ac:dyDescent="0.3">
      <c r="A13" s="10"/>
      <c r="B13" s="20"/>
      <c r="C13" s="20"/>
      <c r="D13" s="20"/>
      <c r="E13" s="20"/>
      <c r="F13" s="3"/>
      <c r="G13" s="10"/>
      <c r="H13" s="3"/>
      <c r="I13" s="3"/>
      <c r="J13" s="3"/>
      <c r="K13" s="3"/>
    </row>
    <row r="14" spans="1:11" x14ac:dyDescent="0.3">
      <c r="A14" s="10"/>
      <c r="B14" s="20"/>
      <c r="C14" s="20"/>
      <c r="D14" s="20"/>
      <c r="E14" s="20"/>
      <c r="F14" s="3"/>
      <c r="G14" s="10"/>
      <c r="H14" s="3"/>
      <c r="I14" s="3"/>
      <c r="J14" s="3"/>
      <c r="K14" s="3"/>
    </row>
    <row r="15" spans="1:11" x14ac:dyDescent="0.3">
      <c r="A15" s="10"/>
      <c r="B15" s="20"/>
      <c r="C15" s="20"/>
      <c r="D15" s="20"/>
      <c r="E15" s="20"/>
      <c r="F15" s="3"/>
      <c r="G15" s="10"/>
      <c r="H15" s="3"/>
      <c r="I15" s="3"/>
      <c r="J15" s="3"/>
      <c r="K15" s="3"/>
    </row>
    <row r="16" spans="1:11" x14ac:dyDescent="0.3">
      <c r="A16" s="10"/>
      <c r="B16" s="20"/>
      <c r="C16" s="20"/>
      <c r="D16" s="20"/>
      <c r="E16" s="20"/>
      <c r="F16" s="3"/>
      <c r="G16" s="10"/>
      <c r="H16" s="3"/>
      <c r="I16" s="3"/>
      <c r="J16" s="3"/>
      <c r="K16" s="3"/>
    </row>
    <row r="17" spans="1:11" x14ac:dyDescent="0.3">
      <c r="A17" s="10"/>
      <c r="B17" s="20"/>
      <c r="C17" s="20"/>
      <c r="D17" s="20"/>
      <c r="E17" s="20"/>
      <c r="F17" s="3"/>
      <c r="G17" s="10"/>
      <c r="H17" s="3"/>
      <c r="I17" s="3"/>
      <c r="J17" s="3"/>
      <c r="K17" s="3"/>
    </row>
    <row r="18" spans="1:11" x14ac:dyDescent="0.3">
      <c r="A18" s="10"/>
      <c r="B18" s="20"/>
      <c r="C18" s="20"/>
      <c r="D18" s="20"/>
      <c r="E18" s="20"/>
      <c r="F18" s="3"/>
      <c r="G18" s="10"/>
      <c r="H18" s="3"/>
      <c r="I18" s="3"/>
      <c r="J18" s="3"/>
      <c r="K18" s="3"/>
    </row>
    <row r="19" spans="1:11" x14ac:dyDescent="0.3">
      <c r="A19" s="10"/>
      <c r="B19" s="20"/>
      <c r="C19" s="20"/>
      <c r="D19" s="20"/>
      <c r="E19" s="20"/>
      <c r="F19" s="3"/>
      <c r="G19" s="10"/>
      <c r="H19" s="3"/>
      <c r="I19" s="3"/>
      <c r="J19" s="3"/>
      <c r="K19" s="3"/>
    </row>
    <row r="20" spans="1:11" x14ac:dyDescent="0.3">
      <c r="A20" s="10"/>
      <c r="B20" s="20"/>
      <c r="C20" s="20"/>
      <c r="D20" s="20"/>
      <c r="E20" s="20"/>
      <c r="F20" s="3"/>
      <c r="G20" s="10"/>
      <c r="H20" s="3"/>
      <c r="I20" s="3"/>
      <c r="J20" s="3"/>
      <c r="K20" s="3"/>
    </row>
    <row r="21" spans="1:11" x14ac:dyDescent="0.3">
      <c r="A21" s="10"/>
      <c r="B21" s="20"/>
      <c r="C21" s="20"/>
      <c r="D21" s="20"/>
      <c r="E21" s="20"/>
      <c r="F21" s="3"/>
      <c r="G21" s="10"/>
      <c r="H21" s="3"/>
      <c r="I21" s="3"/>
      <c r="J21" s="3"/>
      <c r="K21" s="3"/>
    </row>
    <row r="22" spans="1:11" x14ac:dyDescent="0.3">
      <c r="A22" s="10"/>
      <c r="B22" s="20"/>
      <c r="C22" s="20"/>
      <c r="D22" s="20"/>
      <c r="E22" s="20"/>
      <c r="F22" s="3"/>
      <c r="G22" s="10"/>
      <c r="H22" s="3"/>
      <c r="I22" s="3"/>
      <c r="J22" s="3"/>
      <c r="K22" s="3"/>
    </row>
    <row r="23" spans="1:11" x14ac:dyDescent="0.3">
      <c r="A23" s="10"/>
      <c r="B23" s="20"/>
      <c r="C23" s="20"/>
      <c r="D23" s="20"/>
      <c r="E23" s="20"/>
      <c r="F23" s="3"/>
      <c r="G23" s="10"/>
      <c r="H23" s="3"/>
      <c r="I23" s="3"/>
      <c r="J23" s="3"/>
      <c r="K23" s="3"/>
    </row>
    <row r="24" spans="1:11" x14ac:dyDescent="0.3">
      <c r="A24" s="10"/>
      <c r="B24" s="20"/>
      <c r="C24" s="20"/>
      <c r="D24" s="20"/>
      <c r="E24" s="20"/>
      <c r="F24" s="3"/>
      <c r="G24" s="10"/>
      <c r="H24" s="3"/>
      <c r="I24" s="3"/>
      <c r="J24" s="3"/>
      <c r="K24" s="3"/>
    </row>
    <row r="25" spans="1:11" x14ac:dyDescent="0.3">
      <c r="A25" s="10"/>
      <c r="B25" s="20"/>
      <c r="C25" s="20"/>
      <c r="D25" s="20"/>
      <c r="E25" s="20"/>
      <c r="F25" s="3"/>
      <c r="G25" s="10"/>
      <c r="H25" s="3"/>
      <c r="I25" s="3"/>
      <c r="J25" s="3"/>
      <c r="K25" s="3"/>
    </row>
    <row r="26" spans="1:11" x14ac:dyDescent="0.3">
      <c r="A26" s="10"/>
      <c r="B26" s="20"/>
      <c r="C26" s="20"/>
      <c r="D26" s="20"/>
      <c r="E26" s="20"/>
      <c r="F26" s="3"/>
      <c r="G26" s="10"/>
      <c r="H26" s="3"/>
      <c r="I26" s="3"/>
      <c r="J26" s="3"/>
      <c r="K26" s="3"/>
    </row>
    <row r="27" spans="1:11" x14ac:dyDescent="0.3">
      <c r="A27" s="10"/>
      <c r="B27" s="20"/>
      <c r="C27" s="20"/>
      <c r="D27" s="20"/>
      <c r="E27" s="20"/>
      <c r="F27" s="3"/>
      <c r="G27" s="10"/>
      <c r="H27" s="3"/>
      <c r="I27" s="3"/>
      <c r="J27" s="3"/>
      <c r="K27" s="3"/>
    </row>
    <row r="28" spans="1:11" x14ac:dyDescent="0.3">
      <c r="A28" s="10"/>
      <c r="B28" s="20"/>
      <c r="C28" s="20"/>
      <c r="D28" s="20"/>
      <c r="E28" s="20"/>
      <c r="F28" s="3"/>
      <c r="G28" s="10"/>
      <c r="H28" s="3"/>
      <c r="I28" s="3"/>
      <c r="J28" s="3"/>
      <c r="K28" s="3"/>
    </row>
    <row r="29" spans="1:11" x14ac:dyDescent="0.3">
      <c r="A29" s="10"/>
      <c r="B29" s="20"/>
      <c r="C29" s="20"/>
      <c r="D29" s="20"/>
      <c r="E29" s="20"/>
      <c r="F29" s="3"/>
      <c r="G29" s="10"/>
      <c r="H29" s="3"/>
      <c r="I29" s="3"/>
      <c r="J29" s="3"/>
      <c r="K29" s="3"/>
    </row>
    <row r="30" spans="1:11" x14ac:dyDescent="0.3">
      <c r="A30" s="10"/>
      <c r="B30" s="20"/>
      <c r="C30" s="20"/>
      <c r="D30" s="20"/>
      <c r="E30" s="20"/>
      <c r="F30" s="3"/>
      <c r="G30" s="10"/>
      <c r="H30" s="3"/>
      <c r="I30" s="3"/>
      <c r="J30" s="3"/>
      <c r="K30" s="3"/>
    </row>
    <row r="31" spans="1:11" x14ac:dyDescent="0.3">
      <c r="A31" s="10"/>
      <c r="B31" s="20"/>
      <c r="C31" s="20"/>
      <c r="D31" s="20"/>
      <c r="E31" s="20"/>
      <c r="F31" s="3"/>
      <c r="G31" s="10"/>
      <c r="H31" s="3"/>
      <c r="I31" s="3"/>
      <c r="J31" s="3"/>
      <c r="K31" s="3"/>
    </row>
    <row r="32" spans="1:11" x14ac:dyDescent="0.3">
      <c r="A32" s="10"/>
      <c r="B32" s="20"/>
      <c r="C32" s="20"/>
      <c r="D32" s="20"/>
      <c r="E32" s="20"/>
      <c r="F32" s="3"/>
      <c r="G32" s="10"/>
      <c r="H32" s="3"/>
      <c r="I32" s="3"/>
      <c r="J32" s="3"/>
      <c r="K32" s="3"/>
    </row>
    <row r="33" spans="1:11" x14ac:dyDescent="0.3">
      <c r="A33" s="10"/>
      <c r="B33" s="20"/>
      <c r="C33" s="20"/>
      <c r="D33" s="20"/>
      <c r="E33" s="20"/>
      <c r="F33" s="3"/>
      <c r="G33" s="10"/>
      <c r="H33" s="3"/>
      <c r="I33" s="3"/>
      <c r="J33" s="3"/>
      <c r="K33" s="3"/>
    </row>
    <row r="34" spans="1:11" x14ac:dyDescent="0.3">
      <c r="A34" s="10"/>
      <c r="B34" s="20"/>
      <c r="C34" s="20"/>
      <c r="D34" s="20"/>
      <c r="E34" s="20"/>
      <c r="F34" s="3"/>
      <c r="G34" s="10"/>
      <c r="H34" s="3"/>
      <c r="I34" s="3"/>
      <c r="J34" s="3"/>
      <c r="K34" s="3"/>
    </row>
    <row r="35" spans="1:11" x14ac:dyDescent="0.3">
      <c r="A35" s="10"/>
      <c r="B35" s="20"/>
      <c r="C35" s="20"/>
      <c r="D35" s="20"/>
      <c r="E35" s="20"/>
      <c r="F35" s="3"/>
      <c r="G35" s="10"/>
      <c r="H35" s="3"/>
      <c r="I35" s="3"/>
      <c r="J35" s="3"/>
      <c r="K35" s="3"/>
    </row>
    <row r="36" spans="1:11" x14ac:dyDescent="0.3">
      <c r="A36" s="10"/>
      <c r="B36" s="20"/>
      <c r="C36" s="20"/>
      <c r="D36" s="20"/>
      <c r="E36" s="20"/>
      <c r="F36" s="3"/>
      <c r="G36" s="10"/>
      <c r="H36" s="3"/>
      <c r="I36" s="3"/>
      <c r="J36" s="3"/>
      <c r="K36" s="3"/>
    </row>
    <row r="37" spans="1:11" x14ac:dyDescent="0.3">
      <c r="A37" s="10"/>
      <c r="B37" s="20"/>
      <c r="C37" s="20"/>
      <c r="D37" s="20"/>
      <c r="E37" s="20"/>
      <c r="F37" s="3"/>
      <c r="G37" s="10"/>
      <c r="H37" s="3"/>
      <c r="I37" s="3"/>
      <c r="J37" s="3"/>
      <c r="K37" s="3"/>
    </row>
    <row r="38" spans="1:11" x14ac:dyDescent="0.3">
      <c r="A38" s="10"/>
      <c r="B38" s="20"/>
      <c r="C38" s="20"/>
      <c r="D38" s="20"/>
      <c r="E38" s="20"/>
      <c r="F38" s="3"/>
      <c r="G38" s="10"/>
      <c r="H38" s="3"/>
      <c r="I38" s="3"/>
      <c r="J38" s="3"/>
      <c r="K38" s="3"/>
    </row>
    <row r="39" spans="1:11" x14ac:dyDescent="0.3">
      <c r="A39" s="10"/>
      <c r="B39" s="20"/>
      <c r="C39" s="20"/>
      <c r="D39" s="20"/>
      <c r="E39" s="20"/>
      <c r="F39" s="3"/>
      <c r="G39" s="10"/>
      <c r="H39" s="3"/>
      <c r="I39" s="3"/>
      <c r="J39" s="3"/>
      <c r="K39" s="3"/>
    </row>
    <row r="40" spans="1:11" x14ac:dyDescent="0.3">
      <c r="A40" s="10"/>
      <c r="B40" s="20"/>
      <c r="C40" s="20"/>
      <c r="D40" s="20"/>
      <c r="E40" s="20"/>
      <c r="F40" s="3"/>
      <c r="G40" s="10"/>
      <c r="H40" s="3"/>
      <c r="I40" s="3"/>
      <c r="J40" s="3"/>
      <c r="K40" s="3"/>
    </row>
    <row r="41" spans="1:11" x14ac:dyDescent="0.3">
      <c r="A41" s="10"/>
      <c r="B41" s="20"/>
      <c r="C41" s="20"/>
      <c r="D41" s="20"/>
      <c r="E41" s="20"/>
      <c r="F41" s="3"/>
      <c r="G41" s="10"/>
      <c r="H41" s="3"/>
      <c r="I41" s="3"/>
      <c r="J41" s="3"/>
      <c r="K41" s="3"/>
    </row>
    <row r="42" spans="1:11" x14ac:dyDescent="0.3">
      <c r="A42" s="10"/>
      <c r="B42" s="20"/>
      <c r="C42" s="20"/>
      <c r="D42" s="20"/>
      <c r="E42" s="20"/>
      <c r="F42" s="3"/>
      <c r="G42" s="10"/>
      <c r="H42" s="3"/>
      <c r="I42" s="3"/>
      <c r="J42" s="3"/>
      <c r="K42" s="3"/>
    </row>
    <row r="43" spans="1:11" x14ac:dyDescent="0.3">
      <c r="A43" s="10"/>
      <c r="B43" s="20"/>
      <c r="C43" s="20"/>
      <c r="D43" s="20"/>
      <c r="E43" s="20"/>
      <c r="F43" s="3"/>
      <c r="G43" s="10"/>
      <c r="H43" s="3"/>
      <c r="I43" s="3"/>
      <c r="J43" s="3"/>
      <c r="K43" s="3"/>
    </row>
    <row r="44" spans="1:11" x14ac:dyDescent="0.3">
      <c r="A44" s="10"/>
      <c r="B44" s="20"/>
      <c r="C44" s="20"/>
      <c r="D44" s="20"/>
      <c r="E44" s="20"/>
      <c r="F44" s="3"/>
      <c r="G44" s="10"/>
      <c r="H44" s="3"/>
      <c r="I44" s="3"/>
      <c r="J44" s="3"/>
      <c r="K44" s="3"/>
    </row>
    <row r="45" spans="1:11" x14ac:dyDescent="0.3">
      <c r="A45" s="10"/>
      <c r="B45" s="20"/>
      <c r="C45" s="20"/>
      <c r="D45" s="20"/>
      <c r="E45" s="20"/>
      <c r="F45" s="3"/>
      <c r="G45" s="10"/>
      <c r="H45" s="3"/>
      <c r="I45" s="3"/>
      <c r="J45" s="3"/>
      <c r="K45" s="3"/>
    </row>
    <row r="46" spans="1:11" x14ac:dyDescent="0.3">
      <c r="A46" s="10"/>
      <c r="B46" s="20"/>
      <c r="C46" s="20"/>
      <c r="D46" s="20"/>
      <c r="E46" s="20"/>
      <c r="F46" s="3"/>
      <c r="G46" s="10"/>
      <c r="H46" s="3"/>
      <c r="I46" s="3"/>
      <c r="J46" s="3"/>
      <c r="K46" s="3"/>
    </row>
    <row r="47" spans="1:11" x14ac:dyDescent="0.3">
      <c r="A47" s="10"/>
      <c r="B47" s="20"/>
      <c r="C47" s="20"/>
      <c r="D47" s="20"/>
      <c r="E47" s="20"/>
      <c r="F47" s="3"/>
      <c r="G47" s="10"/>
      <c r="H47" s="3"/>
      <c r="I47" s="3"/>
      <c r="J47" s="3"/>
      <c r="K47" s="3"/>
    </row>
    <row r="48" spans="1:11" x14ac:dyDescent="0.3">
      <c r="A48" s="10"/>
      <c r="B48" s="20"/>
      <c r="C48" s="20"/>
      <c r="D48" s="20"/>
      <c r="E48" s="20"/>
      <c r="F48" s="3"/>
      <c r="G48" s="10"/>
      <c r="H48" s="3"/>
      <c r="I48" s="3"/>
      <c r="J48" s="3"/>
      <c r="K48" s="3"/>
    </row>
    <row r="49" spans="1:11" x14ac:dyDescent="0.3">
      <c r="A49" s="10"/>
      <c r="B49" s="20"/>
      <c r="C49" s="20"/>
      <c r="D49" s="20"/>
      <c r="E49" s="20"/>
      <c r="F49" s="3"/>
      <c r="G49" s="10"/>
      <c r="H49" s="3"/>
      <c r="I49" s="3"/>
      <c r="J49" s="3"/>
      <c r="K49" s="3"/>
    </row>
    <row r="50" spans="1:11" x14ac:dyDescent="0.3">
      <c r="A50" s="10"/>
      <c r="B50" s="20"/>
      <c r="C50" s="20"/>
      <c r="D50" s="20"/>
      <c r="E50" s="20"/>
      <c r="F50" s="3"/>
      <c r="G50" s="10"/>
      <c r="H50" s="3"/>
      <c r="I50" s="3"/>
      <c r="J50" s="3"/>
      <c r="K50" s="3"/>
    </row>
    <row r="51" spans="1:11" x14ac:dyDescent="0.3">
      <c r="A51" s="10"/>
      <c r="B51" s="20"/>
      <c r="C51" s="20"/>
      <c r="D51" s="20"/>
      <c r="E51" s="20"/>
      <c r="F51" s="3"/>
      <c r="G51" s="10"/>
      <c r="H51" s="3"/>
      <c r="I51" s="3"/>
      <c r="J51" s="3"/>
      <c r="K51" s="3"/>
    </row>
    <row r="52" spans="1:11" x14ac:dyDescent="0.3">
      <c r="A52" s="10"/>
      <c r="B52" s="20"/>
      <c r="C52" s="20"/>
      <c r="D52" s="20"/>
      <c r="E52" s="20"/>
      <c r="F52" s="3"/>
      <c r="G52" s="10"/>
      <c r="H52" s="3"/>
      <c r="I52" s="3"/>
      <c r="J52" s="3"/>
      <c r="K52" s="3"/>
    </row>
    <row r="53" spans="1:11" x14ac:dyDescent="0.3">
      <c r="A53" s="10"/>
      <c r="B53" s="20"/>
      <c r="C53" s="20"/>
      <c r="D53" s="20"/>
      <c r="E53" s="20"/>
      <c r="F53" s="3"/>
      <c r="G53" s="10"/>
      <c r="H53" s="3"/>
      <c r="I53" s="3"/>
      <c r="J53" s="3"/>
      <c r="K53" s="3"/>
    </row>
    <row r="54" spans="1:11" x14ac:dyDescent="0.3">
      <c r="A54" s="10"/>
      <c r="B54" s="20"/>
      <c r="C54" s="20"/>
      <c r="D54" s="20"/>
      <c r="E54" s="20"/>
      <c r="F54" s="3"/>
      <c r="G54" s="10"/>
      <c r="H54" s="3"/>
      <c r="I54" s="3"/>
      <c r="J54" s="3"/>
      <c r="K54" s="3"/>
    </row>
    <row r="55" spans="1:11" x14ac:dyDescent="0.3">
      <c r="A55" s="10"/>
      <c r="B55" s="20"/>
      <c r="C55" s="20"/>
      <c r="D55" s="20"/>
      <c r="E55" s="20"/>
      <c r="F55" s="3"/>
      <c r="G55" s="10"/>
      <c r="H55" s="3"/>
      <c r="I55" s="3"/>
      <c r="J55" s="3"/>
      <c r="K55" s="3"/>
    </row>
    <row r="56" spans="1:11" x14ac:dyDescent="0.3">
      <c r="A56" s="10"/>
      <c r="B56" s="20"/>
      <c r="C56" s="20"/>
      <c r="D56" s="20"/>
      <c r="E56" s="20"/>
      <c r="F56" s="3"/>
      <c r="G56" s="10"/>
      <c r="H56" s="3"/>
      <c r="I56" s="3"/>
      <c r="J56" s="3"/>
      <c r="K56" s="3"/>
    </row>
    <row r="57" spans="1:11" x14ac:dyDescent="0.3">
      <c r="A57" s="10"/>
      <c r="B57" s="20"/>
      <c r="C57" s="20"/>
      <c r="D57" s="20"/>
      <c r="E57" s="20"/>
      <c r="F57" s="3"/>
      <c r="G57" s="10"/>
      <c r="H57" s="3"/>
      <c r="I57" s="3"/>
      <c r="J57" s="3"/>
      <c r="K57" s="3"/>
    </row>
    <row r="58" spans="1:11" x14ac:dyDescent="0.3">
      <c r="A58" s="10"/>
      <c r="B58" s="20"/>
      <c r="C58" s="20"/>
      <c r="D58" s="20"/>
      <c r="E58" s="20"/>
      <c r="F58" s="3"/>
      <c r="G58" s="10"/>
      <c r="H58" s="3"/>
      <c r="I58" s="3"/>
      <c r="J58" s="3"/>
      <c r="K58" s="3"/>
    </row>
    <row r="59" spans="1:11" x14ac:dyDescent="0.3">
      <c r="A59" s="10"/>
      <c r="B59" s="20"/>
      <c r="C59" s="20"/>
      <c r="D59" s="20"/>
      <c r="E59" s="20"/>
      <c r="F59" s="3"/>
      <c r="G59" s="10"/>
      <c r="H59" s="3"/>
      <c r="I59" s="3"/>
      <c r="J59" s="3"/>
      <c r="K59" s="3"/>
    </row>
    <row r="60" spans="1:11" x14ac:dyDescent="0.3">
      <c r="A60" s="10"/>
      <c r="B60" s="20"/>
      <c r="C60" s="20"/>
      <c r="D60" s="20"/>
      <c r="E60" s="20"/>
      <c r="F60" s="3"/>
      <c r="G60" s="10"/>
      <c r="H60" s="3"/>
      <c r="I60" s="3"/>
      <c r="J60" s="3"/>
      <c r="K60" s="3"/>
    </row>
    <row r="61" spans="1:11" x14ac:dyDescent="0.3">
      <c r="A61" s="10"/>
      <c r="B61" s="20"/>
      <c r="C61" s="20"/>
      <c r="D61" s="20"/>
      <c r="E61" s="20"/>
      <c r="F61" s="3"/>
      <c r="G61" s="10"/>
      <c r="H61" s="3"/>
      <c r="I61" s="3"/>
      <c r="J61" s="3"/>
      <c r="K61" s="3"/>
    </row>
    <row r="62" spans="1:11" x14ac:dyDescent="0.3">
      <c r="A62" s="10"/>
      <c r="B62" s="20"/>
      <c r="C62" s="20"/>
      <c r="D62" s="20"/>
      <c r="E62" s="20"/>
      <c r="F62" s="3"/>
      <c r="G62" s="10"/>
      <c r="H62" s="3"/>
      <c r="I62" s="3"/>
      <c r="J62" s="3"/>
      <c r="K62" s="3"/>
    </row>
    <row r="63" spans="1:11" x14ac:dyDescent="0.3">
      <c r="A63" s="10"/>
      <c r="B63" s="20"/>
      <c r="C63" s="20"/>
      <c r="D63" s="20"/>
      <c r="E63" s="20"/>
      <c r="F63" s="3"/>
      <c r="G63" s="10"/>
      <c r="H63" s="3"/>
      <c r="I63" s="3"/>
      <c r="J63" s="3"/>
      <c r="K63" s="3"/>
    </row>
    <row r="64" spans="1:11" x14ac:dyDescent="0.3">
      <c r="A64" s="10"/>
      <c r="B64" s="20"/>
      <c r="C64" s="20"/>
      <c r="D64" s="20"/>
      <c r="E64" s="20"/>
      <c r="F64" s="3"/>
      <c r="G64" s="10"/>
      <c r="H64" s="3"/>
      <c r="I64" s="3"/>
      <c r="J64" s="3"/>
      <c r="K64" s="3"/>
    </row>
    <row r="65" spans="1:11" x14ac:dyDescent="0.3">
      <c r="A65" s="10"/>
      <c r="B65" s="20"/>
      <c r="C65" s="20"/>
      <c r="D65" s="20"/>
      <c r="E65" s="20"/>
      <c r="F65" s="3"/>
      <c r="G65" s="10"/>
      <c r="H65" s="3"/>
      <c r="I65" s="3"/>
      <c r="J65" s="3"/>
      <c r="K65" s="3"/>
    </row>
    <row r="66" spans="1:11" x14ac:dyDescent="0.3">
      <c r="A66" s="10"/>
      <c r="B66" s="20"/>
      <c r="C66" s="20"/>
      <c r="D66" s="20"/>
      <c r="E66" s="20"/>
      <c r="F66" s="3"/>
      <c r="G66" s="10"/>
      <c r="H66" s="3"/>
      <c r="I66" s="3"/>
      <c r="J66" s="3"/>
      <c r="K66" s="3"/>
    </row>
    <row r="67" spans="1:11" x14ac:dyDescent="0.3">
      <c r="A67" s="10"/>
      <c r="B67" s="20"/>
      <c r="C67" s="20"/>
      <c r="D67" s="20"/>
      <c r="E67" s="20"/>
      <c r="F67" s="3"/>
      <c r="G67" s="10"/>
      <c r="H67" s="3"/>
      <c r="I67" s="3"/>
      <c r="J67" s="3"/>
      <c r="K67" s="3"/>
    </row>
    <row r="68" spans="1:11" x14ac:dyDescent="0.3">
      <c r="A68" s="10"/>
      <c r="B68" s="20"/>
      <c r="C68" s="20"/>
      <c r="D68" s="20"/>
      <c r="E68" s="20"/>
      <c r="F68" s="3"/>
      <c r="G68" s="10"/>
      <c r="H68" s="3"/>
      <c r="I68" s="3"/>
      <c r="J68" s="3"/>
      <c r="K68" s="3"/>
    </row>
    <row r="69" spans="1:11" x14ac:dyDescent="0.3">
      <c r="A69" s="10"/>
      <c r="B69" s="20"/>
      <c r="C69" s="20"/>
      <c r="D69" s="20"/>
      <c r="E69" s="20"/>
      <c r="F69" s="3"/>
      <c r="G69" s="10"/>
      <c r="H69" s="3"/>
      <c r="I69" s="3"/>
      <c r="J69" s="3"/>
      <c r="K69" s="3"/>
    </row>
    <row r="70" spans="1:11" x14ac:dyDescent="0.3">
      <c r="A70" s="10"/>
      <c r="B70" s="20"/>
      <c r="C70" s="20"/>
      <c r="D70" s="20"/>
      <c r="E70" s="20"/>
      <c r="F70" s="3"/>
      <c r="G70" s="10"/>
      <c r="H70" s="3"/>
      <c r="I70" s="3"/>
      <c r="J70" s="3"/>
      <c r="K70" s="3"/>
    </row>
    <row r="71" spans="1:11" x14ac:dyDescent="0.3">
      <c r="A71" s="10"/>
      <c r="B71" s="20"/>
      <c r="C71" s="20"/>
      <c r="D71" s="20"/>
      <c r="E71" s="20"/>
      <c r="F71" s="3"/>
      <c r="G71" s="10"/>
      <c r="H71" s="3"/>
      <c r="I71" s="3"/>
      <c r="J71" s="3"/>
      <c r="K71" s="3"/>
    </row>
    <row r="72" spans="1:11" x14ac:dyDescent="0.3">
      <c r="A72" s="10"/>
      <c r="B72" s="20"/>
      <c r="C72" s="20"/>
      <c r="D72" s="20"/>
      <c r="E72" s="20"/>
      <c r="F72" s="3"/>
      <c r="G72" s="10"/>
      <c r="H72" s="3"/>
      <c r="I72" s="3"/>
      <c r="J72" s="3"/>
      <c r="K72" s="3"/>
    </row>
    <row r="73" spans="1:11" x14ac:dyDescent="0.3">
      <c r="A73" s="10"/>
      <c r="B73" s="20"/>
      <c r="C73" s="20"/>
      <c r="D73" s="20"/>
      <c r="E73" s="20"/>
      <c r="F73" s="3"/>
      <c r="G73" s="10"/>
      <c r="H73" s="3"/>
      <c r="I73" s="3"/>
      <c r="J73" s="3"/>
      <c r="K73" s="3"/>
    </row>
    <row r="74" spans="1:11" x14ac:dyDescent="0.3">
      <c r="A74" s="10"/>
      <c r="B74" s="20"/>
      <c r="C74" s="20"/>
      <c r="D74" s="20"/>
      <c r="E74" s="20"/>
      <c r="F74" s="3"/>
      <c r="G74" s="10"/>
      <c r="H74" s="3"/>
      <c r="I74" s="3"/>
      <c r="J74" s="3"/>
      <c r="K74" s="3"/>
    </row>
    <row r="75" spans="1:11" x14ac:dyDescent="0.3">
      <c r="A75" s="10"/>
      <c r="B75" s="20"/>
      <c r="C75" s="20"/>
      <c r="D75" s="20"/>
      <c r="E75" s="20"/>
      <c r="F75" s="3"/>
      <c r="G75" s="10"/>
      <c r="H75" s="3"/>
      <c r="I75" s="3"/>
      <c r="J75" s="3"/>
      <c r="K75" s="3"/>
    </row>
    <row r="76" spans="1:11" x14ac:dyDescent="0.3">
      <c r="A76" s="10"/>
      <c r="B76" s="20"/>
      <c r="C76" s="20"/>
      <c r="D76" s="20"/>
      <c r="E76" s="20"/>
      <c r="F76" s="3"/>
      <c r="G76" s="10"/>
      <c r="H76" s="3"/>
      <c r="I76" s="3"/>
      <c r="J76" s="3"/>
      <c r="K76" s="3"/>
    </row>
    <row r="77" spans="1:11" x14ac:dyDescent="0.3">
      <c r="A77" s="10"/>
      <c r="B77" s="20"/>
      <c r="C77" s="20"/>
      <c r="D77" s="20"/>
      <c r="E77" s="20"/>
      <c r="F77" s="3"/>
      <c r="G77" s="10"/>
      <c r="H77" s="3"/>
      <c r="I77" s="3"/>
      <c r="J77" s="3"/>
      <c r="K77" s="3"/>
    </row>
    <row r="78" spans="1:11" x14ac:dyDescent="0.3">
      <c r="A78" s="10"/>
      <c r="B78" s="20"/>
      <c r="C78" s="20"/>
      <c r="D78" s="20"/>
      <c r="E78" s="20"/>
      <c r="F78" s="3"/>
      <c r="G78" s="10"/>
      <c r="H78" s="3"/>
      <c r="I78" s="3"/>
      <c r="J78" s="3"/>
      <c r="K78" s="3"/>
    </row>
    <row r="79" spans="1:11" x14ac:dyDescent="0.3">
      <c r="A79" s="10"/>
      <c r="B79" s="20"/>
      <c r="C79" s="20"/>
      <c r="D79" s="20"/>
      <c r="E79" s="20"/>
      <c r="F79" s="3"/>
      <c r="G79" s="10"/>
      <c r="H79" s="3"/>
      <c r="I79" s="3"/>
      <c r="J79" s="3"/>
      <c r="K79" s="3"/>
    </row>
    <row r="80" spans="1:11" x14ac:dyDescent="0.3">
      <c r="A80" s="10"/>
      <c r="B80" s="20"/>
      <c r="C80" s="20"/>
      <c r="D80" s="20"/>
      <c r="E80" s="20"/>
      <c r="F80" s="3"/>
      <c r="G80" s="10"/>
      <c r="H80" s="3"/>
      <c r="I80" s="3"/>
      <c r="J80" s="3"/>
      <c r="K80" s="3"/>
    </row>
    <row r="81" spans="1:11" x14ac:dyDescent="0.3">
      <c r="A81" s="10"/>
      <c r="B81" s="20"/>
      <c r="C81" s="20"/>
      <c r="D81" s="20"/>
      <c r="E81" s="20"/>
      <c r="F81" s="3"/>
      <c r="G81" s="10"/>
      <c r="H81" s="3"/>
      <c r="I81" s="3"/>
      <c r="J81" s="3"/>
      <c r="K81" s="3"/>
    </row>
    <row r="82" spans="1:11" x14ac:dyDescent="0.3">
      <c r="A82" s="10"/>
      <c r="B82" s="20"/>
      <c r="C82" s="20"/>
      <c r="D82" s="20"/>
      <c r="E82" s="20"/>
      <c r="F82" s="3"/>
      <c r="G82" s="10"/>
      <c r="H82" s="3"/>
      <c r="I82" s="3"/>
      <c r="J82" s="3"/>
      <c r="K82" s="3"/>
    </row>
    <row r="83" spans="1:11" x14ac:dyDescent="0.3">
      <c r="A83" s="10"/>
      <c r="B83" s="20"/>
      <c r="C83" s="20"/>
      <c r="D83" s="20"/>
      <c r="E83" s="20"/>
      <c r="F83" s="3"/>
      <c r="G83" s="10"/>
      <c r="H83" s="3"/>
      <c r="I83" s="3"/>
      <c r="J83" s="3"/>
      <c r="K83" s="3"/>
    </row>
    <row r="84" spans="1:11" x14ac:dyDescent="0.3">
      <c r="A84" s="10"/>
      <c r="B84" s="20"/>
      <c r="C84" s="20"/>
      <c r="D84" s="20"/>
      <c r="E84" s="20"/>
      <c r="F84" s="3"/>
      <c r="G84" s="10"/>
      <c r="H84" s="3"/>
      <c r="I84" s="3"/>
      <c r="J84" s="3"/>
      <c r="K84" s="3"/>
    </row>
    <row r="85" spans="1:11" x14ac:dyDescent="0.3">
      <c r="A85" s="10"/>
      <c r="B85" s="20"/>
      <c r="C85" s="20"/>
      <c r="D85" s="20"/>
      <c r="E85" s="20"/>
      <c r="F85" s="3"/>
      <c r="G85" s="10"/>
      <c r="H85" s="3"/>
      <c r="I85" s="3"/>
      <c r="J85" s="3"/>
      <c r="K85" s="3"/>
    </row>
    <row r="86" spans="1:11" x14ac:dyDescent="0.3">
      <c r="A86" s="10"/>
      <c r="B86" s="20"/>
      <c r="C86" s="20"/>
      <c r="D86" s="20"/>
      <c r="E86" s="20"/>
      <c r="F86" s="3"/>
      <c r="G86" s="10"/>
      <c r="H86" s="3"/>
      <c r="I86" s="3"/>
      <c r="J86" s="3"/>
      <c r="K86" s="3"/>
    </row>
    <row r="87" spans="1:11" x14ac:dyDescent="0.3">
      <c r="A87" s="10"/>
      <c r="B87" s="20"/>
      <c r="C87" s="20"/>
      <c r="D87" s="20"/>
      <c r="E87" s="20"/>
      <c r="F87" s="3"/>
      <c r="G87" s="10"/>
      <c r="H87" s="3"/>
      <c r="I87" s="3"/>
      <c r="J87" s="3"/>
      <c r="K87" s="3"/>
    </row>
    <row r="88" spans="1:11" x14ac:dyDescent="0.3">
      <c r="A88" s="10"/>
      <c r="B88" s="20"/>
      <c r="C88" s="20"/>
      <c r="D88" s="20"/>
      <c r="E88" s="20"/>
      <c r="F88" s="3"/>
      <c r="G88" s="10"/>
      <c r="H88" s="3"/>
      <c r="I88" s="3"/>
      <c r="J88" s="3"/>
      <c r="K88" s="3"/>
    </row>
    <row r="89" spans="1:11" x14ac:dyDescent="0.3">
      <c r="A89" s="10"/>
      <c r="B89" s="20"/>
      <c r="C89" s="20"/>
      <c r="D89" s="20"/>
      <c r="E89" s="20"/>
      <c r="F89" s="3"/>
      <c r="G89" s="10"/>
      <c r="H89" s="3"/>
      <c r="I89" s="3"/>
      <c r="J89" s="3"/>
      <c r="K89" s="3"/>
    </row>
    <row r="90" spans="1:11" x14ac:dyDescent="0.3">
      <c r="A90" s="10"/>
      <c r="B90" s="20"/>
      <c r="C90" s="20"/>
      <c r="D90" s="20"/>
      <c r="E90" s="20"/>
      <c r="F90" s="3"/>
      <c r="G90" s="10"/>
      <c r="H90" s="3"/>
      <c r="I90" s="3"/>
      <c r="J90" s="3"/>
      <c r="K90" s="3"/>
    </row>
    <row r="91" spans="1:11" x14ac:dyDescent="0.3">
      <c r="A91" s="10"/>
      <c r="B91" s="20"/>
      <c r="C91" s="20"/>
      <c r="D91" s="20"/>
      <c r="E91" s="20"/>
      <c r="F91" s="3"/>
      <c r="G91" s="10"/>
      <c r="H91" s="3"/>
      <c r="I91" s="3"/>
      <c r="J91" s="3"/>
      <c r="K91" s="3"/>
    </row>
    <row r="92" spans="1:11" x14ac:dyDescent="0.3">
      <c r="A92" s="10"/>
      <c r="B92" s="20"/>
      <c r="C92" s="20"/>
      <c r="D92" s="20"/>
      <c r="E92" s="20"/>
      <c r="F92" s="3"/>
      <c r="G92" s="10"/>
      <c r="H92" s="3"/>
      <c r="I92" s="3"/>
      <c r="J92" s="3"/>
      <c r="K92" s="3"/>
    </row>
    <row r="93" spans="1:11" x14ac:dyDescent="0.3">
      <c r="A93" s="10"/>
      <c r="B93" s="20"/>
      <c r="C93" s="20"/>
      <c r="D93" s="20"/>
      <c r="E93" s="20"/>
      <c r="F93" s="3"/>
      <c r="G93" s="10"/>
      <c r="H93" s="3"/>
      <c r="I93" s="3"/>
      <c r="J93" s="3"/>
      <c r="K93" s="3"/>
    </row>
    <row r="94" spans="1:11" x14ac:dyDescent="0.3">
      <c r="A94" s="10"/>
      <c r="B94" s="20"/>
      <c r="C94" s="20"/>
      <c r="D94" s="20"/>
      <c r="E94" s="20"/>
      <c r="F94" s="3"/>
      <c r="G94" s="10"/>
      <c r="H94" s="3"/>
      <c r="I94" s="3"/>
      <c r="J94" s="3"/>
      <c r="K94" s="3"/>
    </row>
    <row r="95" spans="1:11" x14ac:dyDescent="0.3">
      <c r="A95" s="10"/>
      <c r="B95" s="20"/>
      <c r="C95" s="20"/>
      <c r="D95" s="20"/>
      <c r="E95" s="20"/>
      <c r="F95" s="3"/>
      <c r="G95" s="10"/>
      <c r="H95" s="3"/>
      <c r="I95" s="3"/>
      <c r="J95" s="3"/>
      <c r="K95" s="3"/>
    </row>
    <row r="96" spans="1:11" x14ac:dyDescent="0.3">
      <c r="A96" s="10"/>
      <c r="B96" s="20"/>
      <c r="C96" s="20"/>
      <c r="D96" s="20"/>
      <c r="E96" s="20"/>
      <c r="F96" s="3"/>
      <c r="G96" s="10"/>
      <c r="H96" s="3"/>
      <c r="I96" s="3"/>
      <c r="J96" s="3"/>
      <c r="K96" s="3"/>
    </row>
    <row r="97" spans="1:11" x14ac:dyDescent="0.3">
      <c r="A97" s="10"/>
      <c r="B97" s="20"/>
      <c r="C97" s="20"/>
      <c r="D97" s="20"/>
      <c r="E97" s="20"/>
      <c r="F97" s="3"/>
      <c r="G97" s="10"/>
      <c r="H97" s="3"/>
      <c r="I97" s="3"/>
      <c r="J97" s="3"/>
      <c r="K97" s="3"/>
    </row>
    <row r="98" spans="1:11" x14ac:dyDescent="0.3">
      <c r="A98" s="10"/>
      <c r="B98" s="20"/>
      <c r="C98" s="20"/>
      <c r="D98" s="20"/>
      <c r="E98" s="20"/>
      <c r="F98" s="3"/>
      <c r="G98" s="10"/>
      <c r="H98" s="3"/>
      <c r="I98" s="3"/>
      <c r="J98" s="3"/>
      <c r="K98" s="3"/>
    </row>
    <row r="99" spans="1:11" x14ac:dyDescent="0.3">
      <c r="A99" s="10"/>
      <c r="B99" s="20"/>
      <c r="C99" s="20"/>
      <c r="D99" s="20"/>
      <c r="E99" s="20"/>
      <c r="F99" s="3"/>
      <c r="G99" s="10"/>
      <c r="H99" s="3"/>
      <c r="I99" s="3"/>
      <c r="J99" s="3"/>
      <c r="K99" s="3"/>
    </row>
    <row r="100" spans="1:11" x14ac:dyDescent="0.3">
      <c r="A100" s="10"/>
      <c r="B100" s="20"/>
      <c r="C100" s="20"/>
      <c r="D100" s="20"/>
      <c r="E100" s="20"/>
      <c r="F100" s="3"/>
      <c r="G100" s="10"/>
      <c r="H100" s="3"/>
      <c r="I100" s="3"/>
      <c r="J100" s="3"/>
      <c r="K100" s="3"/>
    </row>
    <row r="101" spans="1:11" x14ac:dyDescent="0.3">
      <c r="A101" s="10"/>
      <c r="B101" s="20"/>
      <c r="C101" s="20"/>
      <c r="D101" s="20"/>
      <c r="E101" s="20"/>
      <c r="F101" s="3"/>
      <c r="G101" s="10"/>
      <c r="H101" s="3"/>
      <c r="I101" s="3"/>
      <c r="J101" s="3"/>
      <c r="K101" s="3"/>
    </row>
    <row r="102" spans="1:11" x14ac:dyDescent="0.3">
      <c r="A102" s="10"/>
      <c r="B102" s="20"/>
      <c r="C102" s="20"/>
      <c r="D102" s="20"/>
      <c r="E102" s="20"/>
      <c r="F102" s="3"/>
      <c r="G102" s="10"/>
      <c r="H102" s="3"/>
      <c r="I102" s="3"/>
      <c r="J102" s="3"/>
      <c r="K102" s="3"/>
    </row>
    <row r="103" spans="1:11" x14ac:dyDescent="0.3">
      <c r="A103" s="10"/>
      <c r="B103" s="20"/>
      <c r="C103" s="20"/>
      <c r="D103" s="20"/>
      <c r="E103" s="20"/>
      <c r="F103" s="3"/>
      <c r="G103" s="10"/>
      <c r="H103" s="3"/>
      <c r="I103" s="3"/>
      <c r="J103" s="3"/>
      <c r="K103" s="3"/>
    </row>
    <row r="104" spans="1:11" x14ac:dyDescent="0.3">
      <c r="A104" s="10"/>
      <c r="B104" s="20"/>
      <c r="C104" s="20"/>
      <c r="D104" s="20"/>
      <c r="E104" s="20"/>
      <c r="F104" s="3"/>
      <c r="G104" s="10"/>
      <c r="H104" s="3"/>
      <c r="I104" s="3"/>
      <c r="J104" s="3"/>
      <c r="K104" s="3"/>
    </row>
    <row r="105" spans="1:11" x14ac:dyDescent="0.3">
      <c r="A105" s="10"/>
      <c r="B105" s="20"/>
      <c r="C105" s="20"/>
      <c r="D105" s="20"/>
      <c r="E105" s="20"/>
      <c r="F105" s="3"/>
      <c r="G105" s="10"/>
      <c r="H105" s="3"/>
      <c r="I105" s="3"/>
      <c r="J105" s="3"/>
      <c r="K105" s="3"/>
    </row>
    <row r="106" spans="1:11" x14ac:dyDescent="0.3">
      <c r="A106" s="10"/>
      <c r="B106" s="20"/>
      <c r="C106" s="20"/>
      <c r="D106" s="20"/>
      <c r="E106" s="20"/>
      <c r="F106" s="3"/>
      <c r="G106" s="10"/>
      <c r="H106" s="3"/>
      <c r="I106" s="3"/>
      <c r="J106" s="3"/>
      <c r="K106" s="3"/>
    </row>
    <row r="107" spans="1:11" x14ac:dyDescent="0.3">
      <c r="A107" s="10"/>
      <c r="B107" s="20"/>
      <c r="C107" s="20"/>
      <c r="D107" s="20"/>
      <c r="E107" s="20"/>
      <c r="F107" s="3"/>
      <c r="G107" s="10"/>
      <c r="H107" s="3"/>
      <c r="I107" s="3"/>
      <c r="J107" s="3"/>
      <c r="K107" s="3"/>
    </row>
    <row r="108" spans="1:11" x14ac:dyDescent="0.3">
      <c r="A108" s="10"/>
      <c r="B108" s="20"/>
      <c r="C108" s="20"/>
      <c r="D108" s="20"/>
      <c r="E108" s="20"/>
      <c r="F108" s="3"/>
      <c r="G108" s="10"/>
      <c r="H108" s="3"/>
      <c r="I108" s="3"/>
      <c r="J108" s="3"/>
      <c r="K108" s="3"/>
    </row>
    <row r="109" spans="1:11" x14ac:dyDescent="0.3">
      <c r="A109" s="10"/>
      <c r="B109" s="20"/>
      <c r="C109" s="20"/>
      <c r="D109" s="20"/>
      <c r="E109" s="20"/>
      <c r="F109" s="3"/>
      <c r="G109" s="10"/>
      <c r="H109" s="3"/>
      <c r="I109" s="3"/>
      <c r="J109" s="3"/>
      <c r="K109" s="3"/>
    </row>
    <row r="110" spans="1:11" x14ac:dyDescent="0.3">
      <c r="A110" s="10"/>
      <c r="B110" s="20"/>
      <c r="C110" s="20"/>
      <c r="D110" s="20"/>
      <c r="E110" s="20"/>
      <c r="F110" s="3"/>
      <c r="G110" s="10"/>
      <c r="H110" s="3"/>
      <c r="I110" s="3"/>
      <c r="J110" s="3"/>
      <c r="K110" s="3"/>
    </row>
    <row r="111" spans="1:11" x14ac:dyDescent="0.3">
      <c r="A111" s="10"/>
      <c r="B111" s="20"/>
      <c r="C111" s="20"/>
      <c r="D111" s="20"/>
      <c r="E111" s="20"/>
      <c r="F111" s="3"/>
      <c r="G111" s="10"/>
      <c r="H111" s="3"/>
      <c r="I111" s="3"/>
      <c r="J111" s="3"/>
      <c r="K111" s="3"/>
    </row>
    <row r="112" spans="1:11" x14ac:dyDescent="0.3">
      <c r="A112" s="10"/>
      <c r="B112" s="20"/>
      <c r="C112" s="20"/>
      <c r="D112" s="20"/>
      <c r="E112" s="20"/>
      <c r="F112" s="3"/>
      <c r="G112" s="10"/>
      <c r="H112" s="3"/>
      <c r="I112" s="3"/>
      <c r="J112" s="3"/>
      <c r="K112" s="3"/>
    </row>
    <row r="113" spans="1:11" x14ac:dyDescent="0.3">
      <c r="A113" s="10"/>
      <c r="B113" s="20"/>
      <c r="C113" s="20"/>
      <c r="D113" s="20"/>
      <c r="E113" s="20"/>
      <c r="F113" s="3"/>
      <c r="G113" s="10"/>
      <c r="H113" s="3"/>
      <c r="I113" s="3"/>
      <c r="J113" s="3"/>
      <c r="K113" s="3"/>
    </row>
    <row r="114" spans="1:11" x14ac:dyDescent="0.3">
      <c r="A114" s="10"/>
      <c r="B114" s="20"/>
      <c r="C114" s="20"/>
      <c r="D114" s="20"/>
      <c r="E114" s="20"/>
      <c r="F114" s="3"/>
      <c r="G114" s="10"/>
      <c r="H114" s="3"/>
      <c r="I114" s="3"/>
      <c r="J114" s="3"/>
      <c r="K114" s="3"/>
    </row>
    <row r="115" spans="1:11" x14ac:dyDescent="0.3">
      <c r="A115" s="10"/>
      <c r="B115" s="20"/>
      <c r="C115" s="20"/>
      <c r="D115" s="20"/>
      <c r="E115" s="20"/>
      <c r="F115" s="3"/>
      <c r="G115" s="10"/>
      <c r="H115" s="3"/>
      <c r="I115" s="3"/>
      <c r="J115" s="3"/>
      <c r="K115" s="3"/>
    </row>
    <row r="116" spans="1:11" x14ac:dyDescent="0.3">
      <c r="A116" s="10"/>
      <c r="B116" s="20"/>
      <c r="C116" s="20"/>
      <c r="D116" s="20"/>
      <c r="E116" s="20"/>
      <c r="F116" s="3"/>
      <c r="G116" s="10"/>
      <c r="H116" s="3"/>
      <c r="I116" s="3"/>
      <c r="J116" s="3"/>
      <c r="K116" s="3"/>
    </row>
    <row r="117" spans="1:11" x14ac:dyDescent="0.3">
      <c r="A117" s="10"/>
      <c r="B117" s="20"/>
      <c r="C117" s="20"/>
      <c r="D117" s="20"/>
      <c r="E117" s="20"/>
      <c r="F117" s="3"/>
      <c r="G117" s="10"/>
      <c r="H117" s="3"/>
      <c r="I117" s="3"/>
      <c r="J117" s="3"/>
      <c r="K117" s="3"/>
    </row>
    <row r="118" spans="1:11" x14ac:dyDescent="0.3">
      <c r="A118" s="10"/>
      <c r="B118" s="20"/>
      <c r="C118" s="20"/>
      <c r="D118" s="20"/>
      <c r="E118" s="20"/>
      <c r="F118" s="3"/>
      <c r="G118" s="10"/>
      <c r="H118" s="3"/>
      <c r="I118" s="3"/>
      <c r="J118" s="3"/>
      <c r="K118" s="3"/>
    </row>
    <row r="119" spans="1:11" x14ac:dyDescent="0.3">
      <c r="A119" s="10"/>
      <c r="B119" s="20"/>
      <c r="C119" s="20"/>
      <c r="D119" s="20"/>
      <c r="E119" s="20"/>
      <c r="F119" s="3"/>
      <c r="G119" s="10"/>
      <c r="H119" s="3"/>
      <c r="I119" s="3"/>
      <c r="J119" s="3"/>
      <c r="K119" s="3"/>
    </row>
    <row r="120" spans="1:11" x14ac:dyDescent="0.3">
      <c r="A120" s="10"/>
      <c r="B120" s="20"/>
      <c r="C120" s="20"/>
      <c r="D120" s="20"/>
      <c r="E120" s="20"/>
      <c r="F120" s="3"/>
      <c r="G120" s="10"/>
      <c r="H120" s="3"/>
      <c r="I120" s="3"/>
      <c r="J120" s="3"/>
      <c r="K120" s="3"/>
    </row>
    <row r="121" spans="1:11" x14ac:dyDescent="0.3">
      <c r="A121" s="10"/>
      <c r="B121" s="20"/>
      <c r="C121" s="20"/>
      <c r="D121" s="20"/>
      <c r="E121" s="20"/>
      <c r="F121" s="3"/>
      <c r="G121" s="10"/>
      <c r="H121" s="3"/>
      <c r="I121" s="3"/>
      <c r="J121" s="3"/>
      <c r="K121" s="3"/>
    </row>
    <row r="122" spans="1:11" x14ac:dyDescent="0.3">
      <c r="A122" s="10"/>
      <c r="B122" s="20"/>
      <c r="C122" s="20"/>
      <c r="D122" s="20"/>
      <c r="E122" s="20"/>
      <c r="F122" s="3"/>
      <c r="G122" s="10"/>
      <c r="H122" s="3"/>
      <c r="I122" s="3"/>
      <c r="J122" s="3"/>
      <c r="K122" s="3"/>
    </row>
    <row r="123" spans="1:11" x14ac:dyDescent="0.3">
      <c r="A123" s="10"/>
      <c r="B123" s="20"/>
      <c r="C123" s="20"/>
      <c r="D123" s="20"/>
      <c r="E123" s="20"/>
      <c r="F123" s="3"/>
      <c r="G123" s="10"/>
      <c r="H123" s="3"/>
      <c r="I123" s="3"/>
      <c r="J123" s="3"/>
      <c r="K123" s="3"/>
    </row>
    <row r="124" spans="1:11" x14ac:dyDescent="0.3">
      <c r="A124" s="10"/>
      <c r="B124" s="20"/>
      <c r="C124" s="20"/>
      <c r="D124" s="20"/>
      <c r="E124" s="20"/>
      <c r="F124" s="3"/>
      <c r="G124" s="10"/>
      <c r="H124" s="3"/>
      <c r="I124" s="3"/>
      <c r="J124" s="3"/>
      <c r="K124" s="3"/>
    </row>
    <row r="125" spans="1:11" x14ac:dyDescent="0.3">
      <c r="A125" s="10"/>
      <c r="B125" s="20"/>
      <c r="C125" s="20"/>
      <c r="D125" s="20"/>
      <c r="E125" s="20"/>
      <c r="F125" s="3"/>
      <c r="G125" s="10"/>
      <c r="H125" s="3"/>
      <c r="I125" s="3"/>
      <c r="J125" s="3"/>
      <c r="K125" s="3"/>
    </row>
    <row r="126" spans="1:11" x14ac:dyDescent="0.3">
      <c r="A126" s="10"/>
      <c r="B126" s="20"/>
      <c r="C126" s="20"/>
      <c r="D126" s="20"/>
      <c r="E126" s="20"/>
      <c r="F126" s="3"/>
      <c r="G126" s="10"/>
      <c r="H126" s="3"/>
      <c r="I126" s="3"/>
      <c r="J126" s="3"/>
      <c r="K126" s="3"/>
    </row>
    <row r="127" spans="1:11" x14ac:dyDescent="0.3">
      <c r="A127" s="10"/>
      <c r="B127" s="20"/>
      <c r="C127" s="20"/>
      <c r="D127" s="20"/>
      <c r="E127" s="20"/>
      <c r="F127" s="3"/>
      <c r="G127" s="10"/>
      <c r="H127" s="3"/>
      <c r="I127" s="3"/>
      <c r="J127" s="3"/>
      <c r="K127" s="3"/>
    </row>
    <row r="128" spans="1:11" x14ac:dyDescent="0.3">
      <c r="A128" s="10"/>
      <c r="B128" s="20"/>
      <c r="C128" s="20"/>
      <c r="D128" s="20"/>
      <c r="E128" s="20"/>
      <c r="F128" s="3"/>
      <c r="G128" s="10"/>
      <c r="H128" s="3"/>
      <c r="I128" s="3"/>
      <c r="J128" s="3"/>
      <c r="K128" s="3"/>
    </row>
    <row r="129" spans="1:11" x14ac:dyDescent="0.3">
      <c r="A129" s="10"/>
      <c r="B129" s="20"/>
      <c r="C129" s="20"/>
      <c r="D129" s="20"/>
      <c r="E129" s="20"/>
      <c r="F129" s="3"/>
      <c r="G129" s="10"/>
      <c r="H129" s="3"/>
      <c r="I129" s="3"/>
      <c r="J129" s="3"/>
      <c r="K129" s="3"/>
    </row>
    <row r="130" spans="1:11" x14ac:dyDescent="0.3">
      <c r="A130" s="10"/>
      <c r="B130" s="20"/>
      <c r="C130" s="20"/>
      <c r="D130" s="20"/>
      <c r="E130" s="20"/>
      <c r="F130" s="3"/>
      <c r="G130" s="10"/>
      <c r="H130" s="3"/>
      <c r="I130" s="3"/>
      <c r="J130" s="3"/>
      <c r="K130" s="3"/>
    </row>
    <row r="131" spans="1:11" x14ac:dyDescent="0.3">
      <c r="A131" s="10"/>
      <c r="B131" s="20"/>
      <c r="C131" s="20"/>
      <c r="D131" s="20"/>
      <c r="E131" s="20"/>
      <c r="F131" s="3"/>
      <c r="G131" s="10"/>
      <c r="H131" s="3"/>
      <c r="I131" s="3"/>
      <c r="J131" s="3"/>
      <c r="K131" s="3"/>
    </row>
    <row r="132" spans="1:11" x14ac:dyDescent="0.3">
      <c r="A132" s="10"/>
      <c r="B132" s="20"/>
      <c r="C132" s="20"/>
      <c r="D132" s="20"/>
      <c r="E132" s="20"/>
      <c r="F132" s="3"/>
      <c r="G132" s="10"/>
      <c r="H132" s="3"/>
      <c r="I132" s="3"/>
      <c r="J132" s="3"/>
      <c r="K132" s="3"/>
    </row>
    <row r="133" spans="1:11" x14ac:dyDescent="0.3">
      <c r="A133" s="10"/>
      <c r="B133" s="20"/>
      <c r="C133" s="20"/>
      <c r="D133" s="20"/>
      <c r="E133" s="20"/>
      <c r="F133" s="3"/>
      <c r="G133" s="10"/>
      <c r="H133" s="3"/>
      <c r="I133" s="3"/>
      <c r="J133" s="3"/>
      <c r="K133" s="3"/>
    </row>
    <row r="134" spans="1:11" x14ac:dyDescent="0.3">
      <c r="A134" s="10"/>
      <c r="B134" s="20"/>
      <c r="C134" s="20"/>
      <c r="D134" s="20"/>
      <c r="E134" s="20"/>
      <c r="F134" s="3"/>
      <c r="G134" s="10"/>
      <c r="H134" s="3"/>
      <c r="I134" s="3"/>
      <c r="J134" s="3"/>
      <c r="K134" s="3"/>
    </row>
    <row r="135" spans="1:11" x14ac:dyDescent="0.3">
      <c r="A135" s="10"/>
      <c r="B135" s="20"/>
      <c r="C135" s="20"/>
      <c r="D135" s="20"/>
      <c r="E135" s="20"/>
      <c r="F135" s="3"/>
      <c r="G135" s="10"/>
      <c r="H135" s="3"/>
      <c r="I135" s="3"/>
      <c r="J135" s="3"/>
      <c r="K135" s="3"/>
    </row>
    <row r="136" spans="1:11" x14ac:dyDescent="0.3">
      <c r="A136" s="10"/>
      <c r="B136" s="20"/>
      <c r="C136" s="20"/>
      <c r="D136" s="20"/>
      <c r="E136" s="20"/>
      <c r="F136" s="3"/>
      <c r="G136" s="10"/>
      <c r="H136" s="3"/>
      <c r="I136" s="3"/>
      <c r="J136" s="3"/>
      <c r="K136" s="3"/>
    </row>
    <row r="137" spans="1:11" x14ac:dyDescent="0.3">
      <c r="A137" s="10"/>
      <c r="B137" s="20"/>
      <c r="C137" s="20"/>
      <c r="D137" s="20"/>
      <c r="E137" s="20"/>
      <c r="F137" s="3"/>
      <c r="G137" s="10"/>
      <c r="H137" s="3"/>
      <c r="I137" s="3"/>
      <c r="J137" s="3"/>
      <c r="K137" s="3"/>
    </row>
    <row r="138" spans="1:11" x14ac:dyDescent="0.3">
      <c r="A138" s="10"/>
      <c r="B138" s="20"/>
      <c r="C138" s="20"/>
      <c r="D138" s="20"/>
      <c r="E138" s="20"/>
      <c r="F138" s="3"/>
      <c r="G138" s="10"/>
      <c r="H138" s="3"/>
      <c r="I138" s="3"/>
      <c r="J138" s="3"/>
      <c r="K138" s="3"/>
    </row>
    <row r="139" spans="1:11" x14ac:dyDescent="0.3">
      <c r="A139" s="10"/>
      <c r="B139" s="20"/>
      <c r="C139" s="20"/>
      <c r="D139" s="20"/>
      <c r="E139" s="20"/>
      <c r="F139" s="3"/>
      <c r="G139" s="10"/>
      <c r="H139" s="3"/>
      <c r="I139" s="3"/>
      <c r="J139" s="3"/>
      <c r="K139" s="3"/>
    </row>
    <row r="140" spans="1:11" x14ac:dyDescent="0.3">
      <c r="A140" s="10"/>
      <c r="B140" s="20"/>
      <c r="C140" s="20"/>
      <c r="D140" s="20"/>
      <c r="E140" s="20"/>
      <c r="F140" s="3"/>
      <c r="G140" s="10"/>
      <c r="H140" s="3"/>
      <c r="I140" s="3"/>
      <c r="J140" s="3"/>
      <c r="K140" s="3"/>
    </row>
    <row r="141" spans="1:11" x14ac:dyDescent="0.3">
      <c r="A141" s="10"/>
      <c r="B141" s="20"/>
      <c r="C141" s="20"/>
      <c r="D141" s="20"/>
      <c r="E141" s="20"/>
      <c r="F141" s="3"/>
      <c r="G141" s="10"/>
      <c r="H141" s="3"/>
      <c r="I141" s="3"/>
      <c r="J141" s="3"/>
      <c r="K141" s="3"/>
    </row>
    <row r="142" spans="1:11" x14ac:dyDescent="0.3">
      <c r="A142" s="10"/>
      <c r="B142" s="20"/>
      <c r="C142" s="20"/>
      <c r="D142" s="20"/>
      <c r="E142" s="20"/>
      <c r="F142" s="3"/>
      <c r="G142" s="10"/>
      <c r="H142" s="3"/>
      <c r="I142" s="3"/>
      <c r="J142" s="3"/>
      <c r="K142" s="3"/>
    </row>
    <row r="143" spans="1:11" x14ac:dyDescent="0.3">
      <c r="A143" s="10"/>
      <c r="B143" s="20"/>
      <c r="C143" s="20"/>
      <c r="D143" s="20"/>
      <c r="E143" s="20"/>
      <c r="F143" s="3"/>
      <c r="G143" s="10"/>
      <c r="H143" s="3"/>
      <c r="I143" s="3"/>
      <c r="J143" s="3"/>
      <c r="K143" s="3"/>
    </row>
    <row r="144" spans="1:11" x14ac:dyDescent="0.3">
      <c r="A144" s="10"/>
      <c r="B144" s="20"/>
      <c r="C144" s="20"/>
      <c r="D144" s="20"/>
      <c r="E144" s="20"/>
      <c r="F144" s="3"/>
      <c r="G144" s="10"/>
      <c r="H144" s="3"/>
      <c r="I144" s="3"/>
      <c r="J144" s="3"/>
      <c r="K144" s="3"/>
    </row>
    <row r="145" spans="1:11" x14ac:dyDescent="0.3">
      <c r="A145" s="10"/>
      <c r="B145" s="20"/>
      <c r="C145" s="20"/>
      <c r="D145" s="20"/>
      <c r="E145" s="20"/>
      <c r="F145" s="3"/>
      <c r="G145" s="10"/>
      <c r="H145" s="3"/>
      <c r="I145" s="3"/>
      <c r="J145" s="3"/>
      <c r="K145" s="3"/>
    </row>
    <row r="146" spans="1:11" x14ac:dyDescent="0.3">
      <c r="A146" s="10"/>
      <c r="B146" s="20"/>
      <c r="C146" s="20"/>
      <c r="D146" s="20"/>
      <c r="E146" s="20"/>
      <c r="F146" s="3"/>
      <c r="G146" s="10"/>
      <c r="H146" s="3"/>
      <c r="I146" s="3"/>
      <c r="J146" s="3"/>
      <c r="K146" s="3"/>
    </row>
    <row r="147" spans="1:11" x14ac:dyDescent="0.3">
      <c r="A147" s="10"/>
      <c r="B147" s="20"/>
      <c r="C147" s="20"/>
      <c r="D147" s="20"/>
      <c r="E147" s="20"/>
      <c r="F147" s="3"/>
      <c r="G147" s="10"/>
      <c r="H147" s="3"/>
      <c r="I147" s="3"/>
      <c r="J147" s="3"/>
      <c r="K147" s="3"/>
    </row>
    <row r="148" spans="1:11" x14ac:dyDescent="0.3">
      <c r="A148" s="10"/>
      <c r="B148" s="20"/>
      <c r="C148" s="20"/>
      <c r="D148" s="20"/>
      <c r="E148" s="20"/>
      <c r="F148" s="3"/>
      <c r="G148" s="10"/>
      <c r="H148" s="3"/>
      <c r="I148" s="3"/>
      <c r="J148" s="3"/>
      <c r="K148" s="3"/>
    </row>
    <row r="149" spans="1:11" x14ac:dyDescent="0.3">
      <c r="A149" s="10"/>
      <c r="B149" s="20"/>
      <c r="C149" s="20"/>
      <c r="D149" s="20"/>
      <c r="E149" s="20"/>
      <c r="F149" s="3"/>
      <c r="G149" s="10"/>
      <c r="H149" s="3"/>
      <c r="I149" s="3"/>
      <c r="J149" s="3"/>
      <c r="K149" s="3"/>
    </row>
    <row r="150" spans="1:11" x14ac:dyDescent="0.3">
      <c r="A150" s="10"/>
      <c r="B150" s="20"/>
      <c r="C150" s="20"/>
      <c r="D150" s="20"/>
      <c r="E150" s="20"/>
      <c r="F150" s="3"/>
      <c r="G150" s="10"/>
      <c r="H150" s="3"/>
      <c r="I150" s="3"/>
      <c r="J150" s="3"/>
      <c r="K150" s="3"/>
    </row>
    <row r="151" spans="1:11" x14ac:dyDescent="0.3">
      <c r="A151" s="10"/>
      <c r="B151" s="20"/>
      <c r="C151" s="20"/>
      <c r="D151" s="20"/>
      <c r="E151" s="20"/>
      <c r="F151" s="3"/>
      <c r="G151" s="10"/>
      <c r="H151" s="3"/>
      <c r="I151" s="3"/>
      <c r="J151" s="3"/>
      <c r="K151" s="3"/>
    </row>
    <row r="152" spans="1:11" x14ac:dyDescent="0.3">
      <c r="A152" s="10"/>
      <c r="B152" s="20"/>
      <c r="C152" s="20"/>
      <c r="D152" s="20"/>
      <c r="E152" s="20"/>
      <c r="F152" s="3"/>
      <c r="G152" s="10"/>
      <c r="H152" s="3"/>
      <c r="I152" s="3"/>
      <c r="J152" s="3"/>
      <c r="K152" s="3"/>
    </row>
    <row r="153" spans="1:11" x14ac:dyDescent="0.3">
      <c r="A153" s="10"/>
      <c r="B153" s="20"/>
      <c r="C153" s="20"/>
      <c r="D153" s="20"/>
      <c r="E153" s="20"/>
      <c r="F153" s="3"/>
      <c r="G153" s="10"/>
      <c r="H153" s="3"/>
      <c r="I153" s="3"/>
      <c r="J153" s="3"/>
      <c r="K153" s="3"/>
    </row>
    <row r="154" spans="1:11" x14ac:dyDescent="0.3">
      <c r="A154" s="10"/>
      <c r="B154" s="20"/>
      <c r="C154" s="20"/>
      <c r="D154" s="20"/>
      <c r="E154" s="20"/>
      <c r="F154" s="3"/>
      <c r="G154" s="10"/>
      <c r="H154" s="3"/>
      <c r="I154" s="3"/>
      <c r="J154" s="3"/>
      <c r="K154" s="3"/>
    </row>
    <row r="155" spans="1:11" x14ac:dyDescent="0.3">
      <c r="A155" s="10"/>
      <c r="B155" s="20"/>
      <c r="C155" s="20"/>
      <c r="D155" s="20"/>
      <c r="E155" s="20"/>
      <c r="F155" s="3"/>
      <c r="G155" s="10"/>
      <c r="H155" s="3"/>
      <c r="I155" s="3"/>
      <c r="J155" s="3"/>
      <c r="K155" s="3"/>
    </row>
    <row r="156" spans="1:11" x14ac:dyDescent="0.3">
      <c r="A156" s="10"/>
      <c r="B156" s="20"/>
      <c r="C156" s="20"/>
      <c r="D156" s="20"/>
      <c r="E156" s="20"/>
      <c r="F156" s="3"/>
      <c r="G156" s="10"/>
      <c r="H156" s="3"/>
      <c r="I156" s="3"/>
      <c r="J156" s="3"/>
      <c r="K156" s="3"/>
    </row>
    <row r="157" spans="1:11" x14ac:dyDescent="0.3">
      <c r="A157" s="10"/>
      <c r="B157" s="20"/>
      <c r="C157" s="20"/>
      <c r="D157" s="20"/>
      <c r="E157" s="20"/>
      <c r="F157" s="3"/>
      <c r="G157" s="10"/>
      <c r="H157" s="3"/>
      <c r="I157" s="3"/>
      <c r="J157" s="3"/>
      <c r="K157" s="3"/>
    </row>
    <row r="158" spans="1:11" x14ac:dyDescent="0.3">
      <c r="A158" s="10"/>
      <c r="B158" s="20"/>
      <c r="C158" s="20"/>
      <c r="D158" s="20"/>
      <c r="E158" s="20"/>
      <c r="F158" s="3"/>
      <c r="G158" s="10"/>
      <c r="H158" s="3"/>
      <c r="I158" s="3"/>
      <c r="J158" s="3"/>
      <c r="K158" s="3"/>
    </row>
    <row r="159" spans="1:11" x14ac:dyDescent="0.3">
      <c r="A159" s="10"/>
      <c r="B159" s="20"/>
      <c r="C159" s="20"/>
      <c r="D159" s="20"/>
      <c r="E159" s="20"/>
      <c r="F159" s="3"/>
      <c r="G159" s="10"/>
      <c r="H159" s="3"/>
      <c r="I159" s="3"/>
      <c r="J159" s="3"/>
      <c r="K159" s="3"/>
    </row>
    <row r="160" spans="1:11" x14ac:dyDescent="0.3">
      <c r="A160" s="10"/>
      <c r="B160" s="20"/>
      <c r="C160" s="20"/>
      <c r="D160" s="20"/>
      <c r="E160" s="20"/>
      <c r="F160" s="3"/>
      <c r="G160" s="10"/>
      <c r="H160" s="3"/>
      <c r="I160" s="3"/>
      <c r="J160" s="3"/>
      <c r="K160" s="3"/>
    </row>
    <row r="161" spans="1:11" x14ac:dyDescent="0.3">
      <c r="A161" s="10"/>
      <c r="B161" s="20"/>
      <c r="C161" s="20"/>
      <c r="D161" s="20"/>
      <c r="E161" s="20"/>
      <c r="F161" s="3"/>
      <c r="G161" s="10"/>
      <c r="H161" s="3"/>
      <c r="I161" s="3"/>
      <c r="J161" s="3"/>
      <c r="K161" s="3"/>
    </row>
    <row r="162" spans="1:11" x14ac:dyDescent="0.3">
      <c r="A162" s="10"/>
      <c r="B162" s="20"/>
      <c r="C162" s="20"/>
      <c r="D162" s="20"/>
      <c r="E162" s="20"/>
      <c r="F162" s="3"/>
      <c r="G162" s="10"/>
      <c r="H162" s="3"/>
      <c r="I162" s="3"/>
      <c r="J162" s="3"/>
      <c r="K162" s="3"/>
    </row>
    <row r="163" spans="1:11" x14ac:dyDescent="0.3">
      <c r="A163" s="10"/>
      <c r="B163" s="20"/>
      <c r="C163" s="20"/>
      <c r="D163" s="20"/>
      <c r="E163" s="20"/>
      <c r="F163" s="3"/>
      <c r="G163" s="10"/>
      <c r="H163" s="3"/>
      <c r="I163" s="3"/>
      <c r="J163" s="3"/>
      <c r="K163" s="3"/>
    </row>
    <row r="164" spans="1:11" x14ac:dyDescent="0.3">
      <c r="A164" s="10"/>
      <c r="B164" s="20"/>
      <c r="C164" s="20"/>
      <c r="D164" s="20"/>
      <c r="E164" s="20"/>
      <c r="F164" s="3"/>
      <c r="G164" s="10"/>
      <c r="H164" s="3"/>
      <c r="I164" s="3"/>
      <c r="J164" s="3"/>
      <c r="K164" s="3"/>
    </row>
    <row r="165" spans="1:11" x14ac:dyDescent="0.3">
      <c r="A165" s="10"/>
      <c r="B165" s="20"/>
      <c r="C165" s="20"/>
      <c r="D165" s="20"/>
      <c r="E165" s="20"/>
      <c r="F165" s="3"/>
      <c r="G165" s="10"/>
      <c r="H165" s="3"/>
      <c r="I165" s="3"/>
      <c r="J165" s="3"/>
      <c r="K165" s="3"/>
    </row>
    <row r="166" spans="1:11" x14ac:dyDescent="0.3">
      <c r="A166" s="10"/>
      <c r="B166" s="20"/>
      <c r="C166" s="20"/>
      <c r="D166" s="20"/>
      <c r="E166" s="20"/>
      <c r="F166" s="3"/>
      <c r="G166" s="10"/>
      <c r="H166" s="3"/>
      <c r="I166" s="3"/>
      <c r="J166" s="3"/>
      <c r="K166" s="3"/>
    </row>
    <row r="167" spans="1:11" x14ac:dyDescent="0.3">
      <c r="A167" s="10"/>
      <c r="B167" s="20"/>
      <c r="C167" s="20"/>
      <c r="D167" s="20"/>
      <c r="E167" s="20"/>
      <c r="F167" s="3"/>
      <c r="G167" s="10"/>
      <c r="H167" s="3"/>
      <c r="I167" s="3"/>
      <c r="J167" s="3"/>
      <c r="K167" s="3"/>
    </row>
    <row r="168" spans="1:11" x14ac:dyDescent="0.3">
      <c r="A168" s="10"/>
      <c r="B168" s="20"/>
      <c r="C168" s="20"/>
      <c r="D168" s="20"/>
      <c r="E168" s="20"/>
      <c r="F168" s="3"/>
      <c r="G168" s="10"/>
      <c r="H168" s="3"/>
      <c r="I168" s="3"/>
      <c r="J168" s="3"/>
      <c r="K168" s="3"/>
    </row>
    <row r="169" spans="1:11" x14ac:dyDescent="0.3">
      <c r="A169" s="10"/>
      <c r="B169" s="20"/>
      <c r="C169" s="20"/>
      <c r="D169" s="20"/>
      <c r="E169" s="20"/>
      <c r="F169" s="3"/>
      <c r="G169" s="10"/>
      <c r="H169" s="3"/>
      <c r="I169" s="3"/>
      <c r="J169" s="3"/>
      <c r="K169" s="3"/>
    </row>
    <row r="170" spans="1:11" x14ac:dyDescent="0.3">
      <c r="A170" s="10"/>
      <c r="B170" s="20"/>
      <c r="C170" s="20"/>
      <c r="D170" s="20"/>
      <c r="E170" s="20"/>
      <c r="F170" s="3"/>
      <c r="G170" s="10"/>
      <c r="H170" s="3"/>
      <c r="I170" s="3"/>
      <c r="J170" s="3"/>
      <c r="K170" s="3"/>
    </row>
    <row r="171" spans="1:11" x14ac:dyDescent="0.3">
      <c r="A171" s="10"/>
      <c r="B171" s="20"/>
      <c r="C171" s="20"/>
      <c r="D171" s="20"/>
      <c r="E171" s="20"/>
      <c r="F171" s="3"/>
      <c r="G171" s="10"/>
      <c r="H171" s="3"/>
      <c r="I171" s="3"/>
      <c r="J171" s="3"/>
      <c r="K171" s="3"/>
    </row>
    <row r="172" spans="1:11" x14ac:dyDescent="0.3">
      <c r="A172" s="10"/>
      <c r="B172" s="20"/>
      <c r="C172" s="20"/>
      <c r="D172" s="20"/>
      <c r="E172" s="20"/>
      <c r="F172" s="3"/>
      <c r="G172" s="10"/>
      <c r="H172" s="3"/>
      <c r="I172" s="3"/>
      <c r="J172" s="3"/>
      <c r="K172" s="3"/>
    </row>
    <row r="173" spans="1:11" x14ac:dyDescent="0.3">
      <c r="A173" s="10"/>
      <c r="B173" s="20"/>
      <c r="C173" s="20"/>
      <c r="D173" s="20"/>
      <c r="E173" s="20"/>
      <c r="F173" s="3"/>
      <c r="G173" s="10"/>
      <c r="H173" s="3"/>
      <c r="I173" s="3"/>
      <c r="J173" s="3"/>
      <c r="K173" s="3"/>
    </row>
    <row r="174" spans="1:11" x14ac:dyDescent="0.3">
      <c r="A174" s="10"/>
      <c r="B174" s="20"/>
      <c r="C174" s="20"/>
      <c r="D174" s="20"/>
      <c r="E174" s="20"/>
      <c r="F174" s="3"/>
      <c r="G174" s="10"/>
      <c r="H174" s="3"/>
      <c r="I174" s="3"/>
      <c r="J174" s="3"/>
      <c r="K174" s="3"/>
    </row>
    <row r="175" spans="1:11" x14ac:dyDescent="0.3">
      <c r="A175" s="10"/>
      <c r="B175" s="20"/>
      <c r="C175" s="20"/>
      <c r="D175" s="20"/>
      <c r="E175" s="20"/>
      <c r="F175" s="3"/>
      <c r="G175" s="10"/>
      <c r="H175" s="3"/>
      <c r="I175" s="3"/>
      <c r="J175" s="3"/>
      <c r="K175" s="3"/>
    </row>
    <row r="176" spans="1:11" x14ac:dyDescent="0.3">
      <c r="A176" s="10"/>
      <c r="B176" s="20"/>
      <c r="C176" s="20"/>
      <c r="D176" s="20"/>
      <c r="E176" s="20"/>
      <c r="F176" s="3"/>
      <c r="G176" s="10"/>
      <c r="H176" s="3"/>
      <c r="I176" s="3"/>
      <c r="J176" s="3"/>
      <c r="K176" s="3"/>
    </row>
    <row r="177" spans="1:11" x14ac:dyDescent="0.3">
      <c r="A177" s="10"/>
      <c r="B177" s="20"/>
      <c r="C177" s="20"/>
      <c r="D177" s="20"/>
      <c r="E177" s="20"/>
      <c r="F177" s="3"/>
      <c r="G177" s="10"/>
      <c r="H177" s="3"/>
      <c r="I177" s="3"/>
      <c r="J177" s="3"/>
      <c r="K177" s="3"/>
    </row>
    <row r="178" spans="1:11" x14ac:dyDescent="0.3">
      <c r="A178" s="10"/>
      <c r="B178" s="20"/>
      <c r="C178" s="20"/>
      <c r="D178" s="20"/>
      <c r="E178" s="20"/>
      <c r="F178" s="3"/>
      <c r="G178" s="10"/>
      <c r="H178" s="3"/>
      <c r="I178" s="3"/>
      <c r="J178" s="3"/>
      <c r="K178" s="3"/>
    </row>
    <row r="179" spans="1:11" x14ac:dyDescent="0.3">
      <c r="A179" s="10"/>
      <c r="B179" s="20"/>
      <c r="C179" s="20"/>
      <c r="D179" s="20"/>
      <c r="E179" s="20"/>
      <c r="F179" s="3"/>
      <c r="G179" s="10"/>
      <c r="H179" s="3"/>
      <c r="I179" s="3"/>
      <c r="J179" s="3"/>
      <c r="K179" s="3"/>
    </row>
    <row r="180" spans="1:11" x14ac:dyDescent="0.3">
      <c r="A180" s="10"/>
      <c r="B180" s="20"/>
      <c r="C180" s="20"/>
      <c r="D180" s="20"/>
      <c r="E180" s="20"/>
      <c r="F180" s="3"/>
      <c r="G180" s="10"/>
      <c r="H180" s="3"/>
      <c r="I180" s="3"/>
      <c r="J180" s="3"/>
      <c r="K180" s="3"/>
    </row>
    <row r="181" spans="1:11" x14ac:dyDescent="0.3">
      <c r="A181" s="10"/>
      <c r="B181" s="20"/>
      <c r="C181" s="20"/>
      <c r="D181" s="20"/>
      <c r="E181" s="20"/>
      <c r="F181" s="3"/>
      <c r="G181" s="10"/>
      <c r="H181" s="3"/>
      <c r="I181" s="3"/>
      <c r="J181" s="3"/>
      <c r="K181" s="3"/>
    </row>
    <row r="182" spans="1:11" x14ac:dyDescent="0.3">
      <c r="A182" s="10"/>
      <c r="B182" s="20"/>
      <c r="C182" s="20"/>
      <c r="D182" s="20"/>
      <c r="E182" s="20"/>
      <c r="F182" s="3"/>
      <c r="G182" s="10"/>
      <c r="H182" s="3"/>
      <c r="I182" s="3"/>
      <c r="J182" s="3"/>
      <c r="K182" s="3"/>
    </row>
    <row r="183" spans="1:11" x14ac:dyDescent="0.3">
      <c r="A183" s="10"/>
      <c r="B183" s="20"/>
      <c r="C183" s="20"/>
      <c r="D183" s="20"/>
      <c r="E183" s="20"/>
      <c r="F183" s="3"/>
      <c r="G183" s="10"/>
      <c r="H183" s="3"/>
      <c r="I183" s="3"/>
      <c r="J183" s="3"/>
      <c r="K183" s="3"/>
    </row>
    <row r="184" spans="1:11" x14ac:dyDescent="0.3">
      <c r="A184" s="10"/>
      <c r="B184" s="20"/>
      <c r="C184" s="20"/>
      <c r="D184" s="20"/>
      <c r="E184" s="20"/>
      <c r="F184" s="3"/>
      <c r="G184" s="10"/>
      <c r="H184" s="3"/>
      <c r="I184" s="3"/>
      <c r="J184" s="3"/>
      <c r="K184" s="3"/>
    </row>
    <row r="185" spans="1:11" x14ac:dyDescent="0.3">
      <c r="A185" s="10"/>
      <c r="B185" s="20"/>
      <c r="C185" s="20"/>
      <c r="D185" s="20"/>
      <c r="E185" s="20"/>
      <c r="F185" s="3"/>
      <c r="G185" s="10"/>
      <c r="H185" s="3"/>
      <c r="I185" s="3"/>
      <c r="J185" s="3"/>
      <c r="K185" s="3"/>
    </row>
    <row r="186" spans="1:11" x14ac:dyDescent="0.3">
      <c r="A186" s="10"/>
      <c r="B186" s="20"/>
      <c r="C186" s="20"/>
      <c r="D186" s="20"/>
      <c r="E186" s="20"/>
      <c r="F186" s="3"/>
      <c r="G186" s="10"/>
      <c r="H186" s="3"/>
      <c r="I186" s="3"/>
      <c r="J186" s="3"/>
      <c r="K186" s="3"/>
    </row>
    <row r="187" spans="1:11" x14ac:dyDescent="0.3">
      <c r="A187" s="10"/>
      <c r="B187" s="20"/>
      <c r="C187" s="20"/>
      <c r="D187" s="20"/>
      <c r="E187" s="20"/>
      <c r="F187" s="3"/>
      <c r="G187" s="10"/>
      <c r="H187" s="3"/>
      <c r="I187" s="3"/>
      <c r="J187" s="3"/>
      <c r="K187" s="3"/>
    </row>
    <row r="188" spans="1:11" x14ac:dyDescent="0.3">
      <c r="A188" s="10"/>
      <c r="B188" s="20"/>
      <c r="C188" s="20"/>
      <c r="D188" s="20"/>
      <c r="E188" s="20"/>
      <c r="F188" s="3"/>
      <c r="G188" s="10"/>
      <c r="H188" s="3"/>
      <c r="I188" s="3"/>
      <c r="J188" s="3"/>
      <c r="K188" s="3"/>
    </row>
    <row r="189" spans="1:11" x14ac:dyDescent="0.3">
      <c r="A189" s="10"/>
      <c r="B189" s="20"/>
      <c r="C189" s="20"/>
      <c r="D189" s="20"/>
      <c r="E189" s="20"/>
      <c r="F189" s="3"/>
      <c r="G189" s="10"/>
      <c r="H189" s="3"/>
      <c r="I189" s="3"/>
      <c r="J189" s="3"/>
      <c r="K189" s="3"/>
    </row>
    <row r="190" spans="1:11" x14ac:dyDescent="0.3">
      <c r="A190" s="10"/>
      <c r="B190" s="20"/>
      <c r="C190" s="20"/>
      <c r="D190" s="20"/>
      <c r="E190" s="20"/>
      <c r="F190" s="3"/>
      <c r="G190" s="10"/>
      <c r="H190" s="3"/>
      <c r="I190" s="3"/>
      <c r="J190" s="3"/>
      <c r="K190" s="3"/>
    </row>
    <row r="191" spans="1:11" x14ac:dyDescent="0.3">
      <c r="A191" s="10"/>
      <c r="B191" s="20"/>
      <c r="C191" s="20"/>
      <c r="D191" s="20"/>
      <c r="E191" s="20"/>
      <c r="F191" s="3"/>
      <c r="G191" s="10"/>
      <c r="H191" s="3"/>
      <c r="I191" s="3"/>
      <c r="J191" s="3"/>
      <c r="K191" s="3"/>
    </row>
    <row r="192" spans="1:11" x14ac:dyDescent="0.3">
      <c r="A192" s="10"/>
      <c r="B192" s="20"/>
      <c r="C192" s="20"/>
      <c r="D192" s="20"/>
      <c r="E192" s="20"/>
      <c r="F192" s="3"/>
      <c r="G192" s="10"/>
      <c r="H192" s="3"/>
      <c r="I192" s="3"/>
      <c r="J192" s="3"/>
      <c r="K192" s="3"/>
    </row>
    <row r="193" spans="1:11" x14ac:dyDescent="0.3">
      <c r="A193" s="10"/>
      <c r="B193" s="20"/>
      <c r="C193" s="20"/>
      <c r="D193" s="20"/>
      <c r="E193" s="20"/>
      <c r="F193" s="3"/>
      <c r="G193" s="10"/>
      <c r="H193" s="3"/>
      <c r="I193" s="3"/>
      <c r="J193" s="3"/>
      <c r="K193" s="3"/>
    </row>
    <row r="194" spans="1:11" x14ac:dyDescent="0.3">
      <c r="A194" s="10"/>
      <c r="B194" s="20"/>
      <c r="C194" s="20"/>
      <c r="D194" s="20"/>
      <c r="E194" s="20"/>
      <c r="F194" s="3"/>
      <c r="G194" s="10"/>
      <c r="H194" s="3"/>
      <c r="I194" s="3"/>
      <c r="J194" s="3"/>
      <c r="K194" s="3"/>
    </row>
    <row r="195" spans="1:11" x14ac:dyDescent="0.3">
      <c r="A195" s="10"/>
      <c r="B195" s="20"/>
      <c r="C195" s="20"/>
      <c r="D195" s="20"/>
      <c r="E195" s="20"/>
      <c r="F195" s="3"/>
      <c r="G195" s="10"/>
      <c r="H195" s="3"/>
      <c r="I195" s="3"/>
      <c r="J195" s="3"/>
      <c r="K195" s="3"/>
    </row>
    <row r="196" spans="1:11" x14ac:dyDescent="0.3">
      <c r="A196" s="10"/>
      <c r="B196" s="20"/>
      <c r="C196" s="20"/>
      <c r="D196" s="20"/>
      <c r="E196" s="20"/>
      <c r="F196" s="3"/>
      <c r="G196" s="10"/>
      <c r="H196" s="3"/>
      <c r="I196" s="3"/>
      <c r="J196" s="3"/>
      <c r="K196" s="3"/>
    </row>
    <row r="197" spans="1:11" x14ac:dyDescent="0.3">
      <c r="A197" s="10"/>
      <c r="B197" s="20"/>
      <c r="C197" s="20"/>
      <c r="D197" s="20"/>
      <c r="E197" s="20"/>
      <c r="F197" s="3"/>
      <c r="G197" s="10"/>
      <c r="H197" s="3"/>
      <c r="I197" s="3"/>
      <c r="J197" s="3"/>
      <c r="K197" s="3"/>
    </row>
    <row r="198" spans="1:11" x14ac:dyDescent="0.3">
      <c r="A198" s="10"/>
      <c r="B198" s="20"/>
      <c r="C198" s="20"/>
      <c r="D198" s="20"/>
      <c r="E198" s="20"/>
      <c r="F198" s="3"/>
      <c r="G198" s="10"/>
      <c r="H198" s="3"/>
      <c r="I198" s="3"/>
      <c r="J198" s="3"/>
      <c r="K198" s="3"/>
    </row>
    <row r="199" spans="1:11" x14ac:dyDescent="0.3">
      <c r="A199" s="10"/>
      <c r="B199" s="20"/>
      <c r="C199" s="20"/>
      <c r="D199" s="20"/>
      <c r="E199" s="20"/>
      <c r="F199" s="3"/>
      <c r="G199" s="10"/>
      <c r="H199" s="3"/>
      <c r="I199" s="3"/>
      <c r="J199" s="3"/>
      <c r="K199" s="3"/>
    </row>
    <row r="200" spans="1:11" x14ac:dyDescent="0.3">
      <c r="A200" s="10"/>
      <c r="B200" s="20"/>
      <c r="C200" s="20"/>
      <c r="D200" s="20"/>
      <c r="E200" s="20"/>
      <c r="F200" s="3"/>
      <c r="G200" s="10"/>
      <c r="H200" s="3"/>
      <c r="I200" s="3"/>
      <c r="J200" s="3"/>
      <c r="K200" s="3"/>
    </row>
    <row r="201" spans="1:11" x14ac:dyDescent="0.3">
      <c r="A201" s="10"/>
      <c r="B201" s="20"/>
      <c r="C201" s="20"/>
      <c r="D201" s="20"/>
      <c r="E201" s="20"/>
      <c r="F201" s="3"/>
      <c r="G201" s="10"/>
      <c r="H201" s="3"/>
      <c r="I201" s="3"/>
      <c r="J201" s="3"/>
      <c r="K201" s="3"/>
    </row>
    <row r="202" spans="1:11" x14ac:dyDescent="0.3">
      <c r="A202" s="10"/>
      <c r="B202" s="20"/>
      <c r="C202" s="20"/>
      <c r="D202" s="20"/>
      <c r="E202" s="20"/>
      <c r="F202" s="3"/>
      <c r="G202" s="10"/>
      <c r="H202" s="3"/>
      <c r="I202" s="3"/>
      <c r="J202" s="3"/>
      <c r="K202" s="3"/>
    </row>
    <row r="203" spans="1:11" x14ac:dyDescent="0.3">
      <c r="A203" s="10"/>
      <c r="B203" s="20"/>
      <c r="C203" s="20"/>
      <c r="D203" s="20"/>
      <c r="E203" s="20"/>
      <c r="F203" s="3"/>
      <c r="G203" s="10"/>
      <c r="H203" s="3"/>
      <c r="I203" s="3"/>
      <c r="J203" s="3"/>
      <c r="K203" s="3"/>
    </row>
    <row r="204" spans="1:11" x14ac:dyDescent="0.3">
      <c r="A204" s="10"/>
      <c r="B204" s="20"/>
      <c r="C204" s="20"/>
      <c r="D204" s="20"/>
      <c r="E204" s="20"/>
      <c r="F204" s="3"/>
      <c r="G204" s="10"/>
      <c r="H204" s="3"/>
      <c r="I204" s="3"/>
      <c r="J204" s="3"/>
      <c r="K204" s="3"/>
    </row>
    <row r="205" spans="1:11" x14ac:dyDescent="0.3">
      <c r="A205" s="10"/>
      <c r="B205" s="20"/>
      <c r="C205" s="20"/>
      <c r="D205" s="20"/>
      <c r="E205" s="20"/>
      <c r="F205" s="3"/>
      <c r="G205" s="10"/>
      <c r="H205" s="3"/>
      <c r="I205" s="3"/>
      <c r="J205" s="3"/>
      <c r="K205" s="3"/>
    </row>
    <row r="206" spans="1:11" x14ac:dyDescent="0.3">
      <c r="A206" s="10"/>
      <c r="B206" s="20"/>
      <c r="C206" s="20"/>
      <c r="D206" s="20"/>
      <c r="E206" s="20"/>
      <c r="F206" s="3"/>
      <c r="G206" s="10"/>
      <c r="H206" s="3"/>
      <c r="I206" s="3"/>
      <c r="J206" s="3"/>
      <c r="K206" s="3"/>
    </row>
    <row r="207" spans="1:11" x14ac:dyDescent="0.3">
      <c r="A207" s="10"/>
      <c r="B207" s="20"/>
      <c r="C207" s="20"/>
      <c r="D207" s="20"/>
      <c r="E207" s="20"/>
      <c r="F207" s="3"/>
      <c r="G207" s="10"/>
      <c r="H207" s="3"/>
      <c r="I207" s="3"/>
      <c r="J207" s="3"/>
      <c r="K207" s="3"/>
    </row>
    <row r="208" spans="1:11" x14ac:dyDescent="0.3">
      <c r="A208" s="10"/>
      <c r="B208" s="20"/>
      <c r="C208" s="20"/>
      <c r="D208" s="20"/>
      <c r="E208" s="20"/>
      <c r="F208" s="3"/>
      <c r="G208" s="10"/>
      <c r="H208" s="3"/>
      <c r="I208" s="3"/>
      <c r="J208" s="3"/>
      <c r="K208" s="3"/>
    </row>
    <row r="209" spans="1:11" x14ac:dyDescent="0.3">
      <c r="A209" s="10"/>
      <c r="B209" s="20"/>
      <c r="C209" s="20"/>
      <c r="D209" s="20"/>
      <c r="E209" s="20"/>
      <c r="F209" s="3"/>
      <c r="G209" s="10"/>
      <c r="H209" s="3"/>
      <c r="I209" s="3"/>
      <c r="J209" s="3"/>
      <c r="K209" s="3"/>
    </row>
    <row r="210" spans="1:11" x14ac:dyDescent="0.3">
      <c r="A210" s="10"/>
      <c r="B210" s="20"/>
      <c r="C210" s="20"/>
      <c r="D210" s="20"/>
      <c r="E210" s="20"/>
      <c r="F210" s="3"/>
      <c r="G210" s="10"/>
      <c r="H210" s="3"/>
      <c r="I210" s="3"/>
      <c r="J210" s="3"/>
      <c r="K210" s="3"/>
    </row>
    <row r="211" spans="1:11" x14ac:dyDescent="0.3">
      <c r="A211" s="10"/>
      <c r="B211" s="20"/>
      <c r="C211" s="20"/>
      <c r="D211" s="20"/>
      <c r="E211" s="20"/>
      <c r="F211" s="3"/>
      <c r="G211" s="10"/>
      <c r="H211" s="3"/>
      <c r="I211" s="3"/>
      <c r="J211" s="3"/>
      <c r="K211" s="3"/>
    </row>
    <row r="212" spans="1:11" x14ac:dyDescent="0.3">
      <c r="A212" s="10"/>
      <c r="B212" s="20"/>
      <c r="C212" s="20"/>
      <c r="D212" s="20"/>
      <c r="E212" s="20"/>
      <c r="F212" s="3"/>
      <c r="G212" s="10"/>
      <c r="H212" s="3"/>
      <c r="I212" s="3"/>
      <c r="J212" s="3"/>
      <c r="K212" s="3"/>
    </row>
    <row r="213" spans="1:11" x14ac:dyDescent="0.3">
      <c r="A213" s="10"/>
      <c r="B213" s="20"/>
      <c r="C213" s="20"/>
      <c r="D213" s="20"/>
      <c r="E213" s="20"/>
      <c r="F213" s="3"/>
      <c r="G213" s="10"/>
      <c r="H213" s="3"/>
      <c r="I213" s="3"/>
      <c r="J213" s="3"/>
      <c r="K213" s="3"/>
    </row>
    <row r="214" spans="1:11" x14ac:dyDescent="0.3">
      <c r="A214" s="10"/>
      <c r="B214" s="20"/>
      <c r="C214" s="20"/>
      <c r="D214" s="20"/>
      <c r="E214" s="20"/>
      <c r="F214" s="3"/>
      <c r="G214" s="10"/>
      <c r="H214" s="3"/>
      <c r="I214" s="3"/>
      <c r="J214" s="3"/>
      <c r="K214" s="3"/>
    </row>
    <row r="215" spans="1:11" x14ac:dyDescent="0.3">
      <c r="A215" s="10"/>
      <c r="B215" s="20"/>
      <c r="C215" s="20"/>
      <c r="D215" s="20"/>
      <c r="E215" s="20"/>
      <c r="F215" s="3"/>
      <c r="G215" s="10"/>
      <c r="H215" s="3"/>
      <c r="I215" s="3"/>
      <c r="J215" s="3"/>
      <c r="K215" s="3"/>
    </row>
    <row r="216" spans="1:11" x14ac:dyDescent="0.3">
      <c r="A216" s="10"/>
      <c r="B216" s="20"/>
      <c r="C216" s="20"/>
      <c r="D216" s="20"/>
      <c r="E216" s="20"/>
      <c r="F216" s="3"/>
      <c r="G216" s="10"/>
      <c r="H216" s="3"/>
      <c r="I216" s="3"/>
      <c r="J216" s="3"/>
      <c r="K216" s="3"/>
    </row>
    <row r="217" spans="1:11" x14ac:dyDescent="0.3">
      <c r="A217" s="10"/>
      <c r="B217" s="20"/>
      <c r="C217" s="20"/>
      <c r="D217" s="20"/>
      <c r="E217" s="20"/>
      <c r="F217" s="3"/>
      <c r="G217" s="10"/>
      <c r="H217" s="3"/>
      <c r="I217" s="3"/>
      <c r="J217" s="3"/>
      <c r="K217" s="3"/>
    </row>
    <row r="218" spans="1:11" x14ac:dyDescent="0.3">
      <c r="A218" s="10"/>
      <c r="B218" s="20"/>
      <c r="C218" s="20"/>
      <c r="D218" s="20"/>
      <c r="E218" s="20"/>
      <c r="F218" s="3"/>
      <c r="G218" s="10"/>
      <c r="H218" s="3"/>
      <c r="I218" s="3"/>
      <c r="J218" s="3"/>
      <c r="K218" s="3"/>
    </row>
    <row r="219" spans="1:11" x14ac:dyDescent="0.3">
      <c r="A219" s="10"/>
      <c r="B219" s="20"/>
      <c r="C219" s="20"/>
      <c r="D219" s="20"/>
      <c r="E219" s="20"/>
      <c r="F219" s="3"/>
      <c r="G219" s="10"/>
      <c r="H219" s="3"/>
      <c r="I219" s="3"/>
      <c r="J219" s="3"/>
      <c r="K219" s="3"/>
    </row>
    <row r="220" spans="1:11" x14ac:dyDescent="0.3">
      <c r="A220" s="10"/>
      <c r="B220" s="20"/>
      <c r="C220" s="20"/>
      <c r="D220" s="20"/>
      <c r="E220" s="20"/>
      <c r="F220" s="3"/>
      <c r="G220" s="10"/>
      <c r="H220" s="3"/>
      <c r="I220" s="3"/>
      <c r="J220" s="3"/>
      <c r="K220" s="3"/>
    </row>
    <row r="221" spans="1:11" x14ac:dyDescent="0.3">
      <c r="A221" s="10"/>
      <c r="B221" s="20"/>
      <c r="C221" s="20"/>
      <c r="D221" s="20"/>
      <c r="E221" s="20"/>
      <c r="F221" s="3"/>
      <c r="G221" s="10"/>
      <c r="H221" s="3"/>
      <c r="I221" s="3"/>
      <c r="J221" s="3"/>
      <c r="K221" s="3"/>
    </row>
    <row r="222" spans="1:11" x14ac:dyDescent="0.3">
      <c r="A222" s="10"/>
      <c r="B222" s="20"/>
      <c r="C222" s="20"/>
      <c r="D222" s="20"/>
      <c r="E222" s="20"/>
      <c r="F222" s="3"/>
      <c r="G222" s="10"/>
      <c r="H222" s="3"/>
      <c r="I222" s="3"/>
      <c r="J222" s="3"/>
      <c r="K222" s="3"/>
    </row>
    <row r="223" spans="1:11" x14ac:dyDescent="0.3">
      <c r="A223" s="10"/>
      <c r="B223" s="20"/>
      <c r="C223" s="20"/>
      <c r="D223" s="20"/>
      <c r="E223" s="20"/>
      <c r="F223" s="3"/>
      <c r="G223" s="10"/>
      <c r="H223" s="3"/>
      <c r="I223" s="3"/>
      <c r="J223" s="3"/>
      <c r="K223" s="3"/>
    </row>
    <row r="224" spans="1:11" x14ac:dyDescent="0.3">
      <c r="A224" s="10"/>
      <c r="B224" s="20"/>
      <c r="C224" s="20"/>
      <c r="D224" s="20"/>
      <c r="E224" s="20"/>
      <c r="F224" s="3"/>
      <c r="G224" s="10"/>
      <c r="H224" s="3"/>
      <c r="I224" s="3"/>
      <c r="J224" s="3"/>
      <c r="K224" s="3"/>
    </row>
    <row r="225" spans="1:11" x14ac:dyDescent="0.3">
      <c r="A225" s="10"/>
      <c r="B225" s="20"/>
      <c r="C225" s="20"/>
      <c r="D225" s="20"/>
      <c r="E225" s="20"/>
      <c r="F225" s="3"/>
      <c r="G225" s="10"/>
      <c r="H225" s="3"/>
      <c r="I225" s="3"/>
      <c r="J225" s="3"/>
      <c r="K225" s="3"/>
    </row>
    <row r="226" spans="1:11" x14ac:dyDescent="0.3">
      <c r="A226" s="10"/>
      <c r="B226" s="20"/>
      <c r="C226" s="20"/>
      <c r="D226" s="20"/>
      <c r="E226" s="20"/>
      <c r="F226" s="3"/>
      <c r="G226" s="10"/>
      <c r="H226" s="3"/>
      <c r="I226" s="3"/>
      <c r="J226" s="3"/>
      <c r="K226" s="3"/>
    </row>
    <row r="227" spans="1:11" x14ac:dyDescent="0.3">
      <c r="A227" s="10"/>
      <c r="B227" s="20"/>
      <c r="C227" s="20"/>
      <c r="D227" s="20"/>
      <c r="E227" s="20"/>
      <c r="F227" s="3"/>
      <c r="G227" s="10"/>
      <c r="H227" s="3"/>
      <c r="I227" s="3"/>
      <c r="J227" s="3"/>
      <c r="K227" s="3"/>
    </row>
    <row r="228" spans="1:11" x14ac:dyDescent="0.3">
      <c r="A228" s="10"/>
      <c r="B228" s="20"/>
      <c r="C228" s="20"/>
      <c r="D228" s="20"/>
      <c r="E228" s="20"/>
      <c r="F228" s="3"/>
      <c r="G228" s="10"/>
      <c r="H228" s="3"/>
      <c r="I228" s="3"/>
      <c r="J228" s="3"/>
      <c r="K228" s="3"/>
    </row>
    <row r="229" spans="1:11" x14ac:dyDescent="0.3">
      <c r="A229" s="10"/>
      <c r="B229" s="20"/>
      <c r="C229" s="20"/>
      <c r="D229" s="20"/>
      <c r="E229" s="20"/>
      <c r="F229" s="3"/>
      <c r="G229" s="10"/>
      <c r="H229" s="3"/>
      <c r="I229" s="3"/>
      <c r="J229" s="3"/>
      <c r="K229" s="3"/>
    </row>
    <row r="230" spans="1:11" x14ac:dyDescent="0.3">
      <c r="A230" s="10"/>
      <c r="B230" s="20"/>
      <c r="C230" s="20"/>
      <c r="D230" s="20"/>
      <c r="E230" s="20"/>
      <c r="F230" s="3"/>
      <c r="G230" s="10"/>
      <c r="H230" s="3"/>
      <c r="I230" s="3"/>
      <c r="J230" s="3"/>
      <c r="K230" s="3"/>
    </row>
    <row r="231" spans="1:11" x14ac:dyDescent="0.3">
      <c r="A231" s="10"/>
      <c r="B231" s="20"/>
      <c r="C231" s="20"/>
      <c r="D231" s="20"/>
      <c r="E231" s="20"/>
      <c r="F231" s="3"/>
      <c r="G231" s="10"/>
      <c r="H231" s="3"/>
      <c r="I231" s="3"/>
      <c r="J231" s="3"/>
      <c r="K231" s="3"/>
    </row>
    <row r="232" spans="1:11" x14ac:dyDescent="0.3">
      <c r="A232" s="10"/>
      <c r="B232" s="20"/>
      <c r="C232" s="20"/>
      <c r="D232" s="20"/>
      <c r="E232" s="20"/>
      <c r="F232" s="3"/>
      <c r="G232" s="10"/>
      <c r="H232" s="3"/>
      <c r="I232" s="3"/>
      <c r="J232" s="3"/>
      <c r="K232" s="3"/>
    </row>
    <row r="233" spans="1:11" x14ac:dyDescent="0.3">
      <c r="A233" s="10"/>
      <c r="B233" s="20"/>
      <c r="C233" s="20"/>
      <c r="D233" s="20"/>
      <c r="E233" s="20"/>
      <c r="F233" s="3"/>
      <c r="G233" s="10"/>
      <c r="H233" s="3"/>
      <c r="I233" s="3"/>
      <c r="J233" s="3"/>
      <c r="K233" s="3"/>
    </row>
    <row r="234" spans="1:11" x14ac:dyDescent="0.3">
      <c r="A234" s="10"/>
      <c r="B234" s="20"/>
      <c r="C234" s="20"/>
      <c r="D234" s="20"/>
      <c r="E234" s="20"/>
      <c r="F234" s="3"/>
      <c r="G234" s="10"/>
      <c r="H234" s="3"/>
      <c r="I234" s="3"/>
      <c r="J234" s="3"/>
      <c r="K234" s="3"/>
    </row>
    <row r="235" spans="1:11" x14ac:dyDescent="0.3">
      <c r="A235" s="10"/>
      <c r="B235" s="20"/>
      <c r="C235" s="20"/>
      <c r="D235" s="20"/>
      <c r="E235" s="20"/>
      <c r="F235" s="3"/>
      <c r="G235" s="10"/>
      <c r="H235" s="3"/>
      <c r="I235" s="3"/>
      <c r="J235" s="3"/>
      <c r="K235" s="3"/>
    </row>
    <row r="236" spans="1:11" x14ac:dyDescent="0.3">
      <c r="A236" s="10"/>
      <c r="B236" s="20"/>
      <c r="C236" s="20"/>
      <c r="D236" s="20"/>
      <c r="E236" s="20"/>
      <c r="F236" s="3"/>
      <c r="G236" s="10"/>
      <c r="H236" s="3"/>
      <c r="I236" s="3"/>
      <c r="J236" s="3"/>
      <c r="K236" s="3"/>
    </row>
    <row r="237" spans="1:11" x14ac:dyDescent="0.3">
      <c r="A237" s="10"/>
      <c r="B237" s="20"/>
      <c r="C237" s="20"/>
      <c r="D237" s="20"/>
      <c r="E237" s="20"/>
      <c r="F237" s="3"/>
      <c r="G237" s="10"/>
      <c r="H237" s="3"/>
      <c r="I237" s="3"/>
      <c r="J237" s="3"/>
      <c r="K237" s="3"/>
    </row>
    <row r="238" spans="1:11" x14ac:dyDescent="0.3">
      <c r="A238" s="10"/>
      <c r="B238" s="20"/>
      <c r="C238" s="20"/>
      <c r="D238" s="20"/>
      <c r="E238" s="20"/>
      <c r="F238" s="3"/>
      <c r="G238" s="10"/>
      <c r="H238" s="3"/>
      <c r="I238" s="3"/>
      <c r="J238" s="3"/>
      <c r="K238" s="3"/>
    </row>
    <row r="239" spans="1:11" x14ac:dyDescent="0.3">
      <c r="A239" s="10"/>
      <c r="B239" s="20"/>
      <c r="C239" s="20"/>
      <c r="D239" s="20"/>
      <c r="E239" s="20"/>
      <c r="F239" s="3"/>
      <c r="G239" s="10"/>
      <c r="H239" s="3"/>
      <c r="I239" s="3"/>
      <c r="J239" s="3"/>
      <c r="K239" s="3"/>
    </row>
    <row r="240" spans="1:11" x14ac:dyDescent="0.3">
      <c r="A240" s="10"/>
      <c r="B240" s="20"/>
      <c r="C240" s="20"/>
      <c r="D240" s="20"/>
      <c r="E240" s="20"/>
      <c r="F240" s="3"/>
      <c r="G240" s="10"/>
      <c r="H240" s="3"/>
      <c r="I240" s="3"/>
      <c r="J240" s="3"/>
      <c r="K240" s="3"/>
    </row>
    <row r="241" spans="1:11" x14ac:dyDescent="0.3">
      <c r="A241" s="10"/>
      <c r="B241" s="20"/>
      <c r="C241" s="20"/>
      <c r="D241" s="20"/>
      <c r="E241" s="20"/>
      <c r="F241" s="3"/>
      <c r="G241" s="10"/>
      <c r="H241" s="3"/>
      <c r="I241" s="3"/>
      <c r="J241" s="3"/>
      <c r="K241" s="3"/>
    </row>
    <row r="242" spans="1:11" x14ac:dyDescent="0.3">
      <c r="A242" s="10"/>
      <c r="B242" s="20"/>
      <c r="C242" s="20"/>
      <c r="D242" s="20"/>
      <c r="E242" s="20"/>
      <c r="F242" s="3"/>
      <c r="G242" s="10"/>
      <c r="H242" s="3"/>
      <c r="I242" s="3"/>
      <c r="J242" s="3"/>
      <c r="K242" s="3"/>
    </row>
    <row r="243" spans="1:11" x14ac:dyDescent="0.3">
      <c r="A243" s="10"/>
      <c r="B243" s="20"/>
      <c r="C243" s="20"/>
      <c r="D243" s="20"/>
      <c r="E243" s="20"/>
      <c r="F243" s="3"/>
      <c r="G243" s="10"/>
      <c r="H243" s="3"/>
      <c r="I243" s="3"/>
      <c r="J243" s="3"/>
      <c r="K243" s="3"/>
    </row>
    <row r="244" spans="1:11" x14ac:dyDescent="0.3">
      <c r="A244" s="10"/>
      <c r="B244" s="20"/>
      <c r="C244" s="20"/>
      <c r="D244" s="20"/>
      <c r="E244" s="20"/>
      <c r="F244" s="3"/>
      <c r="G244" s="10"/>
      <c r="H244" s="3"/>
      <c r="I244" s="3"/>
      <c r="J244" s="3"/>
      <c r="K244" s="3"/>
    </row>
    <row r="245" spans="1:11" x14ac:dyDescent="0.3">
      <c r="A245" s="10"/>
      <c r="B245" s="20"/>
      <c r="C245" s="20"/>
      <c r="D245" s="20"/>
      <c r="E245" s="20"/>
      <c r="F245" s="3"/>
      <c r="G245" s="10"/>
      <c r="H245" s="3"/>
      <c r="I245" s="3"/>
      <c r="J245" s="3"/>
      <c r="K245" s="3"/>
    </row>
    <row r="246" spans="1:11" x14ac:dyDescent="0.3">
      <c r="A246" s="10"/>
      <c r="B246" s="20"/>
      <c r="C246" s="20"/>
      <c r="D246" s="20"/>
      <c r="E246" s="20"/>
      <c r="F246" s="3"/>
      <c r="G246" s="10"/>
      <c r="H246" s="3"/>
      <c r="I246" s="3"/>
      <c r="J246" s="3"/>
      <c r="K246" s="3"/>
    </row>
    <row r="247" spans="1:11" x14ac:dyDescent="0.3">
      <c r="A247" s="10"/>
      <c r="B247" s="20"/>
      <c r="C247" s="20"/>
      <c r="D247" s="20"/>
      <c r="E247" s="20"/>
      <c r="F247" s="3"/>
      <c r="G247" s="10"/>
      <c r="H247" s="3"/>
      <c r="I247" s="3"/>
      <c r="J247" s="3"/>
      <c r="K247" s="3"/>
    </row>
    <row r="248" spans="1:11" x14ac:dyDescent="0.3">
      <c r="A248" s="10"/>
      <c r="B248" s="20"/>
      <c r="C248" s="20"/>
      <c r="D248" s="20"/>
      <c r="E248" s="20"/>
      <c r="F248" s="3"/>
      <c r="G248" s="10"/>
      <c r="H248" s="3"/>
      <c r="I248" s="3"/>
      <c r="J248" s="3"/>
      <c r="K248" s="3"/>
    </row>
    <row r="249" spans="1:11" x14ac:dyDescent="0.3">
      <c r="A249" s="10"/>
      <c r="B249" s="20"/>
      <c r="C249" s="20"/>
      <c r="D249" s="20"/>
      <c r="E249" s="20"/>
      <c r="F249" s="3"/>
      <c r="G249" s="10"/>
      <c r="H249" s="3"/>
      <c r="I249" s="3"/>
      <c r="J249" s="3"/>
      <c r="K249" s="3"/>
    </row>
    <row r="250" spans="1:11" x14ac:dyDescent="0.3">
      <c r="A250" s="10"/>
      <c r="B250" s="20"/>
      <c r="C250" s="20"/>
      <c r="D250" s="20"/>
      <c r="E250" s="20"/>
      <c r="F250" s="3"/>
      <c r="G250" s="10"/>
      <c r="H250" s="3"/>
      <c r="I250" s="3"/>
      <c r="J250" s="3"/>
      <c r="K250" s="3"/>
    </row>
    <row r="251" spans="1:11" x14ac:dyDescent="0.3">
      <c r="A251" s="10"/>
      <c r="B251" s="20"/>
      <c r="C251" s="20"/>
      <c r="D251" s="20"/>
      <c r="E251" s="20"/>
      <c r="F251" s="3"/>
      <c r="G251" s="10"/>
      <c r="H251" s="3"/>
      <c r="I251" s="3"/>
      <c r="J251" s="3"/>
      <c r="K251" s="3"/>
    </row>
    <row r="252" spans="1:11" x14ac:dyDescent="0.3">
      <c r="A252" s="10"/>
      <c r="B252" s="20"/>
      <c r="C252" s="20"/>
      <c r="D252" s="20"/>
      <c r="E252" s="20"/>
      <c r="F252" s="3"/>
      <c r="G252" s="10"/>
      <c r="H252" s="3"/>
      <c r="I252" s="3"/>
      <c r="J252" s="3"/>
      <c r="K252" s="3"/>
    </row>
    <row r="253" spans="1:11" x14ac:dyDescent="0.3">
      <c r="A253" s="10"/>
      <c r="B253" s="20"/>
      <c r="C253" s="20"/>
      <c r="D253" s="20"/>
      <c r="E253" s="20"/>
      <c r="F253" s="3"/>
      <c r="G253" s="10"/>
      <c r="H253" s="3"/>
      <c r="I253" s="3"/>
      <c r="J253" s="3"/>
      <c r="K253" s="3"/>
    </row>
    <row r="254" spans="1:11" x14ac:dyDescent="0.3">
      <c r="A254" s="10"/>
      <c r="B254" s="20"/>
      <c r="C254" s="20"/>
      <c r="D254" s="20"/>
      <c r="E254" s="20"/>
      <c r="F254" s="3"/>
      <c r="G254" s="10"/>
      <c r="H254" s="3"/>
      <c r="I254" s="3"/>
      <c r="J254" s="3"/>
      <c r="K254" s="3"/>
    </row>
    <row r="255" spans="1:11" x14ac:dyDescent="0.3">
      <c r="A255" s="10"/>
      <c r="B255" s="20"/>
      <c r="C255" s="20"/>
      <c r="D255" s="20"/>
      <c r="E255" s="20"/>
      <c r="F255" s="3"/>
      <c r="G255" s="10"/>
      <c r="H255" s="3"/>
      <c r="I255" s="3"/>
      <c r="J255" s="3"/>
      <c r="K255" s="3"/>
    </row>
    <row r="256" spans="1:11" x14ac:dyDescent="0.3">
      <c r="A256" s="10"/>
      <c r="B256" s="20"/>
      <c r="C256" s="20"/>
      <c r="D256" s="20"/>
      <c r="E256" s="20"/>
      <c r="F256" s="3"/>
      <c r="G256" s="10"/>
      <c r="H256" s="3"/>
      <c r="I256" s="3"/>
      <c r="J256" s="3"/>
      <c r="K256" s="3"/>
    </row>
    <row r="257" spans="1:11" x14ac:dyDescent="0.3">
      <c r="A257" s="10"/>
      <c r="B257" s="20"/>
      <c r="C257" s="20"/>
      <c r="D257" s="20"/>
      <c r="E257" s="20"/>
      <c r="F257" s="3"/>
      <c r="G257" s="10"/>
      <c r="H257" s="3"/>
      <c r="I257" s="3"/>
      <c r="J257" s="3"/>
      <c r="K257" s="3"/>
    </row>
    <row r="258" spans="1:11" x14ac:dyDescent="0.3">
      <c r="A258" s="10"/>
      <c r="B258" s="20"/>
      <c r="C258" s="20"/>
      <c r="D258" s="20"/>
      <c r="E258" s="20"/>
      <c r="F258" s="3"/>
      <c r="G258" s="10"/>
      <c r="H258" s="3"/>
      <c r="I258" s="3"/>
      <c r="J258" s="3"/>
      <c r="K258" s="3"/>
    </row>
    <row r="259" spans="1:11" x14ac:dyDescent="0.3">
      <c r="A259" s="10"/>
      <c r="B259" s="20"/>
      <c r="C259" s="20"/>
      <c r="D259" s="20"/>
      <c r="E259" s="20"/>
      <c r="F259" s="3"/>
      <c r="G259" s="10"/>
      <c r="H259" s="3"/>
      <c r="I259" s="3"/>
      <c r="J259" s="3"/>
      <c r="K259" s="3"/>
    </row>
    <row r="260" spans="1:11" x14ac:dyDescent="0.3">
      <c r="A260" s="10"/>
      <c r="B260" s="20"/>
      <c r="C260" s="20"/>
      <c r="D260" s="20"/>
      <c r="E260" s="20"/>
      <c r="F260" s="3"/>
      <c r="G260" s="10"/>
      <c r="H260" s="3"/>
      <c r="I260" s="3"/>
      <c r="J260" s="3"/>
      <c r="K260" s="3"/>
    </row>
    <row r="261" spans="1:11" x14ac:dyDescent="0.3">
      <c r="A261" s="10"/>
      <c r="B261" s="20"/>
      <c r="C261" s="20"/>
      <c r="D261" s="20"/>
      <c r="E261" s="20"/>
      <c r="F261" s="3"/>
      <c r="G261" s="10"/>
      <c r="H261" s="3"/>
      <c r="I261" s="3"/>
      <c r="J261" s="3"/>
      <c r="K261" s="3"/>
    </row>
    <row r="262" spans="1:11" x14ac:dyDescent="0.3">
      <c r="A262" s="10"/>
      <c r="B262" s="20"/>
      <c r="C262" s="20"/>
      <c r="D262" s="20"/>
      <c r="E262" s="20"/>
      <c r="F262" s="3"/>
      <c r="G262" s="10"/>
      <c r="H262" s="3"/>
      <c r="I262" s="3"/>
      <c r="J262" s="3"/>
      <c r="K262" s="3"/>
    </row>
    <row r="263" spans="1:11" x14ac:dyDescent="0.3">
      <c r="A263" s="10"/>
      <c r="B263" s="20"/>
      <c r="C263" s="20"/>
      <c r="D263" s="20"/>
      <c r="E263" s="20"/>
      <c r="F263" s="3"/>
      <c r="G263" s="10"/>
      <c r="H263" s="3"/>
      <c r="I263" s="3"/>
      <c r="J263" s="3"/>
      <c r="K263" s="3"/>
    </row>
    <row r="264" spans="1:11" x14ac:dyDescent="0.3">
      <c r="A264" s="10"/>
      <c r="B264" s="20"/>
      <c r="C264" s="20"/>
      <c r="D264" s="20"/>
      <c r="E264" s="20"/>
      <c r="F264" s="3"/>
      <c r="G264" s="10"/>
      <c r="H264" s="3"/>
      <c r="I264" s="3"/>
      <c r="J264" s="3"/>
      <c r="K264" s="3"/>
    </row>
    <row r="265" spans="1:11" x14ac:dyDescent="0.3">
      <c r="A265" s="10"/>
      <c r="B265" s="20"/>
      <c r="C265" s="20"/>
      <c r="D265" s="20"/>
      <c r="E265" s="20"/>
      <c r="F265" s="3"/>
      <c r="G265" s="10"/>
      <c r="H265" s="3"/>
      <c r="I265" s="3"/>
      <c r="J265" s="3"/>
      <c r="K265" s="3"/>
    </row>
    <row r="266" spans="1:11" x14ac:dyDescent="0.3">
      <c r="A266" s="10"/>
      <c r="B266" s="20"/>
      <c r="C266" s="20"/>
      <c r="D266" s="20"/>
      <c r="E266" s="20"/>
      <c r="F266" s="3"/>
      <c r="G266" s="10"/>
      <c r="H266" s="3"/>
      <c r="I266" s="3"/>
      <c r="J266" s="3"/>
      <c r="K266" s="3"/>
    </row>
    <row r="267" spans="1:11" x14ac:dyDescent="0.3">
      <c r="A267" s="10"/>
      <c r="B267" s="20"/>
      <c r="C267" s="20"/>
      <c r="D267" s="20"/>
      <c r="E267" s="20"/>
      <c r="F267" s="3"/>
      <c r="G267" s="10"/>
      <c r="H267" s="3"/>
      <c r="I267" s="3"/>
      <c r="J267" s="3"/>
      <c r="K267" s="3"/>
    </row>
    <row r="268" spans="1:11" x14ac:dyDescent="0.3">
      <c r="A268" s="10"/>
      <c r="B268" s="20"/>
      <c r="C268" s="20"/>
      <c r="D268" s="20"/>
      <c r="E268" s="20"/>
      <c r="F268" s="3"/>
      <c r="G268" s="10"/>
      <c r="H268" s="3"/>
      <c r="I268" s="3"/>
      <c r="J268" s="3"/>
      <c r="K268" s="3"/>
    </row>
    <row r="269" spans="1:11" x14ac:dyDescent="0.3">
      <c r="A269" s="10"/>
      <c r="B269" s="20"/>
      <c r="C269" s="20"/>
      <c r="D269" s="20"/>
      <c r="E269" s="20"/>
      <c r="F269" s="3"/>
      <c r="G269" s="10"/>
      <c r="H269" s="3"/>
      <c r="I269" s="3"/>
      <c r="J269" s="3"/>
      <c r="K269" s="3"/>
    </row>
    <row r="270" spans="1:11" x14ac:dyDescent="0.3">
      <c r="A270" s="10"/>
      <c r="B270" s="20"/>
      <c r="C270" s="20"/>
      <c r="D270" s="20"/>
      <c r="E270" s="20"/>
      <c r="F270" s="3"/>
      <c r="G270" s="10"/>
      <c r="H270" s="3"/>
      <c r="I270" s="3"/>
      <c r="J270" s="3"/>
      <c r="K270" s="3"/>
    </row>
    <row r="271" spans="1:11" x14ac:dyDescent="0.3">
      <c r="A271" s="10"/>
      <c r="B271" s="20"/>
      <c r="C271" s="20"/>
      <c r="D271" s="20"/>
      <c r="E271" s="20"/>
      <c r="F271" s="3"/>
      <c r="G271" s="10"/>
      <c r="H271" s="3"/>
      <c r="I271" s="3"/>
      <c r="J271" s="3"/>
      <c r="K271" s="3"/>
    </row>
    <row r="272" spans="1:11" x14ac:dyDescent="0.3">
      <c r="A272" s="10"/>
      <c r="B272" s="20"/>
      <c r="C272" s="20"/>
      <c r="D272" s="20"/>
      <c r="E272" s="20"/>
      <c r="F272" s="3"/>
      <c r="G272" s="10"/>
      <c r="H272" s="3"/>
      <c r="I272" s="3"/>
      <c r="J272" s="3"/>
      <c r="K272" s="3"/>
    </row>
    <row r="273" spans="1:11" x14ac:dyDescent="0.3">
      <c r="A273" s="10"/>
      <c r="B273" s="20"/>
      <c r="C273" s="20"/>
      <c r="D273" s="20"/>
      <c r="E273" s="20"/>
      <c r="F273" s="3"/>
      <c r="G273" s="10"/>
      <c r="H273" s="3"/>
      <c r="I273" s="3"/>
      <c r="J273" s="3"/>
      <c r="K273" s="3"/>
    </row>
    <row r="274" spans="1:11" x14ac:dyDescent="0.3">
      <c r="A274" s="10"/>
      <c r="B274" s="20"/>
      <c r="C274" s="20"/>
      <c r="D274" s="20"/>
      <c r="E274" s="20"/>
      <c r="F274" s="3"/>
      <c r="G274" s="10"/>
      <c r="H274" s="3"/>
      <c r="I274" s="3"/>
      <c r="J274" s="3"/>
      <c r="K274" s="3"/>
    </row>
    <row r="275" spans="1:11" x14ac:dyDescent="0.3">
      <c r="A275" s="10"/>
      <c r="B275" s="20"/>
      <c r="C275" s="20"/>
      <c r="D275" s="20"/>
      <c r="E275" s="20"/>
      <c r="F275" s="3"/>
      <c r="G275" s="10"/>
      <c r="H275" s="3"/>
      <c r="I275" s="3"/>
      <c r="J275" s="3"/>
      <c r="K275" s="3"/>
    </row>
    <row r="276" spans="1:11" x14ac:dyDescent="0.3">
      <c r="A276" s="10"/>
      <c r="B276" s="20"/>
      <c r="C276" s="20"/>
      <c r="D276" s="20"/>
      <c r="E276" s="20"/>
      <c r="F276" s="3"/>
      <c r="G276" s="10"/>
      <c r="H276" s="3"/>
      <c r="I276" s="3"/>
      <c r="J276" s="3"/>
      <c r="K276" s="3"/>
    </row>
    <row r="277" spans="1:11" x14ac:dyDescent="0.3">
      <c r="A277" s="10"/>
      <c r="B277" s="20"/>
      <c r="C277" s="20"/>
      <c r="D277" s="20"/>
      <c r="E277" s="20"/>
      <c r="F277" s="3"/>
      <c r="G277" s="10"/>
      <c r="H277" s="3"/>
      <c r="I277" s="3"/>
      <c r="J277" s="3"/>
      <c r="K277" s="3"/>
    </row>
    <row r="278" spans="1:11" x14ac:dyDescent="0.3">
      <c r="A278" s="10"/>
      <c r="B278" s="20"/>
      <c r="C278" s="20"/>
      <c r="D278" s="20"/>
      <c r="E278" s="20"/>
      <c r="F278" s="3"/>
      <c r="G278" s="10"/>
      <c r="H278" s="3"/>
      <c r="I278" s="3"/>
      <c r="J278" s="3"/>
      <c r="K278" s="3"/>
    </row>
    <row r="279" spans="1:11" x14ac:dyDescent="0.3">
      <c r="A279" s="10"/>
      <c r="B279" s="20"/>
      <c r="C279" s="20"/>
      <c r="D279" s="20"/>
      <c r="E279" s="20"/>
      <c r="F279" s="3"/>
      <c r="G279" s="10"/>
      <c r="H279" s="3"/>
      <c r="I279" s="3"/>
      <c r="J279" s="3"/>
      <c r="K279" s="3"/>
    </row>
    <row r="280" spans="1:11" x14ac:dyDescent="0.3">
      <c r="A280" s="10"/>
      <c r="B280" s="20"/>
      <c r="C280" s="20"/>
      <c r="D280" s="20"/>
      <c r="E280" s="20"/>
      <c r="F280" s="3"/>
      <c r="G280" s="10"/>
      <c r="H280" s="3"/>
      <c r="I280" s="3"/>
      <c r="J280" s="3"/>
      <c r="K280" s="3"/>
    </row>
    <row r="281" spans="1:11" x14ac:dyDescent="0.3">
      <c r="A281" s="10"/>
      <c r="B281" s="20"/>
      <c r="C281" s="20"/>
      <c r="D281" s="20"/>
      <c r="E281" s="20"/>
      <c r="F281" s="3"/>
      <c r="G281" s="10"/>
      <c r="H281" s="3"/>
      <c r="I281" s="3"/>
      <c r="J281" s="3"/>
      <c r="K281" s="3"/>
    </row>
    <row r="282" spans="1:11" x14ac:dyDescent="0.3">
      <c r="A282" s="10"/>
      <c r="B282" s="20"/>
      <c r="C282" s="20"/>
      <c r="D282" s="20"/>
      <c r="E282" s="20"/>
      <c r="F282" s="3"/>
      <c r="G282" s="10"/>
      <c r="H282" s="3"/>
      <c r="I282" s="3"/>
      <c r="J282" s="3"/>
      <c r="K282" s="3"/>
    </row>
    <row r="283" spans="1:11" x14ac:dyDescent="0.3">
      <c r="A283" s="10"/>
      <c r="B283" s="20"/>
      <c r="C283" s="20"/>
      <c r="D283" s="20"/>
      <c r="E283" s="20"/>
      <c r="F283" s="3"/>
      <c r="G283" s="10"/>
      <c r="H283" s="3"/>
      <c r="I283" s="3"/>
      <c r="J283" s="3"/>
      <c r="K283" s="3"/>
    </row>
    <row r="284" spans="1:11" x14ac:dyDescent="0.3">
      <c r="A284" s="10"/>
      <c r="B284" s="20"/>
      <c r="C284" s="20"/>
      <c r="D284" s="20"/>
      <c r="E284" s="20"/>
      <c r="F284" s="3"/>
      <c r="G284" s="10"/>
      <c r="H284" s="3"/>
      <c r="I284" s="3"/>
      <c r="J284" s="3"/>
      <c r="K284" s="3"/>
    </row>
    <row r="285" spans="1:11" x14ac:dyDescent="0.3">
      <c r="A285" s="10"/>
      <c r="B285" s="20"/>
      <c r="C285" s="20"/>
      <c r="D285" s="20"/>
      <c r="E285" s="20"/>
      <c r="F285" s="3"/>
      <c r="G285" s="10"/>
      <c r="H285" s="3"/>
      <c r="I285" s="3"/>
      <c r="J285" s="3"/>
      <c r="K285" s="3"/>
    </row>
    <row r="286" spans="1:11" x14ac:dyDescent="0.3">
      <c r="A286" s="10"/>
      <c r="B286" s="20"/>
      <c r="C286" s="20"/>
      <c r="D286" s="20"/>
      <c r="E286" s="20"/>
      <c r="F286" s="3"/>
      <c r="G286" s="10"/>
      <c r="H286" s="3"/>
      <c r="I286" s="3"/>
      <c r="J286" s="3"/>
      <c r="K286" s="3"/>
    </row>
    <row r="287" spans="1:11" x14ac:dyDescent="0.3">
      <c r="A287" s="10"/>
      <c r="B287" s="20"/>
      <c r="C287" s="20"/>
      <c r="D287" s="20"/>
      <c r="E287" s="20"/>
      <c r="F287" s="3"/>
      <c r="G287" s="10"/>
      <c r="H287" s="3"/>
      <c r="I287" s="3"/>
      <c r="J287" s="3"/>
      <c r="K287" s="3"/>
    </row>
    <row r="288" spans="1:11" x14ac:dyDescent="0.3">
      <c r="A288" s="10"/>
      <c r="B288" s="20"/>
      <c r="C288" s="20"/>
      <c r="D288" s="20"/>
      <c r="E288" s="20"/>
      <c r="F288" s="3"/>
      <c r="G288" s="10"/>
      <c r="H288" s="3"/>
      <c r="I288" s="3"/>
      <c r="J288" s="3"/>
      <c r="K288" s="3"/>
    </row>
    <row r="289" spans="1:11" x14ac:dyDescent="0.3">
      <c r="A289" s="10"/>
      <c r="B289" s="20"/>
      <c r="C289" s="20"/>
      <c r="D289" s="20"/>
      <c r="E289" s="20"/>
      <c r="F289" s="3"/>
      <c r="G289" s="10"/>
      <c r="H289" s="3"/>
      <c r="I289" s="3"/>
      <c r="J289" s="3"/>
      <c r="K289" s="3"/>
    </row>
    <row r="290" spans="1:11" x14ac:dyDescent="0.3">
      <c r="A290" s="10"/>
      <c r="B290" s="20"/>
      <c r="C290" s="20"/>
      <c r="D290" s="20"/>
      <c r="E290" s="20"/>
      <c r="F290" s="3"/>
      <c r="G290" s="10"/>
      <c r="H290" s="3"/>
      <c r="I290" s="3"/>
      <c r="J290" s="3"/>
      <c r="K290" s="3"/>
    </row>
    <row r="291" spans="1:11" x14ac:dyDescent="0.3">
      <c r="A291" s="10"/>
      <c r="B291" s="20"/>
      <c r="C291" s="20"/>
      <c r="D291" s="20"/>
      <c r="E291" s="20"/>
      <c r="F291" s="3"/>
      <c r="G291" s="10"/>
      <c r="H291" s="3"/>
      <c r="I291" s="3"/>
      <c r="J291" s="3"/>
      <c r="K291" s="3"/>
    </row>
    <row r="292" spans="1:11" x14ac:dyDescent="0.3">
      <c r="A292" s="10"/>
      <c r="B292" s="20"/>
      <c r="C292" s="20"/>
      <c r="D292" s="20"/>
      <c r="E292" s="20"/>
      <c r="F292" s="3"/>
      <c r="G292" s="10"/>
      <c r="H292" s="3"/>
      <c r="I292" s="3"/>
      <c r="J292" s="3"/>
      <c r="K292" s="3"/>
    </row>
    <row r="293" spans="1:11" x14ac:dyDescent="0.3">
      <c r="A293" s="10"/>
      <c r="B293" s="20"/>
      <c r="C293" s="20"/>
      <c r="D293" s="20"/>
      <c r="E293" s="20"/>
      <c r="F293" s="3"/>
      <c r="G293" s="10"/>
      <c r="H293" s="3"/>
      <c r="I293" s="3"/>
      <c r="J293" s="3"/>
      <c r="K293" s="3"/>
    </row>
    <row r="294" spans="1:11" x14ac:dyDescent="0.3">
      <c r="A294" s="10"/>
      <c r="B294" s="20"/>
      <c r="C294" s="20"/>
      <c r="D294" s="20"/>
      <c r="E294" s="20"/>
      <c r="F294" s="3"/>
      <c r="G294" s="10"/>
      <c r="H294" s="3"/>
      <c r="I294" s="3"/>
      <c r="J294" s="3"/>
      <c r="K294" s="3"/>
    </row>
    <row r="295" spans="1:11" x14ac:dyDescent="0.3">
      <c r="A295" s="10"/>
      <c r="B295" s="20"/>
      <c r="C295" s="20"/>
      <c r="D295" s="20"/>
      <c r="E295" s="20"/>
      <c r="F295" s="3"/>
      <c r="G295" s="10"/>
      <c r="H295" s="3"/>
      <c r="I295" s="3"/>
      <c r="J295" s="3"/>
      <c r="K295" s="3"/>
    </row>
    <row r="296" spans="1:11" x14ac:dyDescent="0.3">
      <c r="A296" s="10"/>
      <c r="B296" s="20"/>
      <c r="C296" s="20"/>
      <c r="D296" s="20"/>
      <c r="E296" s="20"/>
      <c r="F296" s="3"/>
      <c r="G296" s="10"/>
      <c r="H296" s="3"/>
      <c r="I296" s="3"/>
      <c r="J296" s="3"/>
      <c r="K296" s="3"/>
    </row>
    <row r="297" spans="1:11" x14ac:dyDescent="0.3">
      <c r="A297" s="10"/>
      <c r="B297" s="20"/>
      <c r="C297" s="20"/>
      <c r="D297" s="20"/>
      <c r="E297" s="20"/>
      <c r="F297" s="3"/>
      <c r="G297" s="10"/>
      <c r="H297" s="3"/>
      <c r="I297" s="3"/>
      <c r="J297" s="3"/>
      <c r="K297" s="3"/>
    </row>
    <row r="298" spans="1:11" x14ac:dyDescent="0.3">
      <c r="A298" s="10"/>
      <c r="B298" s="20"/>
      <c r="C298" s="20"/>
      <c r="D298" s="20"/>
      <c r="E298" s="20"/>
      <c r="F298" s="3"/>
      <c r="G298" s="10"/>
      <c r="H298" s="3"/>
      <c r="I298" s="3"/>
      <c r="J298" s="3"/>
      <c r="K298" s="3"/>
    </row>
    <row r="299" spans="1:11" x14ac:dyDescent="0.3">
      <c r="A299" s="10"/>
      <c r="B299" s="20"/>
      <c r="C299" s="20"/>
      <c r="D299" s="20"/>
      <c r="E299" s="20"/>
      <c r="F299" s="3"/>
      <c r="G299" s="10"/>
      <c r="H299" s="3"/>
      <c r="I299" s="3"/>
      <c r="J299" s="3"/>
      <c r="K299" s="3"/>
    </row>
    <row r="300" spans="1:11" x14ac:dyDescent="0.3">
      <c r="A300" s="10"/>
      <c r="B300" s="20"/>
      <c r="C300" s="20"/>
      <c r="D300" s="20"/>
      <c r="E300" s="20"/>
      <c r="F300" s="3"/>
      <c r="G300" s="10"/>
      <c r="H300" s="3"/>
      <c r="I300" s="3"/>
      <c r="J300" s="3"/>
      <c r="K300" s="3"/>
    </row>
    <row r="301" spans="1:11" x14ac:dyDescent="0.3">
      <c r="A301" s="10"/>
      <c r="B301" s="20"/>
      <c r="C301" s="20"/>
      <c r="D301" s="20"/>
      <c r="E301" s="20"/>
      <c r="F301" s="3"/>
      <c r="G301" s="10"/>
      <c r="H301" s="3"/>
      <c r="I301" s="3"/>
      <c r="J301" s="3"/>
      <c r="K301" s="3"/>
    </row>
    <row r="302" spans="1:11" x14ac:dyDescent="0.3">
      <c r="A302" s="10"/>
      <c r="B302" s="20"/>
      <c r="C302" s="20"/>
      <c r="D302" s="20"/>
      <c r="E302" s="20"/>
      <c r="F302" s="3"/>
      <c r="G302" s="10"/>
      <c r="H302" s="3"/>
      <c r="I302" s="3"/>
      <c r="J302" s="3"/>
      <c r="K302" s="3"/>
    </row>
    <row r="303" spans="1:11" x14ac:dyDescent="0.3">
      <c r="A303" s="10"/>
      <c r="B303" s="20"/>
      <c r="C303" s="20"/>
      <c r="D303" s="20"/>
      <c r="E303" s="20"/>
      <c r="F303" s="3"/>
      <c r="G303" s="10"/>
      <c r="H303" s="3"/>
      <c r="I303" s="3"/>
      <c r="J303" s="3"/>
      <c r="K303" s="3"/>
    </row>
    <row r="304" spans="1:11" x14ac:dyDescent="0.3">
      <c r="A304" s="10"/>
      <c r="B304" s="20"/>
      <c r="C304" s="20"/>
      <c r="D304" s="20"/>
      <c r="E304" s="20"/>
      <c r="F304" s="3"/>
      <c r="G304" s="10"/>
      <c r="H304" s="3"/>
      <c r="I304" s="3"/>
      <c r="J304" s="3"/>
      <c r="K304" s="3"/>
    </row>
    <row r="305" spans="1:11" x14ac:dyDescent="0.3">
      <c r="A305" s="10"/>
      <c r="B305" s="20"/>
      <c r="C305" s="20"/>
      <c r="D305" s="20"/>
      <c r="E305" s="20"/>
      <c r="F305" s="3"/>
      <c r="G305" s="10"/>
      <c r="H305" s="3"/>
      <c r="I305" s="3"/>
      <c r="J305" s="3"/>
      <c r="K305" s="3"/>
    </row>
    <row r="306" spans="1:11" x14ac:dyDescent="0.3">
      <c r="A306" s="10"/>
      <c r="B306" s="20"/>
      <c r="C306" s="20"/>
      <c r="D306" s="20"/>
      <c r="E306" s="20"/>
      <c r="F306" s="3"/>
      <c r="G306" s="10"/>
      <c r="H306" s="3"/>
      <c r="I306" s="3"/>
      <c r="J306" s="3"/>
      <c r="K306" s="3"/>
    </row>
    <row r="307" spans="1:11" x14ac:dyDescent="0.3">
      <c r="A307" s="10"/>
      <c r="B307" s="20"/>
      <c r="C307" s="20"/>
      <c r="D307" s="20"/>
      <c r="E307" s="20"/>
      <c r="F307" s="3"/>
      <c r="G307" s="10"/>
      <c r="H307" s="3"/>
      <c r="I307" s="3"/>
      <c r="J307" s="3"/>
      <c r="K307" s="3"/>
    </row>
    <row r="308" spans="1:11" x14ac:dyDescent="0.3">
      <c r="A308" s="10"/>
      <c r="B308" s="20"/>
      <c r="C308" s="20"/>
      <c r="D308" s="20"/>
      <c r="E308" s="20"/>
      <c r="F308" s="3"/>
      <c r="G308" s="10"/>
      <c r="H308" s="3"/>
      <c r="I308" s="3"/>
      <c r="J308" s="3"/>
      <c r="K308" s="3"/>
    </row>
    <row r="309" spans="1:11" x14ac:dyDescent="0.3">
      <c r="A309" s="10"/>
      <c r="B309" s="20"/>
      <c r="C309" s="20"/>
      <c r="D309" s="20"/>
      <c r="E309" s="20"/>
      <c r="F309" s="3"/>
      <c r="G309" s="10"/>
      <c r="H309" s="3"/>
      <c r="I309" s="3"/>
      <c r="J309" s="3"/>
      <c r="K309" s="3"/>
    </row>
    <row r="310" spans="1:11" x14ac:dyDescent="0.3">
      <c r="A310" s="10"/>
      <c r="B310" s="20"/>
      <c r="C310" s="20"/>
      <c r="D310" s="20"/>
      <c r="E310" s="20"/>
      <c r="F310" s="3"/>
      <c r="G310" s="10"/>
      <c r="H310" s="3"/>
      <c r="I310" s="3"/>
      <c r="J310" s="3"/>
      <c r="K310" s="3"/>
    </row>
    <row r="311" spans="1:11" x14ac:dyDescent="0.3">
      <c r="A311" s="10"/>
      <c r="B311" s="20"/>
      <c r="C311" s="20"/>
      <c r="D311" s="20"/>
      <c r="E311" s="20"/>
      <c r="F311" s="3"/>
      <c r="G311" s="10"/>
      <c r="H311" s="3"/>
      <c r="I311" s="3"/>
      <c r="J311" s="3"/>
      <c r="K311" s="3"/>
    </row>
    <row r="312" spans="1:11" x14ac:dyDescent="0.3">
      <c r="A312" s="10"/>
      <c r="B312" s="20"/>
      <c r="C312" s="20"/>
      <c r="D312" s="20"/>
      <c r="E312" s="20"/>
      <c r="F312" s="3"/>
      <c r="G312" s="10"/>
      <c r="H312" s="3"/>
      <c r="I312" s="3"/>
      <c r="J312" s="3"/>
      <c r="K312" s="3"/>
    </row>
    <row r="313" spans="1:11" x14ac:dyDescent="0.3">
      <c r="A313" s="10"/>
      <c r="B313" s="20"/>
      <c r="C313" s="20"/>
      <c r="D313" s="20"/>
      <c r="E313" s="20"/>
      <c r="F313" s="3"/>
      <c r="G313" s="10"/>
      <c r="H313" s="3"/>
      <c r="I313" s="3"/>
      <c r="J313" s="3"/>
      <c r="K313" s="3"/>
    </row>
    <row r="314" spans="1:11" x14ac:dyDescent="0.3">
      <c r="A314" s="10"/>
      <c r="B314" s="20"/>
      <c r="C314" s="20"/>
      <c r="D314" s="20"/>
      <c r="E314" s="20"/>
      <c r="F314" s="3"/>
      <c r="G314" s="10"/>
      <c r="H314" s="3"/>
      <c r="I314" s="3"/>
      <c r="J314" s="3"/>
      <c r="K314" s="3"/>
    </row>
    <row r="315" spans="1:11" x14ac:dyDescent="0.3">
      <c r="A315" s="10"/>
      <c r="B315" s="20"/>
      <c r="C315" s="20"/>
      <c r="D315" s="20"/>
      <c r="E315" s="20"/>
      <c r="F315" s="3"/>
      <c r="G315" s="10"/>
      <c r="H315" s="3"/>
      <c r="I315" s="3"/>
      <c r="J315" s="3"/>
      <c r="K315" s="3"/>
    </row>
    <row r="316" spans="1:11" x14ac:dyDescent="0.3">
      <c r="A316" s="10"/>
      <c r="B316" s="20"/>
      <c r="C316" s="20"/>
      <c r="D316" s="20"/>
      <c r="E316" s="20"/>
      <c r="F316" s="3"/>
      <c r="G316" s="10"/>
      <c r="H316" s="3"/>
      <c r="I316" s="3"/>
      <c r="J316" s="3"/>
      <c r="K316" s="3"/>
    </row>
    <row r="317" spans="1:11" x14ac:dyDescent="0.3">
      <c r="A317" s="10"/>
      <c r="B317" s="20"/>
      <c r="C317" s="20"/>
      <c r="D317" s="20"/>
      <c r="E317" s="20"/>
      <c r="F317" s="3"/>
      <c r="G317" s="10"/>
      <c r="H317" s="3"/>
      <c r="I317" s="3"/>
      <c r="J317" s="3"/>
      <c r="K317" s="3"/>
    </row>
    <row r="318" spans="1:11" x14ac:dyDescent="0.3">
      <c r="A318" s="10"/>
      <c r="B318" s="20"/>
      <c r="C318" s="20"/>
      <c r="D318" s="20"/>
      <c r="E318" s="20"/>
      <c r="F318" s="3"/>
      <c r="G318" s="10"/>
      <c r="H318" s="3"/>
      <c r="I318" s="3"/>
      <c r="J318" s="3"/>
      <c r="K318" s="3"/>
    </row>
    <row r="319" spans="1:11" x14ac:dyDescent="0.3">
      <c r="A319" s="10"/>
      <c r="B319" s="20"/>
      <c r="C319" s="20"/>
      <c r="D319" s="20"/>
      <c r="E319" s="20"/>
      <c r="F319" s="3"/>
      <c r="G319" s="10"/>
      <c r="H319" s="3"/>
      <c r="I319" s="3"/>
      <c r="J319" s="3"/>
      <c r="K319" s="3"/>
    </row>
    <row r="320" spans="1:11" x14ac:dyDescent="0.3">
      <c r="A320" s="10"/>
      <c r="B320" s="20"/>
      <c r="C320" s="20"/>
      <c r="D320" s="20"/>
      <c r="E320" s="20"/>
      <c r="F320" s="3"/>
      <c r="G320" s="10"/>
      <c r="H320" s="3"/>
      <c r="I320" s="3"/>
      <c r="J320" s="3"/>
      <c r="K320" s="3"/>
    </row>
    <row r="321" spans="1:11" x14ac:dyDescent="0.3">
      <c r="A321" s="10"/>
      <c r="B321" s="20"/>
      <c r="C321" s="20"/>
      <c r="D321" s="20"/>
      <c r="E321" s="20"/>
      <c r="F321" s="3"/>
      <c r="G321" s="10"/>
      <c r="H321" s="3"/>
      <c r="I321" s="3"/>
      <c r="J321" s="3"/>
      <c r="K321" s="3"/>
    </row>
    <row r="322" spans="1:11" x14ac:dyDescent="0.3">
      <c r="A322" s="10"/>
      <c r="B322" s="20"/>
      <c r="C322" s="20"/>
      <c r="D322" s="20"/>
      <c r="E322" s="20"/>
      <c r="F322" s="3"/>
      <c r="G322" s="10"/>
      <c r="H322" s="3"/>
      <c r="I322" s="3"/>
      <c r="J322" s="3"/>
      <c r="K322" s="3"/>
    </row>
    <row r="323" spans="1:11" x14ac:dyDescent="0.3">
      <c r="A323" s="10"/>
      <c r="B323" s="20"/>
      <c r="C323" s="20"/>
      <c r="D323" s="20"/>
      <c r="E323" s="20"/>
      <c r="F323" s="3"/>
      <c r="G323" s="10"/>
      <c r="H323" s="3"/>
      <c r="I323" s="3"/>
      <c r="J323" s="3"/>
      <c r="K323" s="3"/>
    </row>
    <row r="324" spans="1:11" x14ac:dyDescent="0.3">
      <c r="A324" s="10"/>
      <c r="B324" s="20"/>
      <c r="C324" s="20"/>
      <c r="D324" s="20"/>
      <c r="E324" s="20"/>
      <c r="F324" s="3"/>
      <c r="G324" s="10"/>
      <c r="H324" s="3"/>
      <c r="I324" s="3"/>
      <c r="J324" s="3"/>
      <c r="K324" s="3"/>
    </row>
    <row r="325" spans="1:11" x14ac:dyDescent="0.3">
      <c r="A325" s="10"/>
      <c r="B325" s="20"/>
      <c r="C325" s="20"/>
      <c r="D325" s="20"/>
      <c r="E325" s="20"/>
      <c r="F325" s="3"/>
      <c r="G325" s="10"/>
      <c r="H325" s="3"/>
      <c r="I325" s="3"/>
      <c r="J325" s="3"/>
      <c r="K325" s="3"/>
    </row>
    <row r="326" spans="1:11" x14ac:dyDescent="0.3">
      <c r="A326" s="10"/>
      <c r="B326" s="20"/>
      <c r="C326" s="20"/>
      <c r="D326" s="20"/>
      <c r="E326" s="20"/>
      <c r="F326" s="3"/>
      <c r="G326" s="10"/>
      <c r="H326" s="3"/>
      <c r="I326" s="3"/>
      <c r="J326" s="3"/>
      <c r="K326" s="3"/>
    </row>
    <row r="327" spans="1:11" x14ac:dyDescent="0.3">
      <c r="A327" s="10"/>
      <c r="B327" s="20"/>
      <c r="C327" s="20"/>
      <c r="D327" s="20"/>
      <c r="E327" s="20"/>
      <c r="F327" s="3"/>
      <c r="G327" s="10"/>
      <c r="H327" s="3"/>
      <c r="I327" s="3"/>
      <c r="J327" s="3"/>
      <c r="K327" s="3"/>
    </row>
    <row r="328" spans="1:11" x14ac:dyDescent="0.3">
      <c r="A328" s="10"/>
      <c r="B328" s="20"/>
      <c r="C328" s="20"/>
      <c r="D328" s="20"/>
      <c r="E328" s="20"/>
      <c r="F328" s="3"/>
      <c r="G328" s="10"/>
      <c r="H328" s="3"/>
      <c r="I328" s="3"/>
      <c r="J328" s="3"/>
      <c r="K328" s="3"/>
    </row>
    <row r="329" spans="1:11" x14ac:dyDescent="0.3">
      <c r="A329" s="10"/>
      <c r="B329" s="20"/>
      <c r="C329" s="20"/>
      <c r="D329" s="20"/>
      <c r="E329" s="20"/>
      <c r="F329" s="3"/>
      <c r="G329" s="10"/>
      <c r="H329" s="3"/>
      <c r="I329" s="3"/>
      <c r="J329" s="3"/>
      <c r="K329" s="3"/>
    </row>
    <row r="330" spans="1:11" x14ac:dyDescent="0.3">
      <c r="A330" s="10"/>
      <c r="B330" s="20"/>
      <c r="C330" s="20"/>
      <c r="D330" s="20"/>
      <c r="E330" s="20"/>
      <c r="F330" s="3"/>
      <c r="G330" s="10"/>
      <c r="H330" s="3"/>
      <c r="I330" s="3"/>
      <c r="J330" s="3"/>
      <c r="K330" s="3"/>
    </row>
    <row r="331" spans="1:11" x14ac:dyDescent="0.3">
      <c r="A331" s="10"/>
      <c r="B331" s="20"/>
      <c r="C331" s="20"/>
      <c r="D331" s="20"/>
      <c r="E331" s="20"/>
      <c r="F331" s="3"/>
      <c r="G331" s="10"/>
      <c r="H331" s="3"/>
      <c r="I331" s="3"/>
      <c r="J331" s="3"/>
      <c r="K331" s="3"/>
    </row>
    <row r="332" spans="1:11" x14ac:dyDescent="0.3">
      <c r="A332" s="10"/>
      <c r="B332" s="20"/>
      <c r="C332" s="20"/>
      <c r="D332" s="20"/>
      <c r="E332" s="20"/>
      <c r="F332" s="3"/>
      <c r="G332" s="10"/>
      <c r="H332" s="3"/>
      <c r="I332" s="3"/>
      <c r="J332" s="3"/>
      <c r="K332" s="3"/>
    </row>
    <row r="333" spans="1:11" x14ac:dyDescent="0.3">
      <c r="A333" s="10"/>
      <c r="B333" s="20"/>
      <c r="C333" s="20"/>
      <c r="D333" s="20"/>
      <c r="E333" s="20"/>
      <c r="F333" s="3"/>
      <c r="G333" s="10"/>
      <c r="H333" s="3"/>
      <c r="I333" s="3"/>
      <c r="J333" s="3"/>
      <c r="K333" s="3"/>
    </row>
    <row r="334" spans="1:11" x14ac:dyDescent="0.3">
      <c r="A334" s="10"/>
      <c r="B334" s="20"/>
      <c r="C334" s="20"/>
      <c r="D334" s="20"/>
      <c r="E334" s="20"/>
      <c r="F334" s="3"/>
      <c r="G334" s="10"/>
      <c r="H334" s="3"/>
      <c r="I334" s="3"/>
      <c r="J334" s="3"/>
      <c r="K334" s="3"/>
    </row>
    <row r="335" spans="1:11" x14ac:dyDescent="0.3">
      <c r="A335" s="10"/>
      <c r="B335" s="20"/>
      <c r="C335" s="20"/>
      <c r="D335" s="20"/>
      <c r="E335" s="20"/>
      <c r="F335" s="3"/>
      <c r="G335" s="10"/>
      <c r="H335" s="3"/>
      <c r="I335" s="3"/>
      <c r="J335" s="3"/>
      <c r="K335" s="3"/>
    </row>
    <row r="336" spans="1:11" x14ac:dyDescent="0.3">
      <c r="A336" s="10"/>
      <c r="B336" s="20"/>
      <c r="C336" s="20"/>
      <c r="D336" s="20"/>
      <c r="E336" s="20"/>
      <c r="F336" s="3"/>
      <c r="G336" s="10"/>
      <c r="H336" s="3"/>
      <c r="I336" s="3"/>
      <c r="J336" s="3"/>
      <c r="K336" s="3"/>
    </row>
    <row r="337" spans="1:11" x14ac:dyDescent="0.3">
      <c r="A337" s="10"/>
      <c r="B337" s="20"/>
      <c r="C337" s="20"/>
      <c r="D337" s="20"/>
      <c r="E337" s="20"/>
      <c r="F337" s="3"/>
      <c r="G337" s="10"/>
      <c r="H337" s="3"/>
      <c r="I337" s="3"/>
      <c r="J337" s="3"/>
      <c r="K337" s="3"/>
    </row>
    <row r="338" spans="1:11" x14ac:dyDescent="0.3">
      <c r="A338" s="10"/>
      <c r="B338" s="20"/>
      <c r="C338" s="20"/>
      <c r="D338" s="20"/>
      <c r="E338" s="20"/>
      <c r="F338" s="3"/>
      <c r="G338" s="10"/>
      <c r="H338" s="3"/>
      <c r="I338" s="3"/>
      <c r="J338" s="3"/>
      <c r="K338" s="3"/>
    </row>
    <row r="339" spans="1:11" x14ac:dyDescent="0.3">
      <c r="A339" s="10"/>
      <c r="B339" s="20"/>
      <c r="C339" s="20"/>
      <c r="D339" s="20"/>
      <c r="E339" s="20"/>
      <c r="F339" s="3"/>
      <c r="G339" s="10"/>
      <c r="H339" s="3"/>
      <c r="I339" s="3"/>
      <c r="J339" s="3"/>
      <c r="K339" s="3"/>
    </row>
    <row r="340" spans="1:11" x14ac:dyDescent="0.3">
      <c r="A340" s="10"/>
      <c r="B340" s="20"/>
      <c r="C340" s="20"/>
      <c r="D340" s="20"/>
      <c r="E340" s="20"/>
      <c r="F340" s="3"/>
      <c r="G340" s="10"/>
      <c r="H340" s="3"/>
      <c r="I340" s="3"/>
      <c r="J340" s="3"/>
      <c r="K340" s="3"/>
    </row>
    <row r="341" spans="1:11" x14ac:dyDescent="0.3">
      <c r="A341" s="10"/>
      <c r="B341" s="20"/>
      <c r="C341" s="20"/>
      <c r="D341" s="20"/>
      <c r="E341" s="20"/>
      <c r="F341" s="3"/>
      <c r="G341" s="10"/>
      <c r="H341" s="3"/>
      <c r="I341" s="3"/>
      <c r="J341" s="3"/>
      <c r="K341" s="3"/>
    </row>
    <row r="342" spans="1:11" x14ac:dyDescent="0.3">
      <c r="A342" s="10"/>
      <c r="B342" s="20"/>
      <c r="C342" s="20"/>
      <c r="D342" s="20"/>
      <c r="E342" s="20"/>
      <c r="F342" s="3"/>
      <c r="G342" s="10"/>
      <c r="H342" s="3"/>
      <c r="I342" s="3"/>
      <c r="J342" s="3"/>
      <c r="K342" s="3"/>
    </row>
    <row r="343" spans="1:11" x14ac:dyDescent="0.3">
      <c r="A343" s="10"/>
      <c r="B343" s="20"/>
      <c r="C343" s="20"/>
      <c r="D343" s="20"/>
      <c r="E343" s="20"/>
      <c r="F343" s="3"/>
      <c r="G343" s="10"/>
      <c r="H343" s="3"/>
      <c r="I343" s="3"/>
      <c r="J343" s="3"/>
      <c r="K343" s="3"/>
    </row>
    <row r="344" spans="1:11" x14ac:dyDescent="0.3">
      <c r="A344" s="10"/>
      <c r="B344" s="20"/>
      <c r="C344" s="20"/>
      <c r="D344" s="20"/>
      <c r="E344" s="20"/>
      <c r="F344" s="3"/>
      <c r="G344" s="10"/>
      <c r="H344" s="3"/>
      <c r="I344" s="3"/>
      <c r="J344" s="3"/>
      <c r="K344" s="3"/>
    </row>
    <row r="345" spans="1:11" x14ac:dyDescent="0.3">
      <c r="A345" s="10"/>
      <c r="B345" s="20"/>
      <c r="C345" s="20"/>
      <c r="D345" s="20"/>
      <c r="E345" s="20"/>
      <c r="F345" s="3"/>
      <c r="G345" s="10"/>
      <c r="H345" s="3"/>
      <c r="I345" s="3"/>
      <c r="J345" s="3"/>
      <c r="K345" s="3"/>
    </row>
    <row r="346" spans="1:11" x14ac:dyDescent="0.3">
      <c r="A346" s="10"/>
      <c r="B346" s="20"/>
      <c r="C346" s="20"/>
      <c r="D346" s="20"/>
      <c r="E346" s="20"/>
      <c r="F346" s="3"/>
      <c r="G346" s="10"/>
      <c r="H346" s="3"/>
      <c r="I346" s="3"/>
      <c r="J346" s="3"/>
      <c r="K346" s="3"/>
    </row>
    <row r="347" spans="1:11" x14ac:dyDescent="0.3">
      <c r="A347" s="10"/>
      <c r="B347" s="20"/>
      <c r="C347" s="20"/>
      <c r="D347" s="20"/>
      <c r="E347" s="20"/>
      <c r="F347" s="3"/>
      <c r="G347" s="10"/>
      <c r="H347" s="3"/>
      <c r="I347" s="3"/>
      <c r="J347" s="3"/>
      <c r="K347" s="3"/>
    </row>
    <row r="348" spans="1:11" x14ac:dyDescent="0.3">
      <c r="A348" s="10"/>
      <c r="B348" s="20"/>
      <c r="C348" s="20"/>
      <c r="D348" s="20"/>
      <c r="E348" s="20"/>
      <c r="F348" s="3"/>
      <c r="G348" s="10"/>
      <c r="H348" s="3"/>
      <c r="I348" s="3"/>
      <c r="J348" s="3"/>
      <c r="K348" s="3"/>
    </row>
    <row r="349" spans="1:11" x14ac:dyDescent="0.3">
      <c r="A349" s="10"/>
      <c r="B349" s="20"/>
      <c r="C349" s="20"/>
      <c r="D349" s="20"/>
      <c r="E349" s="20"/>
      <c r="F349" s="3"/>
      <c r="G349" s="10"/>
      <c r="H349" s="3"/>
      <c r="I349" s="3"/>
      <c r="J349" s="3"/>
      <c r="K349" s="3"/>
    </row>
    <row r="350" spans="1:11" x14ac:dyDescent="0.3">
      <c r="A350" s="10"/>
      <c r="B350" s="20"/>
      <c r="C350" s="20"/>
      <c r="D350" s="20"/>
      <c r="E350" s="20"/>
      <c r="F350" s="3"/>
      <c r="G350" s="10"/>
      <c r="H350" s="3"/>
      <c r="I350" s="3"/>
      <c r="J350" s="3"/>
      <c r="K350" s="3"/>
    </row>
    <row r="351" spans="1:11" x14ac:dyDescent="0.3">
      <c r="A351" s="10"/>
      <c r="B351" s="20"/>
      <c r="C351" s="20"/>
      <c r="D351" s="20"/>
      <c r="E351" s="20"/>
      <c r="F351" s="3"/>
      <c r="G351" s="10"/>
      <c r="H351" s="3"/>
      <c r="I351" s="3"/>
      <c r="J351" s="3"/>
      <c r="K351" s="3"/>
    </row>
    <row r="352" spans="1:11" x14ac:dyDescent="0.3">
      <c r="A352" s="10"/>
      <c r="B352" s="20"/>
      <c r="C352" s="20"/>
      <c r="D352" s="20"/>
      <c r="E352" s="20"/>
      <c r="F352" s="3"/>
      <c r="G352" s="10"/>
      <c r="H352" s="3"/>
      <c r="I352" s="3"/>
      <c r="J352" s="3"/>
      <c r="K352" s="3"/>
    </row>
    <row r="353" spans="1:11" x14ac:dyDescent="0.3">
      <c r="A353" s="10"/>
      <c r="B353" s="20"/>
      <c r="C353" s="20"/>
      <c r="D353" s="20"/>
      <c r="E353" s="20"/>
      <c r="F353" s="3"/>
      <c r="G353" s="10"/>
      <c r="H353" s="3"/>
      <c r="I353" s="3"/>
      <c r="J353" s="3"/>
      <c r="K353" s="3"/>
    </row>
    <row r="354" spans="1:11" x14ac:dyDescent="0.3">
      <c r="A354" s="10"/>
      <c r="B354" s="20"/>
      <c r="C354" s="20"/>
      <c r="D354" s="20"/>
      <c r="E354" s="20"/>
      <c r="F354" s="3"/>
      <c r="G354" s="10"/>
      <c r="H354" s="3"/>
      <c r="I354" s="3"/>
      <c r="J354" s="3"/>
      <c r="K354" s="3"/>
    </row>
    <row r="355" spans="1:11" x14ac:dyDescent="0.3">
      <c r="A355" s="10"/>
      <c r="B355" s="20"/>
      <c r="C355" s="20"/>
      <c r="D355" s="20"/>
      <c r="E355" s="20"/>
      <c r="F355" s="3"/>
      <c r="G355" s="10"/>
      <c r="H355" s="3"/>
      <c r="I355" s="3"/>
      <c r="J355" s="3"/>
      <c r="K355" s="3"/>
    </row>
    <row r="356" spans="1:11" x14ac:dyDescent="0.3">
      <c r="A356" s="10"/>
      <c r="B356" s="20"/>
      <c r="C356" s="20"/>
      <c r="D356" s="20"/>
      <c r="E356" s="20"/>
      <c r="F356" s="3"/>
      <c r="G356" s="10"/>
      <c r="H356" s="3"/>
      <c r="I356" s="3"/>
      <c r="J356" s="3"/>
      <c r="K356" s="3"/>
    </row>
    <row r="357" spans="1:11" x14ac:dyDescent="0.3">
      <c r="A357" s="10"/>
      <c r="B357" s="20"/>
      <c r="C357" s="20"/>
      <c r="D357" s="20"/>
      <c r="E357" s="20"/>
      <c r="F357" s="3"/>
      <c r="G357" s="10"/>
      <c r="H357" s="3"/>
      <c r="I357" s="3"/>
      <c r="J357" s="3"/>
      <c r="K357" s="3"/>
    </row>
    <row r="358" spans="1:11" x14ac:dyDescent="0.3">
      <c r="A358" s="10"/>
      <c r="B358" s="20"/>
      <c r="C358" s="20"/>
      <c r="D358" s="20"/>
      <c r="E358" s="20"/>
      <c r="F358" s="3"/>
      <c r="G358" s="10"/>
      <c r="H358" s="3"/>
      <c r="I358" s="3"/>
      <c r="J358" s="3"/>
      <c r="K358" s="3"/>
    </row>
    <row r="359" spans="1:11" x14ac:dyDescent="0.3">
      <c r="A359" s="10"/>
      <c r="B359" s="20"/>
      <c r="C359" s="20"/>
      <c r="D359" s="20"/>
      <c r="E359" s="20"/>
      <c r="F359" s="3"/>
      <c r="G359" s="10"/>
      <c r="H359" s="3"/>
      <c r="I359" s="3"/>
      <c r="J359" s="3"/>
      <c r="K359" s="3"/>
    </row>
    <row r="360" spans="1:11" x14ac:dyDescent="0.3">
      <c r="A360" s="10"/>
      <c r="B360" s="20"/>
      <c r="C360" s="20"/>
      <c r="D360" s="20"/>
      <c r="E360" s="20"/>
      <c r="F360" s="3"/>
      <c r="G360" s="10"/>
      <c r="H360" s="3"/>
      <c r="I360" s="3"/>
      <c r="J360" s="3"/>
      <c r="K360" s="3"/>
    </row>
    <row r="361" spans="1:11" x14ac:dyDescent="0.3">
      <c r="A361" s="10"/>
      <c r="B361" s="20"/>
      <c r="C361" s="20"/>
      <c r="D361" s="20"/>
      <c r="E361" s="20"/>
      <c r="F361" s="3"/>
      <c r="G361" s="10"/>
      <c r="H361" s="3"/>
      <c r="I361" s="3"/>
      <c r="J361" s="3"/>
      <c r="K361" s="3"/>
    </row>
    <row r="362" spans="1:11" x14ac:dyDescent="0.3">
      <c r="A362" s="10"/>
      <c r="B362" s="20"/>
      <c r="C362" s="20"/>
      <c r="D362" s="20"/>
      <c r="E362" s="20"/>
      <c r="F362" s="3"/>
      <c r="G362" s="10"/>
      <c r="H362" s="3"/>
      <c r="I362" s="3"/>
      <c r="J362" s="3"/>
      <c r="K362" s="3"/>
    </row>
    <row r="363" spans="1:11" x14ac:dyDescent="0.3">
      <c r="A363" s="10"/>
      <c r="B363" s="20"/>
      <c r="C363" s="20"/>
      <c r="D363" s="20"/>
      <c r="E363" s="20"/>
      <c r="F363" s="3"/>
      <c r="G363" s="10"/>
      <c r="H363" s="3"/>
      <c r="I363" s="3"/>
      <c r="J363" s="3"/>
      <c r="K363" s="3"/>
    </row>
    <row r="364" spans="1:11" x14ac:dyDescent="0.3">
      <c r="A364" s="10"/>
      <c r="B364" s="20"/>
      <c r="C364" s="20"/>
      <c r="D364" s="20"/>
      <c r="E364" s="20"/>
      <c r="F364" s="3"/>
      <c r="G364" s="10"/>
      <c r="H364" s="3"/>
      <c r="I364" s="3"/>
      <c r="J364" s="3"/>
      <c r="K364" s="3"/>
    </row>
    <row r="365" spans="1:11" x14ac:dyDescent="0.3">
      <c r="A365" s="10"/>
      <c r="B365" s="20"/>
      <c r="C365" s="20"/>
      <c r="D365" s="20"/>
      <c r="E365" s="20"/>
      <c r="F365" s="3"/>
      <c r="G365" s="10"/>
      <c r="H365" s="3"/>
      <c r="I365" s="3"/>
      <c r="J365" s="3"/>
      <c r="K365" s="3"/>
    </row>
    <row r="366" spans="1:11" x14ac:dyDescent="0.3">
      <c r="A366" s="10"/>
      <c r="B366" s="20"/>
      <c r="C366" s="20"/>
      <c r="D366" s="20"/>
      <c r="E366" s="20"/>
      <c r="F366" s="3"/>
      <c r="G366" s="10"/>
      <c r="H366" s="3"/>
      <c r="I366" s="3"/>
      <c r="J366" s="3"/>
      <c r="K366" s="3"/>
    </row>
    <row r="367" spans="1:11" x14ac:dyDescent="0.3">
      <c r="A367" s="10"/>
      <c r="B367" s="20"/>
      <c r="C367" s="20"/>
      <c r="D367" s="20"/>
      <c r="E367" s="20"/>
      <c r="F367" s="3"/>
      <c r="G367" s="10"/>
      <c r="H367" s="3"/>
      <c r="I367" s="3"/>
      <c r="J367" s="3"/>
      <c r="K367" s="3"/>
    </row>
    <row r="368" spans="1:11" x14ac:dyDescent="0.3">
      <c r="A368" s="10"/>
      <c r="B368" s="20"/>
      <c r="C368" s="20"/>
      <c r="D368" s="20"/>
      <c r="E368" s="20"/>
      <c r="F368" s="3"/>
      <c r="G368" s="10"/>
      <c r="H368" s="3"/>
      <c r="I368" s="3"/>
      <c r="J368" s="3"/>
      <c r="K368" s="3"/>
    </row>
    <row r="369" spans="1:11" x14ac:dyDescent="0.3">
      <c r="A369" s="10"/>
      <c r="B369" s="20"/>
      <c r="C369" s="20"/>
      <c r="D369" s="20"/>
      <c r="E369" s="20"/>
      <c r="F369" s="3"/>
      <c r="G369" s="10"/>
      <c r="H369" s="3"/>
      <c r="I369" s="3"/>
      <c r="J369" s="3"/>
      <c r="K369" s="3"/>
    </row>
    <row r="370" spans="1:11" x14ac:dyDescent="0.3">
      <c r="A370" s="10"/>
      <c r="B370" s="20"/>
      <c r="C370" s="20"/>
      <c r="D370" s="20"/>
      <c r="E370" s="20"/>
      <c r="F370" s="3"/>
      <c r="G370" s="10"/>
      <c r="H370" s="3"/>
      <c r="I370" s="3"/>
      <c r="J370" s="3"/>
      <c r="K370" s="3"/>
    </row>
    <row r="371" spans="1:11" x14ac:dyDescent="0.3">
      <c r="A371" s="10"/>
      <c r="B371" s="20"/>
      <c r="C371" s="20"/>
      <c r="D371" s="20"/>
      <c r="E371" s="20"/>
      <c r="F371" s="3"/>
      <c r="G371" s="10"/>
      <c r="H371" s="3"/>
      <c r="I371" s="3"/>
      <c r="J371" s="3"/>
      <c r="K371" s="3"/>
    </row>
    <row r="372" spans="1:11" x14ac:dyDescent="0.3">
      <c r="A372" s="10"/>
      <c r="B372" s="20"/>
      <c r="C372" s="20"/>
      <c r="D372" s="20"/>
      <c r="E372" s="20"/>
      <c r="F372" s="3"/>
      <c r="G372" s="10"/>
      <c r="H372" s="3"/>
      <c r="I372" s="3"/>
      <c r="J372" s="3"/>
      <c r="K372" s="3"/>
    </row>
    <row r="373" spans="1:11" x14ac:dyDescent="0.3">
      <c r="A373" s="10"/>
      <c r="B373" s="20"/>
      <c r="C373" s="20"/>
      <c r="D373" s="20"/>
      <c r="E373" s="20"/>
      <c r="F373" s="3"/>
      <c r="G373" s="10"/>
      <c r="H373" s="3"/>
      <c r="I373" s="3"/>
      <c r="J373" s="3"/>
      <c r="K373" s="3"/>
    </row>
    <row r="374" spans="1:11" x14ac:dyDescent="0.3">
      <c r="A374" s="10"/>
      <c r="B374" s="20"/>
      <c r="C374" s="20"/>
      <c r="D374" s="20"/>
      <c r="E374" s="20"/>
      <c r="F374" s="3"/>
      <c r="G374" s="10"/>
      <c r="H374" s="3"/>
      <c r="I374" s="3"/>
      <c r="J374" s="3"/>
      <c r="K374" s="3"/>
    </row>
    <row r="375" spans="1:11" x14ac:dyDescent="0.3">
      <c r="A375" s="10"/>
      <c r="B375" s="20"/>
      <c r="C375" s="20"/>
      <c r="D375" s="20"/>
      <c r="E375" s="20"/>
      <c r="F375" s="3"/>
      <c r="G375" s="10"/>
      <c r="H375" s="3"/>
      <c r="I375" s="3"/>
      <c r="J375" s="3"/>
      <c r="K375" s="3"/>
    </row>
    <row r="376" spans="1:11" x14ac:dyDescent="0.3">
      <c r="A376" s="10"/>
      <c r="B376" s="20"/>
      <c r="C376" s="20"/>
      <c r="D376" s="20"/>
      <c r="E376" s="20"/>
      <c r="F376" s="3"/>
      <c r="G376" s="10"/>
      <c r="H376" s="3"/>
      <c r="I376" s="3"/>
      <c r="J376" s="3"/>
      <c r="K376" s="3"/>
    </row>
    <row r="377" spans="1:11" x14ac:dyDescent="0.3">
      <c r="A377" s="10"/>
      <c r="B377" s="20"/>
      <c r="C377" s="20"/>
      <c r="D377" s="20"/>
      <c r="E377" s="20"/>
      <c r="F377" s="3"/>
      <c r="G377" s="10"/>
      <c r="H377" s="3"/>
      <c r="I377" s="3"/>
      <c r="J377" s="3"/>
      <c r="K377" s="3"/>
    </row>
    <row r="378" spans="1:11" x14ac:dyDescent="0.3">
      <c r="A378" s="10"/>
      <c r="B378" s="20"/>
      <c r="C378" s="20"/>
      <c r="D378" s="20"/>
      <c r="E378" s="20"/>
      <c r="F378" s="3"/>
      <c r="G378" s="10"/>
      <c r="H378" s="3"/>
      <c r="I378" s="3"/>
      <c r="J378" s="3"/>
      <c r="K378" s="3"/>
    </row>
    <row r="379" spans="1:11" x14ac:dyDescent="0.3">
      <c r="A379" s="10"/>
      <c r="B379" s="20"/>
      <c r="C379" s="20"/>
      <c r="D379" s="20"/>
      <c r="E379" s="20"/>
      <c r="F379" s="3"/>
      <c r="G379" s="10"/>
      <c r="H379" s="3"/>
      <c r="I379" s="3"/>
      <c r="J379" s="3"/>
      <c r="K379" s="3"/>
    </row>
    <row r="380" spans="1:11" x14ac:dyDescent="0.3">
      <c r="A380" s="10"/>
      <c r="B380" s="20"/>
      <c r="C380" s="20"/>
      <c r="D380" s="20"/>
      <c r="E380" s="20"/>
      <c r="F380" s="3"/>
      <c r="G380" s="10"/>
      <c r="H380" s="3"/>
      <c r="I380" s="3"/>
      <c r="J380" s="3"/>
      <c r="K380" s="3"/>
    </row>
    <row r="381" spans="1:11" x14ac:dyDescent="0.3">
      <c r="A381" s="10"/>
      <c r="B381" s="20"/>
      <c r="C381" s="20"/>
      <c r="D381" s="20"/>
      <c r="E381" s="20"/>
      <c r="F381" s="3"/>
      <c r="G381" s="10"/>
      <c r="H381" s="3"/>
      <c r="I381" s="3"/>
      <c r="J381" s="3"/>
      <c r="K381" s="3"/>
    </row>
    <row r="382" spans="1:11" x14ac:dyDescent="0.3">
      <c r="A382" s="10"/>
      <c r="B382" s="20"/>
      <c r="C382" s="20"/>
      <c r="D382" s="20"/>
      <c r="E382" s="20"/>
      <c r="F382" s="3"/>
      <c r="G382" s="10"/>
      <c r="H382" s="3"/>
      <c r="I382" s="3"/>
      <c r="J382" s="3"/>
      <c r="K382" s="3"/>
    </row>
    <row r="383" spans="1:11" x14ac:dyDescent="0.3">
      <c r="A383" s="10"/>
      <c r="B383" s="20"/>
      <c r="C383" s="20"/>
      <c r="D383" s="20"/>
      <c r="E383" s="20"/>
      <c r="F383" s="3"/>
      <c r="G383" s="10"/>
      <c r="H383" s="3"/>
      <c r="I383" s="3"/>
      <c r="J383" s="3"/>
      <c r="K383" s="3"/>
    </row>
    <row r="384" spans="1:11" x14ac:dyDescent="0.3">
      <c r="A384" s="10"/>
      <c r="B384" s="20"/>
      <c r="C384" s="20"/>
      <c r="D384" s="20"/>
      <c r="E384" s="20"/>
      <c r="F384" s="3"/>
      <c r="G384" s="10"/>
      <c r="H384" s="3"/>
      <c r="I384" s="3"/>
      <c r="J384" s="3"/>
      <c r="K384" s="3"/>
    </row>
    <row r="385" spans="1:11" x14ac:dyDescent="0.3">
      <c r="A385" s="10"/>
      <c r="B385" s="20"/>
      <c r="C385" s="20"/>
      <c r="D385" s="20"/>
      <c r="E385" s="20"/>
      <c r="F385" s="3"/>
      <c r="G385" s="10"/>
      <c r="H385" s="3"/>
      <c r="I385" s="3"/>
      <c r="J385" s="3"/>
      <c r="K385" s="3"/>
    </row>
    <row r="386" spans="1:11" x14ac:dyDescent="0.3">
      <c r="A386" s="10"/>
      <c r="B386" s="20"/>
      <c r="C386" s="20"/>
      <c r="D386" s="20"/>
      <c r="E386" s="20"/>
      <c r="F386" s="3"/>
      <c r="G386" s="10"/>
      <c r="H386" s="3"/>
      <c r="I386" s="3"/>
      <c r="J386" s="3"/>
      <c r="K386" s="3"/>
    </row>
    <row r="387" spans="1:11" x14ac:dyDescent="0.3">
      <c r="A387" s="10"/>
      <c r="B387" s="20"/>
      <c r="C387" s="20"/>
      <c r="D387" s="20"/>
      <c r="E387" s="20"/>
      <c r="F387" s="3"/>
      <c r="G387" s="10"/>
      <c r="H387" s="3"/>
      <c r="I387" s="3"/>
      <c r="J387" s="3"/>
      <c r="K387" s="3"/>
    </row>
    <row r="388" spans="1:11" x14ac:dyDescent="0.3">
      <c r="A388" s="10"/>
      <c r="B388" s="20"/>
      <c r="C388" s="20"/>
      <c r="D388" s="20"/>
      <c r="E388" s="20"/>
      <c r="F388" s="3"/>
      <c r="G388" s="10"/>
      <c r="H388" s="3"/>
      <c r="I388" s="3"/>
      <c r="J388" s="3"/>
      <c r="K388" s="3"/>
    </row>
    <row r="389" spans="1:11" x14ac:dyDescent="0.3">
      <c r="A389" s="10"/>
      <c r="B389" s="20"/>
      <c r="C389" s="20"/>
      <c r="D389" s="20"/>
      <c r="E389" s="20"/>
      <c r="F389" s="3"/>
      <c r="G389" s="10"/>
      <c r="H389" s="3"/>
      <c r="I389" s="3"/>
      <c r="J389" s="3"/>
      <c r="K389" s="3"/>
    </row>
    <row r="390" spans="1:11" x14ac:dyDescent="0.3">
      <c r="A390" s="10"/>
      <c r="B390" s="20"/>
      <c r="C390" s="20"/>
      <c r="D390" s="20"/>
      <c r="E390" s="20"/>
      <c r="F390" s="3"/>
      <c r="G390" s="10"/>
      <c r="H390" s="3"/>
      <c r="I390" s="3"/>
      <c r="J390" s="3"/>
      <c r="K390" s="3"/>
    </row>
    <row r="391" spans="1:11" x14ac:dyDescent="0.3">
      <c r="A391" s="10"/>
      <c r="B391" s="20"/>
      <c r="C391" s="20"/>
      <c r="D391" s="20"/>
      <c r="E391" s="20"/>
      <c r="F391" s="3"/>
      <c r="G391" s="10"/>
      <c r="H391" s="3"/>
      <c r="I391" s="3"/>
      <c r="J391" s="3"/>
      <c r="K391" s="3"/>
    </row>
    <row r="392" spans="1:11" x14ac:dyDescent="0.3">
      <c r="A392" s="10"/>
      <c r="B392" s="20"/>
      <c r="C392" s="20"/>
      <c r="D392" s="20"/>
      <c r="E392" s="20"/>
      <c r="F392" s="3"/>
      <c r="G392" s="10"/>
      <c r="H392" s="3"/>
      <c r="I392" s="3"/>
      <c r="J392" s="3"/>
      <c r="K392" s="3"/>
    </row>
    <row r="393" spans="1:11" x14ac:dyDescent="0.3">
      <c r="A393" s="10"/>
      <c r="B393" s="20"/>
      <c r="C393" s="20"/>
      <c r="D393" s="20"/>
      <c r="E393" s="20"/>
      <c r="F393" s="3"/>
      <c r="G393" s="10"/>
      <c r="H393" s="3"/>
      <c r="I393" s="3"/>
      <c r="J393" s="3"/>
      <c r="K393" s="3"/>
    </row>
    <row r="394" spans="1:11" x14ac:dyDescent="0.3">
      <c r="A394" s="10"/>
      <c r="B394" s="20"/>
      <c r="C394" s="20"/>
      <c r="D394" s="20"/>
      <c r="E394" s="20"/>
      <c r="F394" s="3"/>
      <c r="G394" s="10"/>
      <c r="H394" s="3"/>
      <c r="I394" s="3"/>
      <c r="J394" s="3"/>
      <c r="K394" s="3"/>
    </row>
    <row r="395" spans="1:11" x14ac:dyDescent="0.3">
      <c r="A395" s="10"/>
      <c r="B395" s="20"/>
      <c r="C395" s="20"/>
      <c r="D395" s="20"/>
      <c r="E395" s="20"/>
      <c r="F395" s="3"/>
      <c r="G395" s="10"/>
      <c r="H395" s="3"/>
      <c r="I395" s="3"/>
      <c r="J395" s="3"/>
      <c r="K395" s="3"/>
    </row>
    <row r="396" spans="1:11" x14ac:dyDescent="0.3">
      <c r="A396" s="10"/>
      <c r="B396" s="20"/>
      <c r="C396" s="20"/>
      <c r="D396" s="20"/>
      <c r="E396" s="20"/>
      <c r="F396" s="3"/>
      <c r="G396" s="10"/>
      <c r="H396" s="3"/>
      <c r="I396" s="3"/>
      <c r="J396" s="3"/>
      <c r="K396" s="3"/>
    </row>
    <row r="397" spans="1:11" x14ac:dyDescent="0.3">
      <c r="A397" s="10"/>
      <c r="B397" s="20"/>
      <c r="C397" s="20"/>
      <c r="D397" s="20"/>
      <c r="E397" s="20"/>
      <c r="F397" s="3"/>
      <c r="G397" s="10"/>
      <c r="H397" s="3"/>
      <c r="I397" s="3"/>
      <c r="J397" s="3"/>
      <c r="K397" s="3"/>
    </row>
    <row r="398" spans="1:11" x14ac:dyDescent="0.3">
      <c r="A398" s="10"/>
      <c r="B398" s="20"/>
      <c r="C398" s="20"/>
      <c r="D398" s="20"/>
      <c r="E398" s="20"/>
      <c r="F398" s="3"/>
      <c r="G398" s="10"/>
      <c r="H398" s="3"/>
      <c r="I398" s="3"/>
      <c r="J398" s="3"/>
      <c r="K398" s="3"/>
    </row>
    <row r="399" spans="1:11" x14ac:dyDescent="0.3">
      <c r="A399" s="10"/>
      <c r="B399" s="20"/>
      <c r="C399" s="20"/>
      <c r="D399" s="20"/>
      <c r="E399" s="20"/>
      <c r="F399" s="3"/>
      <c r="G399" s="10"/>
      <c r="H399" s="3"/>
      <c r="I399" s="3"/>
      <c r="J399" s="3"/>
      <c r="K399" s="3"/>
    </row>
    <row r="400" spans="1:11" x14ac:dyDescent="0.3">
      <c r="A400" s="10"/>
      <c r="B400" s="20"/>
      <c r="C400" s="20"/>
      <c r="D400" s="20"/>
      <c r="E400" s="20"/>
      <c r="F400" s="3"/>
      <c r="G400" s="10"/>
      <c r="H400" s="3"/>
      <c r="I400" s="3"/>
      <c r="J400" s="3"/>
      <c r="K400" s="3"/>
    </row>
    <row r="401" spans="1:11" x14ac:dyDescent="0.3">
      <c r="A401" s="10"/>
      <c r="B401" s="20"/>
      <c r="C401" s="20"/>
      <c r="D401" s="20"/>
      <c r="E401" s="20"/>
      <c r="F401" s="3"/>
      <c r="G401" s="10"/>
      <c r="H401" s="3"/>
      <c r="I401" s="3"/>
      <c r="J401" s="3"/>
      <c r="K401" s="3"/>
    </row>
    <row r="402" spans="1:11" x14ac:dyDescent="0.3">
      <c r="A402" s="10"/>
      <c r="B402" s="20"/>
      <c r="C402" s="20"/>
      <c r="D402" s="20"/>
      <c r="E402" s="20"/>
      <c r="F402" s="3"/>
      <c r="G402" s="10"/>
      <c r="H402" s="3"/>
      <c r="I402" s="3"/>
      <c r="J402" s="3"/>
      <c r="K402" s="3"/>
    </row>
    <row r="403" spans="1:11" x14ac:dyDescent="0.3">
      <c r="A403" s="10"/>
      <c r="B403" s="20"/>
      <c r="C403" s="20"/>
      <c r="D403" s="20"/>
      <c r="E403" s="20"/>
      <c r="F403" s="3"/>
      <c r="G403" s="10"/>
      <c r="H403" s="3"/>
      <c r="I403" s="3"/>
      <c r="J403" s="3"/>
      <c r="K403" s="3"/>
    </row>
    <row r="404" spans="1:11" x14ac:dyDescent="0.3">
      <c r="A404" s="10"/>
      <c r="B404" s="20"/>
      <c r="C404" s="20"/>
      <c r="D404" s="20"/>
      <c r="E404" s="20"/>
      <c r="F404" s="3"/>
      <c r="G404" s="10"/>
      <c r="H404" s="3"/>
      <c r="I404" s="3"/>
      <c r="J404" s="3"/>
      <c r="K404" s="3"/>
    </row>
    <row r="405" spans="1:11" x14ac:dyDescent="0.3">
      <c r="A405" s="10"/>
      <c r="B405" s="20"/>
      <c r="C405" s="20"/>
      <c r="D405" s="20"/>
      <c r="E405" s="20"/>
      <c r="F405" s="3"/>
      <c r="G405" s="10"/>
      <c r="H405" s="3"/>
      <c r="I405" s="3"/>
      <c r="J405" s="3"/>
      <c r="K405" s="3"/>
    </row>
    <row r="406" spans="1:11" x14ac:dyDescent="0.3">
      <c r="A406" s="10"/>
      <c r="B406" s="20"/>
      <c r="C406" s="20"/>
      <c r="D406" s="20"/>
      <c r="E406" s="20"/>
      <c r="F406" s="3"/>
      <c r="G406" s="10"/>
      <c r="H406" s="3"/>
      <c r="I406" s="3"/>
      <c r="J406" s="3"/>
      <c r="K406" s="3"/>
    </row>
    <row r="407" spans="1:11" x14ac:dyDescent="0.3">
      <c r="A407" s="10"/>
      <c r="B407" s="20"/>
      <c r="C407" s="20"/>
      <c r="D407" s="20"/>
      <c r="E407" s="20"/>
      <c r="F407" s="3"/>
      <c r="G407" s="10"/>
      <c r="H407" s="3"/>
      <c r="I407" s="3"/>
      <c r="J407" s="3"/>
      <c r="K407" s="3"/>
    </row>
    <row r="408" spans="1:11" x14ac:dyDescent="0.3">
      <c r="A408" s="10"/>
      <c r="B408" s="20"/>
      <c r="C408" s="20"/>
      <c r="D408" s="20"/>
      <c r="E408" s="20"/>
      <c r="F408" s="3"/>
      <c r="G408" s="10"/>
      <c r="H408" s="3"/>
      <c r="I408" s="3"/>
      <c r="J408" s="3"/>
      <c r="K408" s="3"/>
    </row>
    <row r="409" spans="1:11" x14ac:dyDescent="0.3">
      <c r="A409" s="10"/>
      <c r="B409" s="20"/>
      <c r="C409" s="20"/>
      <c r="D409" s="20"/>
      <c r="E409" s="20"/>
      <c r="F409" s="3"/>
      <c r="G409" s="10"/>
      <c r="H409" s="3"/>
      <c r="I409" s="3"/>
      <c r="J409" s="3"/>
      <c r="K409" s="3"/>
    </row>
    <row r="410" spans="1:11" x14ac:dyDescent="0.3">
      <c r="A410" s="10"/>
      <c r="B410" s="20"/>
      <c r="C410" s="20"/>
      <c r="D410" s="20"/>
      <c r="E410" s="20"/>
      <c r="F410" s="3"/>
      <c r="G410" s="10"/>
      <c r="H410" s="3"/>
      <c r="I410" s="3"/>
      <c r="J410" s="3"/>
      <c r="K410" s="3"/>
    </row>
    <row r="411" spans="1:11" x14ac:dyDescent="0.3">
      <c r="A411" s="10"/>
      <c r="B411" s="20"/>
      <c r="C411" s="20"/>
      <c r="D411" s="20"/>
      <c r="E411" s="20"/>
      <c r="F411" s="3"/>
      <c r="G411" s="10"/>
      <c r="H411" s="3"/>
      <c r="I411" s="3"/>
      <c r="J411" s="3"/>
      <c r="K411" s="3"/>
    </row>
    <row r="412" spans="1:11" x14ac:dyDescent="0.3">
      <c r="A412" s="10"/>
      <c r="B412" s="20"/>
      <c r="C412" s="20"/>
      <c r="D412" s="20"/>
      <c r="E412" s="20"/>
      <c r="F412" s="3"/>
      <c r="G412" s="10"/>
      <c r="H412" s="3"/>
      <c r="I412" s="3"/>
      <c r="J412" s="3"/>
      <c r="K412" s="3"/>
    </row>
    <row r="413" spans="1:11" x14ac:dyDescent="0.3">
      <c r="A413" s="10"/>
      <c r="B413" s="20"/>
      <c r="C413" s="20"/>
      <c r="D413" s="20"/>
      <c r="E413" s="20"/>
      <c r="F413" s="3"/>
      <c r="G413" s="10"/>
      <c r="H413" s="3"/>
      <c r="I413" s="3"/>
      <c r="J413" s="3"/>
      <c r="K413" s="3"/>
    </row>
    <row r="414" spans="1:11" x14ac:dyDescent="0.3">
      <c r="A414" s="10"/>
      <c r="B414" s="20"/>
      <c r="C414" s="20"/>
      <c r="D414" s="20"/>
      <c r="E414" s="20"/>
      <c r="F414" s="3"/>
      <c r="G414" s="10"/>
      <c r="H414" s="3"/>
      <c r="I414" s="3"/>
      <c r="J414" s="3"/>
      <c r="K414" s="3"/>
    </row>
    <row r="415" spans="1:11" x14ac:dyDescent="0.3">
      <c r="A415" s="10"/>
      <c r="B415" s="20"/>
      <c r="C415" s="20"/>
      <c r="D415" s="20"/>
      <c r="E415" s="20"/>
      <c r="F415" s="3"/>
      <c r="G415" s="10"/>
      <c r="H415" s="3"/>
      <c r="I415" s="3"/>
      <c r="J415" s="3"/>
      <c r="K415" s="3"/>
    </row>
    <row r="416" spans="1:11" x14ac:dyDescent="0.3">
      <c r="A416" s="10"/>
      <c r="B416" s="20"/>
      <c r="C416" s="20"/>
      <c r="D416" s="20"/>
      <c r="E416" s="20"/>
      <c r="F416" s="3"/>
      <c r="G416" s="10"/>
      <c r="H416" s="3"/>
      <c r="I416" s="3"/>
      <c r="J416" s="3"/>
      <c r="K416" s="3"/>
    </row>
    <row r="417" spans="1:11" x14ac:dyDescent="0.3">
      <c r="A417" s="10"/>
      <c r="B417" s="20"/>
      <c r="C417" s="20"/>
      <c r="D417" s="20"/>
      <c r="E417" s="20"/>
      <c r="F417" s="3"/>
      <c r="G417" s="10"/>
      <c r="H417" s="3"/>
      <c r="I417" s="3"/>
      <c r="J417" s="3"/>
      <c r="K417" s="3"/>
    </row>
    <row r="418" spans="1:11" x14ac:dyDescent="0.3">
      <c r="A418" s="10"/>
      <c r="B418" s="20"/>
      <c r="C418" s="20"/>
      <c r="D418" s="20"/>
      <c r="E418" s="20"/>
      <c r="F418" s="3"/>
      <c r="G418" s="10"/>
      <c r="H418" s="3"/>
      <c r="I418" s="3"/>
      <c r="J418" s="3"/>
      <c r="K418" s="3"/>
    </row>
    <row r="419" spans="1:11" x14ac:dyDescent="0.3">
      <c r="A419" s="10"/>
      <c r="B419" s="20"/>
      <c r="C419" s="20"/>
      <c r="D419" s="20"/>
      <c r="E419" s="20"/>
      <c r="F419" s="3"/>
      <c r="G419" s="10"/>
      <c r="H419" s="3"/>
      <c r="I419" s="3"/>
      <c r="J419" s="3"/>
      <c r="K419" s="3"/>
    </row>
    <row r="420" spans="1:11" x14ac:dyDescent="0.3">
      <c r="A420" s="10"/>
      <c r="B420" s="20"/>
      <c r="C420" s="20"/>
      <c r="D420" s="20"/>
      <c r="E420" s="20"/>
      <c r="F420" s="3"/>
      <c r="G420" s="10"/>
      <c r="H420" s="3"/>
      <c r="I420" s="3"/>
      <c r="J420" s="3"/>
      <c r="K420" s="3"/>
    </row>
    <row r="421" spans="1:11" x14ac:dyDescent="0.3">
      <c r="A421" s="10"/>
      <c r="B421" s="20"/>
      <c r="C421" s="20"/>
      <c r="D421" s="20"/>
      <c r="E421" s="20"/>
      <c r="F421" s="3"/>
      <c r="G421" s="10"/>
      <c r="H421" s="3"/>
      <c r="I421" s="3"/>
      <c r="J421" s="3"/>
      <c r="K421" s="3"/>
    </row>
    <row r="422" spans="1:11" x14ac:dyDescent="0.3">
      <c r="A422" s="10"/>
      <c r="B422" s="20"/>
      <c r="C422" s="20"/>
      <c r="D422" s="20"/>
      <c r="E422" s="20"/>
      <c r="F422" s="3"/>
      <c r="G422" s="10"/>
      <c r="H422" s="3"/>
      <c r="I422" s="3"/>
      <c r="J422" s="3"/>
      <c r="K422" s="3"/>
    </row>
    <row r="423" spans="1:11" x14ac:dyDescent="0.3">
      <c r="A423" s="10"/>
      <c r="B423" s="20"/>
      <c r="C423" s="20"/>
      <c r="D423" s="20"/>
      <c r="E423" s="20"/>
      <c r="F423" s="3"/>
      <c r="G423" s="10"/>
      <c r="H423" s="3"/>
      <c r="I423" s="3"/>
      <c r="J423" s="3"/>
      <c r="K423" s="3"/>
    </row>
    <row r="424" spans="1:11" x14ac:dyDescent="0.3">
      <c r="A424" s="10"/>
      <c r="B424" s="20"/>
      <c r="C424" s="20"/>
      <c r="D424" s="20"/>
      <c r="E424" s="20"/>
      <c r="F424" s="3"/>
      <c r="G424" s="10"/>
      <c r="H424" s="3"/>
      <c r="I424" s="3"/>
      <c r="J424" s="3"/>
      <c r="K424" s="3"/>
    </row>
    <row r="425" spans="1:11" x14ac:dyDescent="0.3">
      <c r="A425" s="10"/>
      <c r="B425" s="20"/>
      <c r="C425" s="20"/>
      <c r="D425" s="20"/>
      <c r="E425" s="20"/>
      <c r="F425" s="3"/>
      <c r="G425" s="10"/>
      <c r="H425" s="3"/>
      <c r="I425" s="3"/>
      <c r="J425" s="3"/>
      <c r="K425" s="3"/>
    </row>
    <row r="426" spans="1:11" x14ac:dyDescent="0.3">
      <c r="A426" s="10"/>
      <c r="B426" s="20"/>
      <c r="C426" s="20"/>
      <c r="D426" s="20"/>
      <c r="E426" s="20"/>
      <c r="F426" s="3"/>
      <c r="G426" s="10"/>
      <c r="H426" s="3"/>
      <c r="I426" s="3"/>
      <c r="J426" s="3"/>
      <c r="K426" s="3"/>
    </row>
    <row r="427" spans="1:11" x14ac:dyDescent="0.3">
      <c r="A427" s="10"/>
      <c r="B427" s="20"/>
      <c r="C427" s="20"/>
      <c r="D427" s="20"/>
      <c r="E427" s="20"/>
      <c r="F427" s="3"/>
      <c r="G427" s="10"/>
      <c r="H427" s="3"/>
      <c r="I427" s="3"/>
      <c r="J427" s="3"/>
      <c r="K427" s="3"/>
    </row>
    <row r="428" spans="1:11" x14ac:dyDescent="0.3">
      <c r="A428" s="10"/>
      <c r="B428" s="20"/>
      <c r="C428" s="20"/>
      <c r="D428" s="20"/>
      <c r="E428" s="20"/>
      <c r="F428" s="3"/>
      <c r="G428" s="10"/>
      <c r="H428" s="3"/>
      <c r="I428" s="3"/>
      <c r="J428" s="3"/>
      <c r="K428" s="3"/>
    </row>
    <row r="429" spans="1:11" x14ac:dyDescent="0.3">
      <c r="A429" s="10"/>
      <c r="B429" s="20"/>
      <c r="C429" s="20"/>
      <c r="D429" s="20"/>
      <c r="E429" s="20"/>
      <c r="F429" s="3"/>
      <c r="G429" s="10"/>
      <c r="H429" s="3"/>
      <c r="I429" s="3"/>
      <c r="J429" s="3"/>
      <c r="K429" s="3"/>
    </row>
    <row r="430" spans="1:11" x14ac:dyDescent="0.3">
      <c r="A430" s="10"/>
      <c r="B430" s="20"/>
      <c r="C430" s="20"/>
      <c r="D430" s="20"/>
      <c r="E430" s="20"/>
      <c r="F430" s="3"/>
      <c r="G430" s="10"/>
      <c r="H430" s="3"/>
      <c r="I430" s="3"/>
      <c r="J430" s="3"/>
      <c r="K430" s="3"/>
    </row>
    <row r="431" spans="1:11" x14ac:dyDescent="0.3">
      <c r="A431" s="10"/>
      <c r="B431" s="20"/>
      <c r="C431" s="20"/>
      <c r="D431" s="20"/>
      <c r="E431" s="20"/>
      <c r="F431" s="3"/>
      <c r="G431" s="10"/>
      <c r="H431" s="3"/>
      <c r="I431" s="3"/>
      <c r="J431" s="3"/>
      <c r="K431" s="3"/>
    </row>
    <row r="432" spans="1:11" x14ac:dyDescent="0.3">
      <c r="A432" s="10"/>
      <c r="B432" s="20"/>
      <c r="C432" s="20"/>
      <c r="D432" s="20"/>
      <c r="E432" s="20"/>
      <c r="F432" s="3"/>
      <c r="G432" s="10"/>
      <c r="H432" s="3"/>
      <c r="I432" s="3"/>
      <c r="J432" s="3"/>
      <c r="K432" s="3"/>
    </row>
    <row r="433" spans="1:11" x14ac:dyDescent="0.3">
      <c r="A433" s="10"/>
      <c r="B433" s="20"/>
      <c r="C433" s="20"/>
      <c r="D433" s="20"/>
      <c r="E433" s="20"/>
      <c r="F433" s="3"/>
      <c r="G433" s="10"/>
      <c r="H433" s="3"/>
      <c r="I433" s="3"/>
      <c r="J433" s="3"/>
      <c r="K433" s="3"/>
    </row>
    <row r="434" spans="1:11" x14ac:dyDescent="0.3">
      <c r="A434" s="10"/>
      <c r="B434" s="20"/>
      <c r="C434" s="20"/>
      <c r="D434" s="20"/>
      <c r="E434" s="20"/>
      <c r="F434" s="3"/>
      <c r="G434" s="10"/>
      <c r="H434" s="3"/>
      <c r="I434" s="3"/>
      <c r="J434" s="3"/>
      <c r="K434" s="3"/>
    </row>
    <row r="435" spans="1:11" x14ac:dyDescent="0.3">
      <c r="A435" s="10"/>
      <c r="B435" s="20"/>
      <c r="C435" s="20"/>
      <c r="D435" s="20"/>
      <c r="E435" s="20"/>
      <c r="F435" s="3"/>
      <c r="G435" s="10"/>
      <c r="H435" s="3"/>
      <c r="I435" s="3"/>
      <c r="J435" s="3"/>
      <c r="K435" s="3"/>
    </row>
    <row r="436" spans="1:11" x14ac:dyDescent="0.3">
      <c r="A436" s="10"/>
      <c r="B436" s="20"/>
      <c r="C436" s="20"/>
      <c r="D436" s="20"/>
      <c r="E436" s="20"/>
      <c r="F436" s="3"/>
      <c r="G436" s="10"/>
      <c r="H436" s="3"/>
      <c r="I436" s="3"/>
      <c r="J436" s="3"/>
      <c r="K436" s="3"/>
    </row>
    <row r="437" spans="1:11" x14ac:dyDescent="0.3">
      <c r="A437" s="10"/>
      <c r="B437" s="20"/>
      <c r="C437" s="20"/>
      <c r="D437" s="20"/>
      <c r="E437" s="20"/>
      <c r="F437" s="3"/>
      <c r="G437" s="10"/>
      <c r="H437" s="3"/>
      <c r="I437" s="3"/>
      <c r="J437" s="3"/>
      <c r="K437" s="3"/>
    </row>
    <row r="438" spans="1:11" x14ac:dyDescent="0.3">
      <c r="A438" s="10"/>
      <c r="B438" s="20"/>
      <c r="C438" s="20"/>
      <c r="D438" s="20"/>
      <c r="E438" s="20"/>
      <c r="F438" s="3"/>
      <c r="G438" s="10"/>
      <c r="H438" s="3"/>
      <c r="I438" s="3"/>
      <c r="J438" s="3"/>
      <c r="K438" s="3"/>
    </row>
    <row r="439" spans="1:11" x14ac:dyDescent="0.3">
      <c r="A439" s="10"/>
      <c r="B439" s="20"/>
      <c r="C439" s="20"/>
      <c r="D439" s="20"/>
      <c r="E439" s="20"/>
      <c r="F439" s="3"/>
      <c r="G439" s="10"/>
      <c r="H439" s="3"/>
      <c r="I439" s="3"/>
      <c r="J439" s="3"/>
      <c r="K439" s="3"/>
    </row>
    <row r="440" spans="1:11" x14ac:dyDescent="0.3">
      <c r="A440" s="10"/>
      <c r="B440" s="20"/>
      <c r="C440" s="20"/>
      <c r="D440" s="20"/>
      <c r="E440" s="20"/>
      <c r="F440" s="3"/>
      <c r="G440" s="10"/>
      <c r="H440" s="3"/>
      <c r="I440" s="3"/>
      <c r="J440" s="3"/>
      <c r="K440" s="3"/>
    </row>
    <row r="441" spans="1:11" x14ac:dyDescent="0.3">
      <c r="A441" s="10"/>
      <c r="B441" s="20"/>
      <c r="C441" s="20"/>
      <c r="D441" s="20"/>
      <c r="E441" s="20"/>
      <c r="F441" s="3"/>
      <c r="G441" s="10"/>
      <c r="H441" s="3"/>
      <c r="I441" s="3"/>
      <c r="J441" s="3"/>
      <c r="K441" s="3"/>
    </row>
    <row r="442" spans="1:11" x14ac:dyDescent="0.3">
      <c r="A442" s="10"/>
      <c r="B442" s="20"/>
      <c r="C442" s="20"/>
      <c r="D442" s="20"/>
      <c r="E442" s="20"/>
      <c r="F442" s="3"/>
      <c r="G442" s="10"/>
      <c r="H442" s="3"/>
      <c r="I442" s="3"/>
      <c r="J442" s="3"/>
      <c r="K442" s="3"/>
    </row>
    <row r="443" spans="1:11" x14ac:dyDescent="0.3">
      <c r="A443" s="10"/>
      <c r="B443" s="20"/>
      <c r="C443" s="20"/>
      <c r="D443" s="20"/>
      <c r="E443" s="20"/>
      <c r="F443" s="3"/>
      <c r="G443" s="10"/>
      <c r="H443" s="3"/>
      <c r="I443" s="3"/>
      <c r="J443" s="3"/>
      <c r="K443" s="3"/>
    </row>
    <row r="444" spans="1:11" x14ac:dyDescent="0.3">
      <c r="A444" s="10"/>
      <c r="B444" s="20"/>
      <c r="C444" s="20"/>
      <c r="D444" s="20"/>
      <c r="E444" s="20"/>
      <c r="F444" s="3"/>
      <c r="G444" s="10"/>
      <c r="H444" s="3"/>
      <c r="I444" s="3"/>
      <c r="J444" s="3"/>
      <c r="K444" s="3"/>
    </row>
    <row r="445" spans="1:11" x14ac:dyDescent="0.3">
      <c r="A445" s="10"/>
      <c r="B445" s="20"/>
      <c r="C445" s="20"/>
      <c r="D445" s="20"/>
      <c r="E445" s="20"/>
      <c r="F445" s="3"/>
      <c r="G445" s="10"/>
      <c r="H445" s="3"/>
      <c r="I445" s="3"/>
      <c r="J445" s="3"/>
      <c r="K445" s="3"/>
    </row>
    <row r="446" spans="1:11" x14ac:dyDescent="0.3">
      <c r="A446" s="10"/>
      <c r="B446" s="20"/>
      <c r="C446" s="20"/>
      <c r="D446" s="20"/>
      <c r="E446" s="20"/>
      <c r="F446" s="3"/>
      <c r="G446" s="10"/>
      <c r="H446" s="3"/>
      <c r="I446" s="3"/>
      <c r="J446" s="3"/>
      <c r="K446" s="3"/>
    </row>
    <row r="447" spans="1:11" x14ac:dyDescent="0.3">
      <c r="A447" s="10"/>
      <c r="B447" s="20"/>
      <c r="C447" s="20"/>
      <c r="D447" s="20"/>
      <c r="E447" s="20"/>
      <c r="F447" s="3"/>
      <c r="G447" s="10"/>
      <c r="H447" s="3"/>
      <c r="I447" s="3"/>
      <c r="J447" s="3"/>
      <c r="K447" s="3"/>
    </row>
    <row r="448" spans="1:11" x14ac:dyDescent="0.3">
      <c r="A448" s="10"/>
      <c r="B448" s="20"/>
      <c r="C448" s="20"/>
      <c r="D448" s="20"/>
      <c r="E448" s="20"/>
      <c r="F448" s="3"/>
      <c r="G448" s="10"/>
      <c r="H448" s="3"/>
      <c r="I448" s="3"/>
      <c r="J448" s="3"/>
      <c r="K448" s="3"/>
    </row>
    <row r="449" spans="1:11" x14ac:dyDescent="0.3">
      <c r="A449" s="10"/>
      <c r="B449" s="20"/>
      <c r="C449" s="20"/>
      <c r="D449" s="20"/>
      <c r="E449" s="20"/>
      <c r="F449" s="3"/>
      <c r="G449" s="10"/>
      <c r="H449" s="3"/>
      <c r="I449" s="3"/>
      <c r="J449" s="3"/>
      <c r="K449" s="3"/>
    </row>
    <row r="450" spans="1:11" x14ac:dyDescent="0.3">
      <c r="A450" s="10"/>
      <c r="B450" s="20"/>
      <c r="C450" s="20"/>
      <c r="D450" s="20"/>
      <c r="E450" s="20"/>
      <c r="F450" s="3"/>
      <c r="G450" s="10"/>
      <c r="H450" s="3"/>
      <c r="I450" s="3"/>
      <c r="J450" s="3"/>
      <c r="K450" s="3"/>
    </row>
    <row r="451" spans="1:11" x14ac:dyDescent="0.3">
      <c r="A451" s="10"/>
      <c r="B451" s="20"/>
      <c r="C451" s="20"/>
      <c r="D451" s="20"/>
      <c r="E451" s="20"/>
      <c r="F451" s="3"/>
      <c r="G451" s="10"/>
      <c r="H451" s="3"/>
      <c r="I451" s="3"/>
      <c r="J451" s="3"/>
      <c r="K451" s="3"/>
    </row>
    <row r="452" spans="1:11" x14ac:dyDescent="0.3">
      <c r="A452" s="10"/>
      <c r="B452" s="20"/>
      <c r="C452" s="20"/>
      <c r="D452" s="20"/>
      <c r="E452" s="20"/>
      <c r="F452" s="3"/>
      <c r="G452" s="10"/>
      <c r="H452" s="3"/>
      <c r="I452" s="3"/>
      <c r="J452" s="3"/>
      <c r="K452" s="3"/>
    </row>
    <row r="453" spans="1:11" x14ac:dyDescent="0.3">
      <c r="A453" s="10"/>
      <c r="B453" s="20"/>
      <c r="C453" s="20"/>
      <c r="D453" s="20"/>
      <c r="E453" s="20"/>
      <c r="F453" s="3"/>
      <c r="G453" s="10"/>
      <c r="H453" s="3"/>
      <c r="I453" s="3"/>
      <c r="J453" s="3"/>
      <c r="K453" s="3"/>
    </row>
    <row r="454" spans="1:11" x14ac:dyDescent="0.3">
      <c r="A454" s="10"/>
      <c r="B454" s="20"/>
      <c r="C454" s="20"/>
      <c r="D454" s="20"/>
      <c r="E454" s="20"/>
      <c r="F454" s="3"/>
      <c r="G454" s="10"/>
      <c r="H454" s="3"/>
      <c r="I454" s="3"/>
      <c r="J454" s="3"/>
      <c r="K454" s="3"/>
    </row>
    <row r="455" spans="1:11" x14ac:dyDescent="0.3">
      <c r="A455" s="10"/>
      <c r="B455" s="20"/>
      <c r="C455" s="20"/>
      <c r="D455" s="20"/>
      <c r="E455" s="20"/>
      <c r="F455" s="3"/>
      <c r="G455" s="10"/>
      <c r="H455" s="3"/>
      <c r="I455" s="3"/>
      <c r="J455" s="3"/>
      <c r="K455" s="3"/>
    </row>
    <row r="456" spans="1:11" x14ac:dyDescent="0.3">
      <c r="A456" s="10"/>
      <c r="B456" s="20"/>
      <c r="C456" s="20"/>
      <c r="D456" s="20"/>
      <c r="E456" s="20"/>
      <c r="F456" s="3"/>
      <c r="G456" s="10"/>
      <c r="H456" s="3"/>
      <c r="I456" s="3"/>
      <c r="J456" s="3"/>
      <c r="K456" s="3"/>
    </row>
    <row r="457" spans="1:11" x14ac:dyDescent="0.3">
      <c r="A457" s="10"/>
      <c r="B457" s="20"/>
      <c r="C457" s="20"/>
      <c r="D457" s="20"/>
      <c r="E457" s="20"/>
      <c r="F457" s="3"/>
      <c r="G457" s="10"/>
      <c r="H457" s="3"/>
      <c r="I457" s="3"/>
      <c r="J457" s="3"/>
      <c r="K457" s="3"/>
    </row>
    <row r="458" spans="1:11" x14ac:dyDescent="0.3">
      <c r="A458" s="10"/>
      <c r="B458" s="20"/>
      <c r="C458" s="20"/>
      <c r="D458" s="20"/>
      <c r="E458" s="20"/>
      <c r="F458" s="3"/>
      <c r="G458" s="10"/>
      <c r="H458" s="3"/>
      <c r="I458" s="3"/>
      <c r="J458" s="3"/>
      <c r="K458" s="3"/>
    </row>
    <row r="459" spans="1:11" x14ac:dyDescent="0.3">
      <c r="A459" s="10"/>
      <c r="B459" s="20"/>
      <c r="C459" s="20"/>
      <c r="D459" s="20"/>
      <c r="E459" s="20"/>
      <c r="F459" s="3"/>
      <c r="G459" s="10"/>
      <c r="H459" s="3"/>
      <c r="I459" s="3"/>
      <c r="J459" s="3"/>
      <c r="K459" s="3"/>
    </row>
    <row r="460" spans="1:11" x14ac:dyDescent="0.3">
      <c r="A460" s="10"/>
      <c r="B460" s="20"/>
      <c r="C460" s="20"/>
      <c r="D460" s="20"/>
      <c r="E460" s="20"/>
      <c r="F460" s="3"/>
      <c r="G460" s="10"/>
      <c r="H460" s="3"/>
      <c r="I460" s="3"/>
      <c r="J460" s="3"/>
      <c r="K460" s="3"/>
    </row>
    <row r="461" spans="1:11" x14ac:dyDescent="0.3">
      <c r="A461" s="10"/>
      <c r="B461" s="20"/>
      <c r="C461" s="20"/>
      <c r="D461" s="20"/>
      <c r="E461" s="20"/>
      <c r="F461" s="3"/>
      <c r="G461" s="10"/>
      <c r="H461" s="3"/>
      <c r="I461" s="3"/>
      <c r="J461" s="3"/>
      <c r="K461" s="3"/>
    </row>
    <row r="462" spans="1:11" x14ac:dyDescent="0.3">
      <c r="A462" s="10"/>
      <c r="B462" s="20"/>
      <c r="C462" s="20"/>
      <c r="D462" s="20"/>
      <c r="E462" s="20"/>
      <c r="F462" s="3"/>
      <c r="G462" s="10"/>
      <c r="H462" s="3"/>
      <c r="I462" s="3"/>
      <c r="J462" s="3"/>
      <c r="K462" s="3"/>
    </row>
    <row r="463" spans="1:11" x14ac:dyDescent="0.3">
      <c r="A463" s="10"/>
      <c r="B463" s="20"/>
      <c r="C463" s="20"/>
      <c r="D463" s="20"/>
      <c r="E463" s="20"/>
      <c r="F463" s="3"/>
      <c r="G463" s="10"/>
      <c r="H463" s="3"/>
      <c r="I463" s="3"/>
      <c r="J463" s="3"/>
      <c r="K463" s="3"/>
    </row>
    <row r="464" spans="1:11" x14ac:dyDescent="0.3">
      <c r="A464" s="10"/>
      <c r="B464" s="20"/>
      <c r="C464" s="20"/>
      <c r="D464" s="20"/>
      <c r="E464" s="20"/>
      <c r="F464" s="3"/>
      <c r="G464" s="10"/>
      <c r="H464" s="3"/>
      <c r="I464" s="3"/>
      <c r="J464" s="3"/>
      <c r="K464" s="3"/>
    </row>
    <row r="465" spans="1:11" x14ac:dyDescent="0.3">
      <c r="A465" s="10"/>
      <c r="B465" s="20"/>
      <c r="C465" s="20"/>
      <c r="D465" s="20"/>
      <c r="E465" s="20"/>
      <c r="F465" s="3"/>
      <c r="G465" s="10"/>
      <c r="H465" s="3"/>
      <c r="I465" s="3"/>
      <c r="J465" s="3"/>
      <c r="K465" s="3"/>
    </row>
    <row r="466" spans="1:11" x14ac:dyDescent="0.3">
      <c r="A466" s="10"/>
      <c r="B466" s="20"/>
      <c r="C466" s="20"/>
      <c r="D466" s="20"/>
      <c r="E466" s="20"/>
      <c r="F466" s="3"/>
      <c r="G466" s="10"/>
      <c r="H466" s="3"/>
      <c r="I466" s="3"/>
      <c r="J466" s="3"/>
      <c r="K466" s="3"/>
    </row>
    <row r="467" spans="1:11" x14ac:dyDescent="0.3">
      <c r="A467" s="10"/>
      <c r="B467" s="20"/>
      <c r="C467" s="20"/>
      <c r="D467" s="20"/>
      <c r="E467" s="20"/>
      <c r="F467" s="3"/>
      <c r="G467" s="10"/>
      <c r="H467" s="3"/>
      <c r="I467" s="3"/>
      <c r="J467" s="3"/>
      <c r="K467" s="3"/>
    </row>
    <row r="468" spans="1:11" x14ac:dyDescent="0.3">
      <c r="A468" s="10"/>
      <c r="B468" s="20"/>
      <c r="C468" s="20"/>
      <c r="D468" s="20"/>
      <c r="E468" s="20"/>
      <c r="F468" s="3"/>
      <c r="G468" s="10"/>
      <c r="H468" s="3"/>
      <c r="I468" s="3"/>
      <c r="J468" s="3"/>
      <c r="K468" s="3"/>
    </row>
    <row r="469" spans="1:11" x14ac:dyDescent="0.3">
      <c r="A469" s="10"/>
      <c r="B469" s="20"/>
      <c r="C469" s="20"/>
      <c r="D469" s="20"/>
      <c r="E469" s="20"/>
      <c r="F469" s="3"/>
      <c r="G469" s="10"/>
      <c r="H469" s="3"/>
      <c r="I469" s="3"/>
      <c r="J469" s="3"/>
      <c r="K469" s="3"/>
    </row>
    <row r="470" spans="1:11" x14ac:dyDescent="0.3">
      <c r="A470" s="10"/>
      <c r="B470" s="20"/>
      <c r="C470" s="20"/>
      <c r="D470" s="20"/>
      <c r="E470" s="20"/>
      <c r="F470" s="3"/>
      <c r="G470" s="10"/>
      <c r="H470" s="3"/>
      <c r="I470" s="3"/>
      <c r="J470" s="3"/>
      <c r="K470" s="3"/>
    </row>
    <row r="471" spans="1:11" x14ac:dyDescent="0.3">
      <c r="A471" s="10"/>
      <c r="B471" s="20"/>
      <c r="C471" s="20"/>
      <c r="D471" s="20"/>
      <c r="E471" s="20"/>
      <c r="F471" s="3"/>
      <c r="G471" s="10"/>
      <c r="H471" s="3"/>
      <c r="I471" s="3"/>
      <c r="J471" s="3"/>
      <c r="K471" s="3"/>
    </row>
    <row r="472" spans="1:11" x14ac:dyDescent="0.3">
      <c r="A472" s="10"/>
      <c r="B472" s="20"/>
      <c r="C472" s="20"/>
      <c r="D472" s="20"/>
      <c r="E472" s="20"/>
      <c r="F472" s="3"/>
      <c r="G472" s="10"/>
      <c r="H472" s="3"/>
      <c r="I472" s="3"/>
      <c r="J472" s="3"/>
      <c r="K472" s="3"/>
    </row>
    <row r="473" spans="1:11" x14ac:dyDescent="0.3">
      <c r="A473" s="10"/>
      <c r="B473" s="20"/>
      <c r="C473" s="20"/>
      <c r="D473" s="20"/>
      <c r="E473" s="20"/>
      <c r="F473" s="3"/>
      <c r="G473" s="10"/>
      <c r="H473" s="3"/>
      <c r="I473" s="3"/>
      <c r="J473" s="3"/>
      <c r="K473" s="3"/>
    </row>
    <row r="474" spans="1:11" x14ac:dyDescent="0.3">
      <c r="A474" s="10"/>
      <c r="B474" s="20"/>
      <c r="C474" s="20"/>
      <c r="D474" s="20"/>
      <c r="E474" s="20"/>
      <c r="F474" s="3"/>
      <c r="G474" s="10"/>
      <c r="H474" s="3"/>
      <c r="I474" s="3"/>
      <c r="J474" s="3"/>
      <c r="K474" s="3"/>
    </row>
    <row r="475" spans="1:11" x14ac:dyDescent="0.3">
      <c r="A475" s="10"/>
      <c r="B475" s="20"/>
      <c r="C475" s="20"/>
      <c r="D475" s="20"/>
      <c r="E475" s="20"/>
      <c r="F475" s="3"/>
      <c r="G475" s="10"/>
      <c r="H475" s="3"/>
      <c r="I475" s="3"/>
      <c r="J475" s="3"/>
      <c r="K475" s="3"/>
    </row>
    <row r="476" spans="1:11" x14ac:dyDescent="0.3">
      <c r="A476" s="10"/>
      <c r="B476" s="20"/>
      <c r="C476" s="20"/>
      <c r="D476" s="20"/>
      <c r="E476" s="20"/>
      <c r="F476" s="3"/>
      <c r="G476" s="10"/>
      <c r="H476" s="3"/>
      <c r="I476" s="3"/>
      <c r="J476" s="3"/>
      <c r="K476" s="3"/>
    </row>
    <row r="477" spans="1:11" x14ac:dyDescent="0.3">
      <c r="A477" s="10"/>
      <c r="B477" s="20"/>
      <c r="C477" s="20"/>
      <c r="D477" s="20"/>
      <c r="E477" s="20"/>
      <c r="F477" s="3"/>
      <c r="G477" s="10"/>
      <c r="H477" s="3"/>
      <c r="I477" s="3"/>
      <c r="J477" s="3"/>
      <c r="K477" s="3"/>
    </row>
    <row r="478" spans="1:11" x14ac:dyDescent="0.3">
      <c r="A478" s="10"/>
      <c r="B478" s="20"/>
      <c r="C478" s="20"/>
      <c r="D478" s="20"/>
      <c r="E478" s="20"/>
      <c r="F478" s="3"/>
      <c r="G478" s="10"/>
      <c r="H478" s="3"/>
      <c r="I478" s="3"/>
      <c r="J478" s="3"/>
      <c r="K478" s="3"/>
    </row>
    <row r="479" spans="1:11" x14ac:dyDescent="0.3">
      <c r="A479" s="10"/>
      <c r="B479" s="20"/>
      <c r="C479" s="20"/>
      <c r="D479" s="20"/>
      <c r="E479" s="20"/>
      <c r="F479" s="3"/>
      <c r="G479" s="10"/>
      <c r="H479" s="3"/>
      <c r="I479" s="3"/>
      <c r="J479" s="3"/>
      <c r="K479" s="3"/>
    </row>
    <row r="480" spans="1:11" x14ac:dyDescent="0.3">
      <c r="A480" s="10"/>
      <c r="B480" s="20"/>
      <c r="C480" s="20"/>
      <c r="D480" s="20"/>
      <c r="E480" s="20"/>
      <c r="F480" s="3"/>
      <c r="G480" s="10"/>
      <c r="H480" s="3"/>
      <c r="I480" s="3"/>
      <c r="J480" s="3"/>
      <c r="K480" s="3"/>
    </row>
    <row r="481" spans="1:11" x14ac:dyDescent="0.3">
      <c r="A481" s="10"/>
      <c r="B481" s="20"/>
      <c r="C481" s="20"/>
      <c r="D481" s="20"/>
      <c r="E481" s="20"/>
      <c r="F481" s="3"/>
      <c r="G481" s="10"/>
      <c r="H481" s="3"/>
      <c r="I481" s="3"/>
      <c r="J481" s="3"/>
      <c r="K481" s="3"/>
    </row>
    <row r="482" spans="1:11" x14ac:dyDescent="0.3">
      <c r="A482" s="10"/>
      <c r="B482" s="20"/>
      <c r="C482" s="20"/>
      <c r="D482" s="20"/>
      <c r="E482" s="20"/>
      <c r="F482" s="3"/>
      <c r="G482" s="10"/>
      <c r="H482" s="3"/>
      <c r="I482" s="3"/>
      <c r="J482" s="3"/>
      <c r="K482" s="3"/>
    </row>
    <row r="483" spans="1:11" x14ac:dyDescent="0.3">
      <c r="A483" s="10"/>
      <c r="B483" s="20"/>
      <c r="C483" s="20"/>
      <c r="D483" s="20"/>
      <c r="E483" s="20"/>
      <c r="F483" s="3"/>
      <c r="G483" s="10"/>
      <c r="H483" s="3"/>
      <c r="I483" s="3"/>
      <c r="J483" s="3"/>
      <c r="K483" s="3"/>
    </row>
    <row r="484" spans="1:11" x14ac:dyDescent="0.3">
      <c r="A484" s="10"/>
      <c r="B484" s="20"/>
      <c r="C484" s="20"/>
      <c r="D484" s="20"/>
      <c r="E484" s="20"/>
      <c r="F484" s="3"/>
      <c r="G484" s="10"/>
      <c r="H484" s="3"/>
      <c r="I484" s="3"/>
      <c r="J484" s="3"/>
      <c r="K484" s="3"/>
    </row>
    <row r="485" spans="1:11" x14ac:dyDescent="0.3">
      <c r="A485" s="10"/>
      <c r="B485" s="20"/>
      <c r="C485" s="20"/>
      <c r="D485" s="20"/>
      <c r="E485" s="20"/>
      <c r="F485" s="3"/>
      <c r="G485" s="10"/>
      <c r="H485" s="3"/>
      <c r="I485" s="3"/>
      <c r="J485" s="3"/>
      <c r="K485" s="3"/>
    </row>
    <row r="486" spans="1:11" x14ac:dyDescent="0.3">
      <c r="A486" s="10"/>
      <c r="B486" s="20"/>
      <c r="C486" s="20"/>
      <c r="D486" s="20"/>
      <c r="E486" s="20"/>
      <c r="F486" s="3"/>
      <c r="G486" s="10"/>
      <c r="H486" s="3"/>
      <c r="I486" s="3"/>
      <c r="J486" s="3"/>
      <c r="K486" s="3"/>
    </row>
    <row r="487" spans="1:11" x14ac:dyDescent="0.3">
      <c r="A487" s="10"/>
      <c r="B487" s="20"/>
      <c r="C487" s="20"/>
      <c r="D487" s="20"/>
      <c r="E487" s="20"/>
      <c r="F487" s="3"/>
      <c r="G487" s="10"/>
      <c r="H487" s="3"/>
      <c r="I487" s="3"/>
      <c r="J487" s="3"/>
      <c r="K487" s="3"/>
    </row>
    <row r="488" spans="1:11" x14ac:dyDescent="0.3">
      <c r="A488" s="10"/>
      <c r="B488" s="20"/>
      <c r="C488" s="20"/>
      <c r="D488" s="20"/>
      <c r="E488" s="20"/>
      <c r="F488" s="3"/>
      <c r="G488" s="10"/>
      <c r="H488" s="3"/>
      <c r="I488" s="3"/>
      <c r="J488" s="3"/>
      <c r="K488" s="3"/>
    </row>
    <row r="489" spans="1:11" x14ac:dyDescent="0.3">
      <c r="A489" s="10"/>
      <c r="B489" s="20"/>
      <c r="C489" s="20"/>
      <c r="D489" s="20"/>
      <c r="E489" s="20"/>
      <c r="F489" s="3"/>
      <c r="G489" s="10"/>
      <c r="H489" s="3"/>
      <c r="I489" s="3"/>
      <c r="J489" s="3"/>
      <c r="K489" s="3"/>
    </row>
    <row r="490" spans="1:11" x14ac:dyDescent="0.3">
      <c r="A490" s="10"/>
      <c r="B490" s="20"/>
      <c r="C490" s="20"/>
      <c r="D490" s="20"/>
      <c r="E490" s="20"/>
      <c r="F490" s="3"/>
      <c r="G490" s="10"/>
      <c r="H490" s="3"/>
      <c r="I490" s="3"/>
      <c r="J490" s="3"/>
      <c r="K490" s="3"/>
    </row>
    <row r="491" spans="1:11" x14ac:dyDescent="0.3">
      <c r="A491" s="10"/>
      <c r="B491" s="20"/>
      <c r="C491" s="20"/>
      <c r="D491" s="20"/>
      <c r="E491" s="20"/>
      <c r="F491" s="3"/>
      <c r="G491" s="10"/>
      <c r="H491" s="3"/>
      <c r="I491" s="3"/>
      <c r="J491" s="3"/>
      <c r="K491" s="3"/>
    </row>
    <row r="492" spans="1:11" x14ac:dyDescent="0.3">
      <c r="A492" s="10"/>
      <c r="B492" s="20"/>
      <c r="C492" s="20"/>
      <c r="D492" s="20"/>
      <c r="E492" s="20"/>
      <c r="F492" s="3"/>
      <c r="G492" s="10"/>
      <c r="H492" s="3"/>
      <c r="I492" s="3"/>
      <c r="J492" s="3"/>
      <c r="K492" s="3"/>
    </row>
    <row r="493" spans="1:11" x14ac:dyDescent="0.3">
      <c r="A493" s="10"/>
      <c r="B493" s="20"/>
      <c r="C493" s="20"/>
      <c r="D493" s="20"/>
      <c r="E493" s="20"/>
      <c r="F493" s="3"/>
      <c r="G493" s="10"/>
      <c r="H493" s="3"/>
      <c r="I493" s="3"/>
      <c r="J493" s="3"/>
      <c r="K493" s="3"/>
    </row>
    <row r="494" spans="1:11" x14ac:dyDescent="0.3">
      <c r="A494" s="10"/>
      <c r="B494" s="20"/>
      <c r="C494" s="20"/>
      <c r="D494" s="20"/>
      <c r="E494" s="20"/>
      <c r="F494" s="3"/>
      <c r="G494" s="10"/>
      <c r="H494" s="3"/>
      <c r="I494" s="3"/>
      <c r="J494" s="3"/>
      <c r="K494" s="3"/>
    </row>
    <row r="495" spans="1:11" x14ac:dyDescent="0.3">
      <c r="A495" s="10"/>
      <c r="B495" s="20"/>
      <c r="C495" s="20"/>
      <c r="D495" s="20"/>
      <c r="E495" s="20"/>
      <c r="F495" s="3"/>
      <c r="G495" s="10"/>
      <c r="H495" s="3"/>
      <c r="I495" s="3"/>
      <c r="J495" s="3"/>
      <c r="K495" s="3"/>
    </row>
    <row r="496" spans="1:11" x14ac:dyDescent="0.3">
      <c r="A496" s="10"/>
      <c r="B496" s="20"/>
      <c r="C496" s="20"/>
      <c r="D496" s="20"/>
      <c r="E496" s="20"/>
      <c r="F496" s="3"/>
      <c r="G496" s="10"/>
      <c r="H496" s="3"/>
      <c r="I496" s="3"/>
      <c r="J496" s="3"/>
      <c r="K496" s="3"/>
    </row>
    <row r="497" spans="1:11" x14ac:dyDescent="0.3">
      <c r="A497" s="10"/>
      <c r="B497" s="20"/>
      <c r="C497" s="20"/>
      <c r="D497" s="20"/>
      <c r="E497" s="20"/>
      <c r="F497" s="3"/>
      <c r="G497" s="10"/>
      <c r="H497" s="3"/>
      <c r="I497" s="3"/>
      <c r="J497" s="3"/>
      <c r="K497" s="3"/>
    </row>
    <row r="498" spans="1:11" x14ac:dyDescent="0.3">
      <c r="A498" s="10"/>
      <c r="B498" s="20"/>
      <c r="C498" s="20"/>
      <c r="D498" s="20"/>
      <c r="E498" s="20"/>
      <c r="F498" s="3"/>
      <c r="G498" s="10"/>
      <c r="H498" s="3"/>
      <c r="I498" s="3"/>
      <c r="J498" s="3"/>
      <c r="K498" s="3"/>
    </row>
    <row r="499" spans="1:11" x14ac:dyDescent="0.3">
      <c r="A499" s="10"/>
      <c r="B499" s="20"/>
      <c r="C499" s="20"/>
      <c r="D499" s="20"/>
      <c r="E499" s="20"/>
      <c r="F499" s="3"/>
      <c r="G499" s="10"/>
      <c r="H499" s="3"/>
      <c r="I499" s="3"/>
      <c r="J499" s="3"/>
      <c r="K499" s="3"/>
    </row>
    <row r="500" spans="1:11" x14ac:dyDescent="0.3">
      <c r="A500" s="10"/>
      <c r="B500" s="20"/>
      <c r="C500" s="20"/>
      <c r="D500" s="20"/>
      <c r="E500" s="20"/>
      <c r="F500" s="3"/>
      <c r="G500" s="10"/>
      <c r="H500" s="3"/>
      <c r="I500" s="3"/>
      <c r="J500" s="3"/>
      <c r="K500" s="3"/>
    </row>
    <row r="501" spans="1:11" x14ac:dyDescent="0.3">
      <c r="A501" s="10"/>
      <c r="B501" s="20"/>
      <c r="C501" s="20"/>
      <c r="D501" s="20"/>
      <c r="E501" s="20"/>
      <c r="F501" s="3"/>
      <c r="G501" s="10"/>
      <c r="H501" s="3"/>
      <c r="I501" s="3"/>
      <c r="J501" s="3"/>
      <c r="K50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336A-EAB7-4B9A-8882-F60021E40963}">
  <sheetPr codeName="Sheet10">
    <tabColor theme="7" tint="0.39997558519241921"/>
  </sheetPr>
  <dimension ref="A1:K301"/>
  <sheetViews>
    <sheetView workbookViewId="0">
      <selection activeCell="A2" sqref="A2"/>
    </sheetView>
  </sheetViews>
  <sheetFormatPr defaultRowHeight="14.4" x14ac:dyDescent="0.3"/>
  <cols>
    <col min="1" max="1" width="15.77734375" style="11" bestFit="1" customWidth="1"/>
    <col min="2" max="5" width="12.77734375" style="13" bestFit="1" customWidth="1"/>
    <col min="6" max="6" width="12" style="9" bestFit="1" customWidth="1"/>
    <col min="7" max="7" width="15.88671875" style="11" bestFit="1" customWidth="1"/>
    <col min="8" max="8" width="16.77734375" style="9" bestFit="1" customWidth="1"/>
    <col min="9" max="9" width="15.109375" style="9" bestFit="1" customWidth="1"/>
    <col min="10" max="10" width="15.21875" style="9" bestFit="1" customWidth="1"/>
    <col min="11" max="11" width="16.44140625" style="9" bestFit="1" customWidth="1"/>
    <col min="12" max="16384" width="8.88671875" style="9"/>
  </cols>
  <sheetData>
    <row r="1" spans="1:11" x14ac:dyDescent="0.3">
      <c r="A1" s="1" t="str" cm="1">
        <f t="array" ref="A1">_xll.KlineStream("BTCUSDT","4h",300)</f>
        <v xml:space="preserve">no close frame received or sent: Traceback (most recent call last):
  File "C:\Program Files\Python311\Lib\asyncio\proactor_events.py", line 305, in _loop_reading
    self._read_fut = self._loop._proactor.recv_into(self._sock, self._data)
                     ^^^^^^^^^^^^^^^^^^^^^^^^^^^^^^^^^^^^^^^^^^^^^^^^^^^^^^
  File "C:\Program Files\Python311\Lib\asyncio\windows_events.py", line 486, in recv_into
    ov.WSARecvInto(conn.fileno(), buf, flags)
ConnectionResetError: [WinError 10054] An existing connection was forcibly closed by the remote host
The above exception was the direct cause of the following exception:
Traceback (most recent call last):
  File "C:\Program Files\Python311\Lib\site-packages\xloil\register.py", line 192, in run_async
    async for result in fn(*args, **kwargs):
  File "C:\Users\HP\Desktop\MIS_Project\Bitcoin\Data\KlineStream.py", line 118, in KlineStream
    async for raw in ws:
  File "C:\Program Files\Python311\Lib\site-packages\websockets\asyncio\connection.py", line 242, in __aiter__
    yield await self.recv()
          ^^^^^^^^^^^^^^^^^
  File "C:\Program Files\Python311\Lib\site-packages\websockets\asyncio\connection.py", line 322, in recv
    raise self.protocol.close_exc from self.recv_exc
websockets.exceptions.ConnectionClosedError: no close frame received or sent
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4"/>
      <c r="B2" s="15"/>
      <c r="C2" s="15"/>
      <c r="D2" s="15"/>
      <c r="E2" s="15"/>
      <c r="F2" s="16"/>
      <c r="G2" s="14"/>
      <c r="H2" s="16"/>
      <c r="I2" s="16"/>
      <c r="J2" s="16"/>
      <c r="K2" s="16"/>
    </row>
    <row r="3" spans="1:11" x14ac:dyDescent="0.3">
      <c r="A3" s="10"/>
      <c r="B3" s="12"/>
      <c r="C3" s="12"/>
      <c r="D3" s="12"/>
      <c r="E3" s="12"/>
      <c r="F3" s="3"/>
      <c r="G3" s="10"/>
      <c r="H3" s="3"/>
      <c r="I3" s="3"/>
      <c r="J3" s="3"/>
      <c r="K3" s="3"/>
    </row>
    <row r="4" spans="1:11" x14ac:dyDescent="0.3">
      <c r="A4" s="10"/>
      <c r="B4" s="12"/>
      <c r="C4" s="12"/>
      <c r="D4" s="12"/>
      <c r="E4" s="12"/>
      <c r="F4" s="3"/>
      <c r="G4" s="10"/>
      <c r="H4" s="3"/>
      <c r="I4" s="3"/>
      <c r="J4" s="3"/>
      <c r="K4" s="3"/>
    </row>
    <row r="5" spans="1:11" x14ac:dyDescent="0.3">
      <c r="A5" s="10"/>
      <c r="B5" s="12"/>
      <c r="C5" s="12"/>
      <c r="D5" s="12"/>
      <c r="E5" s="12"/>
      <c r="F5" s="3"/>
      <c r="G5" s="10"/>
      <c r="H5" s="3"/>
      <c r="I5" s="3"/>
      <c r="J5" s="3"/>
      <c r="K5" s="3"/>
    </row>
    <row r="6" spans="1:11" x14ac:dyDescent="0.3">
      <c r="A6" s="10"/>
      <c r="B6" s="12"/>
      <c r="C6" s="12"/>
      <c r="D6" s="12"/>
      <c r="E6" s="12"/>
      <c r="F6" s="3"/>
      <c r="G6" s="10"/>
      <c r="H6" s="3"/>
      <c r="I6" s="3"/>
      <c r="J6" s="3"/>
      <c r="K6" s="3"/>
    </row>
    <row r="7" spans="1:11" x14ac:dyDescent="0.3">
      <c r="A7" s="10"/>
      <c r="B7" s="12"/>
      <c r="C7" s="12"/>
      <c r="D7" s="12"/>
      <c r="E7" s="12"/>
      <c r="F7" s="3"/>
      <c r="G7" s="10"/>
      <c r="H7" s="3"/>
      <c r="I7" s="3"/>
      <c r="J7" s="3"/>
      <c r="K7" s="3"/>
    </row>
    <row r="8" spans="1:11" x14ac:dyDescent="0.3">
      <c r="A8" s="10"/>
      <c r="B8" s="12"/>
      <c r="C8" s="12"/>
      <c r="D8" s="12"/>
      <c r="E8" s="12"/>
      <c r="F8" s="3"/>
      <c r="G8" s="10"/>
      <c r="H8" s="3"/>
      <c r="I8" s="3"/>
      <c r="J8" s="3"/>
      <c r="K8" s="3"/>
    </row>
    <row r="9" spans="1:11" x14ac:dyDescent="0.3">
      <c r="A9" s="10"/>
      <c r="B9" s="12"/>
      <c r="C9" s="12"/>
      <c r="D9" s="12"/>
      <c r="E9" s="12"/>
      <c r="F9" s="3"/>
      <c r="G9" s="10"/>
      <c r="H9" s="3"/>
      <c r="I9" s="3"/>
      <c r="J9" s="3"/>
      <c r="K9" s="3"/>
    </row>
    <row r="10" spans="1:11" x14ac:dyDescent="0.3">
      <c r="A10" s="10"/>
      <c r="B10" s="12"/>
      <c r="C10" s="12"/>
      <c r="D10" s="12"/>
      <c r="E10" s="12"/>
      <c r="F10" s="3"/>
      <c r="G10" s="10"/>
      <c r="H10" s="3"/>
      <c r="I10" s="3"/>
      <c r="J10" s="3"/>
      <c r="K10" s="3"/>
    </row>
    <row r="11" spans="1:11" x14ac:dyDescent="0.3">
      <c r="A11" s="10"/>
      <c r="B11" s="12"/>
      <c r="C11" s="12"/>
      <c r="D11" s="12"/>
      <c r="E11" s="12"/>
      <c r="F11" s="3"/>
      <c r="G11" s="10"/>
      <c r="H11" s="3"/>
      <c r="I11" s="3"/>
      <c r="J11" s="3"/>
      <c r="K11" s="3"/>
    </row>
    <row r="12" spans="1:11" x14ac:dyDescent="0.3">
      <c r="A12" s="10"/>
      <c r="B12" s="12"/>
      <c r="C12" s="12"/>
      <c r="D12" s="12"/>
      <c r="E12" s="12"/>
      <c r="F12" s="3"/>
      <c r="G12" s="10"/>
      <c r="H12" s="3"/>
      <c r="I12" s="3"/>
      <c r="J12" s="3"/>
      <c r="K12" s="3"/>
    </row>
    <row r="13" spans="1:11" x14ac:dyDescent="0.3">
      <c r="A13" s="10"/>
      <c r="B13" s="12"/>
      <c r="C13" s="12"/>
      <c r="D13" s="12"/>
      <c r="E13" s="12"/>
      <c r="F13" s="3"/>
      <c r="G13" s="10"/>
      <c r="H13" s="3"/>
      <c r="I13" s="3"/>
      <c r="J13" s="3"/>
      <c r="K13" s="3"/>
    </row>
    <row r="14" spans="1:11" x14ac:dyDescent="0.3">
      <c r="A14" s="10"/>
      <c r="B14" s="12"/>
      <c r="C14" s="12"/>
      <c r="D14" s="12"/>
      <c r="E14" s="12"/>
      <c r="F14" s="3"/>
      <c r="G14" s="10"/>
      <c r="H14" s="3"/>
      <c r="I14" s="3"/>
      <c r="J14" s="3"/>
      <c r="K14" s="3"/>
    </row>
    <row r="15" spans="1:11" x14ac:dyDescent="0.3">
      <c r="A15" s="10"/>
      <c r="B15" s="12"/>
      <c r="C15" s="12"/>
      <c r="D15" s="12"/>
      <c r="E15" s="12"/>
      <c r="F15" s="3"/>
      <c r="G15" s="10"/>
      <c r="H15" s="3"/>
      <c r="I15" s="3"/>
      <c r="J15" s="3"/>
      <c r="K15" s="3"/>
    </row>
    <row r="16" spans="1:11" x14ac:dyDescent="0.3">
      <c r="A16" s="10"/>
      <c r="B16" s="12"/>
      <c r="C16" s="12"/>
      <c r="D16" s="12"/>
      <c r="E16" s="12"/>
      <c r="F16" s="3"/>
      <c r="G16" s="10"/>
      <c r="H16" s="3"/>
      <c r="I16" s="3"/>
      <c r="J16" s="3"/>
      <c r="K16" s="3"/>
    </row>
    <row r="17" spans="1:11" x14ac:dyDescent="0.3">
      <c r="A17" s="10"/>
      <c r="B17" s="12"/>
      <c r="C17" s="12"/>
      <c r="D17" s="12"/>
      <c r="E17" s="12"/>
      <c r="F17" s="3"/>
      <c r="G17" s="10"/>
      <c r="H17" s="3"/>
      <c r="I17" s="3"/>
      <c r="J17" s="3"/>
      <c r="K17" s="3"/>
    </row>
    <row r="18" spans="1:11" x14ac:dyDescent="0.3">
      <c r="A18" s="10"/>
      <c r="B18" s="12"/>
      <c r="C18" s="12"/>
      <c r="D18" s="12"/>
      <c r="E18" s="12"/>
      <c r="F18" s="3"/>
      <c r="G18" s="10"/>
      <c r="H18" s="3"/>
      <c r="I18" s="3"/>
      <c r="J18" s="3"/>
      <c r="K18" s="3"/>
    </row>
    <row r="19" spans="1:11" x14ac:dyDescent="0.3">
      <c r="A19" s="10"/>
      <c r="B19" s="12"/>
      <c r="C19" s="12"/>
      <c r="D19" s="12"/>
      <c r="E19" s="12"/>
      <c r="F19" s="3"/>
      <c r="G19" s="10"/>
      <c r="H19" s="3"/>
      <c r="I19" s="3"/>
      <c r="J19" s="3"/>
      <c r="K19" s="3"/>
    </row>
    <row r="20" spans="1:11" x14ac:dyDescent="0.3">
      <c r="A20" s="10"/>
      <c r="B20" s="12"/>
      <c r="C20" s="12"/>
      <c r="D20" s="12"/>
      <c r="E20" s="12"/>
      <c r="F20" s="3"/>
      <c r="G20" s="10"/>
      <c r="H20" s="3"/>
      <c r="I20" s="3"/>
      <c r="J20" s="3"/>
      <c r="K20" s="3"/>
    </row>
    <row r="21" spans="1:11" x14ac:dyDescent="0.3">
      <c r="A21" s="10"/>
      <c r="B21" s="12"/>
      <c r="C21" s="12"/>
      <c r="D21" s="12"/>
      <c r="E21" s="12"/>
      <c r="F21" s="3"/>
      <c r="G21" s="10"/>
      <c r="H21" s="3"/>
      <c r="I21" s="3"/>
      <c r="J21" s="3"/>
      <c r="K21" s="3"/>
    </row>
    <row r="22" spans="1:11" x14ac:dyDescent="0.3">
      <c r="A22" s="10"/>
      <c r="B22" s="12"/>
      <c r="C22" s="12"/>
      <c r="D22" s="12"/>
      <c r="E22" s="12"/>
      <c r="F22" s="3"/>
      <c r="G22" s="10"/>
      <c r="H22" s="3"/>
      <c r="I22" s="3"/>
      <c r="J22" s="3"/>
      <c r="K22" s="3"/>
    </row>
    <row r="23" spans="1:11" x14ac:dyDescent="0.3">
      <c r="A23" s="10"/>
      <c r="B23" s="12"/>
      <c r="C23" s="12"/>
      <c r="D23" s="12"/>
      <c r="E23" s="12"/>
      <c r="F23" s="3"/>
      <c r="G23" s="10"/>
      <c r="H23" s="3"/>
      <c r="I23" s="3"/>
      <c r="J23" s="3"/>
      <c r="K23" s="3"/>
    </row>
    <row r="24" spans="1:11" x14ac:dyDescent="0.3">
      <c r="A24" s="10"/>
      <c r="B24" s="12"/>
      <c r="C24" s="12"/>
      <c r="D24" s="12"/>
      <c r="E24" s="12"/>
      <c r="F24" s="3"/>
      <c r="G24" s="10"/>
      <c r="H24" s="3"/>
      <c r="I24" s="3"/>
      <c r="J24" s="3"/>
      <c r="K24" s="3"/>
    </row>
    <row r="25" spans="1:11" x14ac:dyDescent="0.3">
      <c r="A25" s="10"/>
      <c r="B25" s="12"/>
      <c r="C25" s="12"/>
      <c r="D25" s="12"/>
      <c r="E25" s="12"/>
      <c r="F25" s="3"/>
      <c r="G25" s="10"/>
      <c r="H25" s="3"/>
      <c r="I25" s="3"/>
      <c r="J25" s="3"/>
      <c r="K25" s="3"/>
    </row>
    <row r="26" spans="1:11" x14ac:dyDescent="0.3">
      <c r="A26" s="10"/>
      <c r="B26" s="12"/>
      <c r="C26" s="12"/>
      <c r="D26" s="12"/>
      <c r="E26" s="12"/>
      <c r="F26" s="3"/>
      <c r="G26" s="10"/>
      <c r="H26" s="3"/>
      <c r="I26" s="3"/>
      <c r="J26" s="3"/>
      <c r="K26" s="3"/>
    </row>
    <row r="27" spans="1:11" x14ac:dyDescent="0.3">
      <c r="A27" s="10"/>
      <c r="B27" s="12"/>
      <c r="C27" s="12"/>
      <c r="D27" s="12"/>
      <c r="E27" s="12"/>
      <c r="F27" s="3"/>
      <c r="G27" s="10"/>
      <c r="H27" s="3"/>
      <c r="I27" s="3"/>
      <c r="J27" s="3"/>
      <c r="K27" s="3"/>
    </row>
    <row r="28" spans="1:11" x14ac:dyDescent="0.3">
      <c r="A28" s="10"/>
      <c r="B28" s="12"/>
      <c r="C28" s="12"/>
      <c r="D28" s="12"/>
      <c r="E28" s="12"/>
      <c r="F28" s="3"/>
      <c r="G28" s="10"/>
      <c r="H28" s="3"/>
      <c r="I28" s="3"/>
      <c r="J28" s="3"/>
      <c r="K28" s="3"/>
    </row>
    <row r="29" spans="1:11" x14ac:dyDescent="0.3">
      <c r="A29" s="10"/>
      <c r="B29" s="12"/>
      <c r="C29" s="12"/>
      <c r="D29" s="12"/>
      <c r="E29" s="12"/>
      <c r="F29" s="3"/>
      <c r="G29" s="10"/>
      <c r="H29" s="3"/>
      <c r="I29" s="3"/>
      <c r="J29" s="3"/>
      <c r="K29" s="3"/>
    </row>
    <row r="30" spans="1:11" x14ac:dyDescent="0.3">
      <c r="A30" s="10"/>
      <c r="B30" s="12"/>
      <c r="C30" s="12"/>
      <c r="D30" s="12"/>
      <c r="E30" s="12"/>
      <c r="F30" s="3"/>
      <c r="G30" s="10"/>
      <c r="H30" s="3"/>
      <c r="I30" s="3"/>
      <c r="J30" s="3"/>
      <c r="K30" s="3"/>
    </row>
    <row r="31" spans="1:11" x14ac:dyDescent="0.3">
      <c r="A31" s="10"/>
      <c r="B31" s="12"/>
      <c r="C31" s="12"/>
      <c r="D31" s="12"/>
      <c r="E31" s="12"/>
      <c r="F31" s="3"/>
      <c r="G31" s="10"/>
      <c r="H31" s="3"/>
      <c r="I31" s="3"/>
      <c r="J31" s="3"/>
      <c r="K31" s="3"/>
    </row>
    <row r="32" spans="1:11" x14ac:dyDescent="0.3">
      <c r="A32" s="10"/>
      <c r="B32" s="12"/>
      <c r="C32" s="12"/>
      <c r="D32" s="12"/>
      <c r="E32" s="12"/>
      <c r="F32" s="3"/>
      <c r="G32" s="10"/>
      <c r="H32" s="3"/>
      <c r="I32" s="3"/>
      <c r="J32" s="3"/>
      <c r="K32" s="3"/>
    </row>
    <row r="33" spans="1:11" x14ac:dyDescent="0.3">
      <c r="A33" s="10"/>
      <c r="B33" s="12"/>
      <c r="C33" s="12"/>
      <c r="D33" s="12"/>
      <c r="E33" s="12"/>
      <c r="F33" s="3"/>
      <c r="G33" s="10"/>
      <c r="H33" s="3"/>
      <c r="I33" s="3"/>
      <c r="J33" s="3"/>
      <c r="K33" s="3"/>
    </row>
    <row r="34" spans="1:11" x14ac:dyDescent="0.3">
      <c r="A34" s="10"/>
      <c r="B34" s="12"/>
      <c r="C34" s="12"/>
      <c r="D34" s="12"/>
      <c r="E34" s="12"/>
      <c r="F34" s="3"/>
      <c r="G34" s="10"/>
      <c r="H34" s="3"/>
      <c r="I34" s="3"/>
      <c r="J34" s="3"/>
      <c r="K34" s="3"/>
    </row>
    <row r="35" spans="1:11" x14ac:dyDescent="0.3">
      <c r="A35" s="10"/>
      <c r="B35" s="12"/>
      <c r="C35" s="12"/>
      <c r="D35" s="12"/>
      <c r="E35" s="12"/>
      <c r="F35" s="3"/>
      <c r="G35" s="10"/>
      <c r="H35" s="3"/>
      <c r="I35" s="3"/>
      <c r="J35" s="3"/>
      <c r="K35" s="3"/>
    </row>
    <row r="36" spans="1:11" x14ac:dyDescent="0.3">
      <c r="A36" s="10"/>
      <c r="B36" s="12"/>
      <c r="C36" s="12"/>
      <c r="D36" s="12"/>
      <c r="E36" s="12"/>
      <c r="F36" s="3"/>
      <c r="G36" s="10"/>
      <c r="H36" s="3"/>
      <c r="I36" s="3"/>
      <c r="J36" s="3"/>
      <c r="K36" s="3"/>
    </row>
    <row r="37" spans="1:11" x14ac:dyDescent="0.3">
      <c r="A37" s="10"/>
      <c r="B37" s="12"/>
      <c r="C37" s="12"/>
      <c r="D37" s="12"/>
      <c r="E37" s="12"/>
      <c r="F37" s="3"/>
      <c r="G37" s="10"/>
      <c r="H37" s="3"/>
      <c r="I37" s="3"/>
      <c r="J37" s="3"/>
      <c r="K37" s="3"/>
    </row>
    <row r="38" spans="1:11" x14ac:dyDescent="0.3">
      <c r="A38" s="10"/>
      <c r="B38" s="12"/>
      <c r="C38" s="12"/>
      <c r="D38" s="12"/>
      <c r="E38" s="12"/>
      <c r="F38" s="3"/>
      <c r="G38" s="10"/>
      <c r="H38" s="3"/>
      <c r="I38" s="3"/>
      <c r="J38" s="3"/>
      <c r="K38" s="3"/>
    </row>
    <row r="39" spans="1:11" x14ac:dyDescent="0.3">
      <c r="A39" s="10"/>
      <c r="B39" s="12"/>
      <c r="C39" s="12"/>
      <c r="D39" s="12"/>
      <c r="E39" s="12"/>
      <c r="F39" s="3"/>
      <c r="G39" s="10"/>
      <c r="H39" s="3"/>
      <c r="I39" s="3"/>
      <c r="J39" s="3"/>
      <c r="K39" s="3"/>
    </row>
    <row r="40" spans="1:11" x14ac:dyDescent="0.3">
      <c r="A40" s="10"/>
      <c r="B40" s="12"/>
      <c r="C40" s="12"/>
      <c r="D40" s="12"/>
      <c r="E40" s="12"/>
      <c r="F40" s="3"/>
      <c r="G40" s="10"/>
      <c r="H40" s="3"/>
      <c r="I40" s="3"/>
      <c r="J40" s="3"/>
      <c r="K40" s="3"/>
    </row>
    <row r="41" spans="1:11" x14ac:dyDescent="0.3">
      <c r="A41" s="10"/>
      <c r="B41" s="12"/>
      <c r="C41" s="12"/>
      <c r="D41" s="12"/>
      <c r="E41" s="12"/>
      <c r="F41" s="3"/>
      <c r="G41" s="10"/>
      <c r="H41" s="3"/>
      <c r="I41" s="3"/>
      <c r="J41" s="3"/>
      <c r="K41" s="3"/>
    </row>
    <row r="42" spans="1:11" x14ac:dyDescent="0.3">
      <c r="A42" s="10"/>
      <c r="B42" s="12"/>
      <c r="C42" s="12"/>
      <c r="D42" s="12"/>
      <c r="E42" s="12"/>
      <c r="F42" s="3"/>
      <c r="G42" s="10"/>
      <c r="H42" s="3"/>
      <c r="I42" s="3"/>
      <c r="J42" s="3"/>
      <c r="K42" s="3"/>
    </row>
    <row r="43" spans="1:11" x14ac:dyDescent="0.3">
      <c r="A43" s="10"/>
      <c r="B43" s="12"/>
      <c r="C43" s="12"/>
      <c r="D43" s="12"/>
      <c r="E43" s="12"/>
      <c r="F43" s="3"/>
      <c r="G43" s="10"/>
      <c r="H43" s="3"/>
      <c r="I43" s="3"/>
      <c r="J43" s="3"/>
      <c r="K43" s="3"/>
    </row>
    <row r="44" spans="1:11" x14ac:dyDescent="0.3">
      <c r="A44" s="10"/>
      <c r="B44" s="12"/>
      <c r="C44" s="12"/>
      <c r="D44" s="12"/>
      <c r="E44" s="12"/>
      <c r="F44" s="3"/>
      <c r="G44" s="10"/>
      <c r="H44" s="3"/>
      <c r="I44" s="3"/>
      <c r="J44" s="3"/>
      <c r="K44" s="3"/>
    </row>
    <row r="45" spans="1:11" x14ac:dyDescent="0.3">
      <c r="A45" s="10"/>
      <c r="B45" s="12"/>
      <c r="C45" s="12"/>
      <c r="D45" s="12"/>
      <c r="E45" s="12"/>
      <c r="F45" s="3"/>
      <c r="G45" s="10"/>
      <c r="H45" s="3"/>
      <c r="I45" s="3"/>
      <c r="J45" s="3"/>
      <c r="K45" s="3"/>
    </row>
    <row r="46" spans="1:11" x14ac:dyDescent="0.3">
      <c r="A46" s="10"/>
      <c r="B46" s="12"/>
      <c r="C46" s="12"/>
      <c r="D46" s="12"/>
      <c r="E46" s="12"/>
      <c r="F46" s="3"/>
      <c r="G46" s="10"/>
      <c r="H46" s="3"/>
      <c r="I46" s="3"/>
      <c r="J46" s="3"/>
      <c r="K46" s="3"/>
    </row>
    <row r="47" spans="1:11" x14ac:dyDescent="0.3">
      <c r="A47" s="10"/>
      <c r="B47" s="12"/>
      <c r="C47" s="12"/>
      <c r="D47" s="12"/>
      <c r="E47" s="12"/>
      <c r="F47" s="3"/>
      <c r="G47" s="10"/>
      <c r="H47" s="3"/>
      <c r="I47" s="3"/>
      <c r="J47" s="3"/>
      <c r="K47" s="3"/>
    </row>
    <row r="48" spans="1:11" x14ac:dyDescent="0.3">
      <c r="A48" s="10"/>
      <c r="B48" s="12"/>
      <c r="C48" s="12"/>
      <c r="D48" s="12"/>
      <c r="E48" s="12"/>
      <c r="F48" s="3"/>
      <c r="G48" s="10"/>
      <c r="H48" s="3"/>
      <c r="I48" s="3"/>
      <c r="J48" s="3"/>
      <c r="K48" s="3"/>
    </row>
    <row r="49" spans="1:11" x14ac:dyDescent="0.3">
      <c r="A49" s="10"/>
      <c r="B49" s="12"/>
      <c r="C49" s="12"/>
      <c r="D49" s="12"/>
      <c r="E49" s="12"/>
      <c r="F49" s="3"/>
      <c r="G49" s="10"/>
      <c r="H49" s="3"/>
      <c r="I49" s="3"/>
      <c r="J49" s="3"/>
      <c r="K49" s="3"/>
    </row>
    <row r="50" spans="1:11" x14ac:dyDescent="0.3">
      <c r="A50" s="10"/>
      <c r="B50" s="12"/>
      <c r="C50" s="12"/>
      <c r="D50" s="12"/>
      <c r="E50" s="12"/>
      <c r="F50" s="3"/>
      <c r="G50" s="10"/>
      <c r="H50" s="3"/>
      <c r="I50" s="3"/>
      <c r="J50" s="3"/>
      <c r="K50" s="3"/>
    </row>
    <row r="51" spans="1:11" x14ac:dyDescent="0.3">
      <c r="A51" s="10"/>
      <c r="B51" s="12"/>
      <c r="C51" s="12"/>
      <c r="D51" s="12"/>
      <c r="E51" s="12"/>
      <c r="F51" s="3"/>
      <c r="G51" s="10"/>
      <c r="H51" s="3"/>
      <c r="I51" s="3"/>
      <c r="J51" s="3"/>
      <c r="K51" s="3"/>
    </row>
    <row r="52" spans="1:11" x14ac:dyDescent="0.3">
      <c r="A52" s="10"/>
      <c r="B52" s="12"/>
      <c r="C52" s="12"/>
      <c r="D52" s="12"/>
      <c r="E52" s="12"/>
      <c r="F52" s="3"/>
      <c r="G52" s="10"/>
      <c r="H52" s="3"/>
      <c r="I52" s="3"/>
      <c r="J52" s="3"/>
      <c r="K52" s="3"/>
    </row>
    <row r="53" spans="1:11" x14ac:dyDescent="0.3">
      <c r="A53" s="10"/>
      <c r="B53" s="12"/>
      <c r="C53" s="12"/>
      <c r="D53" s="12"/>
      <c r="E53" s="12"/>
      <c r="F53" s="3"/>
      <c r="G53" s="10"/>
      <c r="H53" s="3"/>
      <c r="I53" s="3"/>
      <c r="J53" s="3"/>
      <c r="K53" s="3"/>
    </row>
    <row r="54" spans="1:11" x14ac:dyDescent="0.3">
      <c r="A54" s="10"/>
      <c r="B54" s="12"/>
      <c r="C54" s="12"/>
      <c r="D54" s="12"/>
      <c r="E54" s="12"/>
      <c r="F54" s="3"/>
      <c r="G54" s="10"/>
      <c r="H54" s="3"/>
      <c r="I54" s="3"/>
      <c r="J54" s="3"/>
      <c r="K54" s="3"/>
    </row>
    <row r="55" spans="1:11" x14ac:dyDescent="0.3">
      <c r="A55" s="10"/>
      <c r="B55" s="12"/>
      <c r="C55" s="12"/>
      <c r="D55" s="12"/>
      <c r="E55" s="12"/>
      <c r="F55" s="3"/>
      <c r="G55" s="10"/>
      <c r="H55" s="3"/>
      <c r="I55" s="3"/>
      <c r="J55" s="3"/>
      <c r="K55" s="3"/>
    </row>
    <row r="56" spans="1:11" x14ac:dyDescent="0.3">
      <c r="A56" s="10"/>
      <c r="B56" s="12"/>
      <c r="C56" s="12"/>
      <c r="D56" s="12"/>
      <c r="E56" s="12"/>
      <c r="F56" s="3"/>
      <c r="G56" s="10"/>
      <c r="H56" s="3"/>
      <c r="I56" s="3"/>
      <c r="J56" s="3"/>
      <c r="K56" s="3"/>
    </row>
    <row r="57" spans="1:11" x14ac:dyDescent="0.3">
      <c r="A57" s="10"/>
      <c r="B57" s="12"/>
      <c r="C57" s="12"/>
      <c r="D57" s="12"/>
      <c r="E57" s="12"/>
      <c r="F57" s="3"/>
      <c r="G57" s="10"/>
      <c r="H57" s="3"/>
      <c r="I57" s="3"/>
      <c r="J57" s="3"/>
      <c r="K57" s="3"/>
    </row>
    <row r="58" spans="1:11" x14ac:dyDescent="0.3">
      <c r="A58" s="10"/>
      <c r="B58" s="12"/>
      <c r="C58" s="12"/>
      <c r="D58" s="12"/>
      <c r="E58" s="12"/>
      <c r="F58" s="3"/>
      <c r="G58" s="10"/>
      <c r="H58" s="3"/>
      <c r="I58" s="3"/>
      <c r="J58" s="3"/>
      <c r="K58" s="3"/>
    </row>
    <row r="59" spans="1:11" x14ac:dyDescent="0.3">
      <c r="A59" s="10"/>
      <c r="B59" s="12"/>
      <c r="C59" s="12"/>
      <c r="D59" s="12"/>
      <c r="E59" s="12"/>
      <c r="F59" s="3"/>
      <c r="G59" s="10"/>
      <c r="H59" s="3"/>
      <c r="I59" s="3"/>
      <c r="J59" s="3"/>
      <c r="K59" s="3"/>
    </row>
    <row r="60" spans="1:11" x14ac:dyDescent="0.3">
      <c r="A60" s="10"/>
      <c r="B60" s="12"/>
      <c r="C60" s="12"/>
      <c r="D60" s="12"/>
      <c r="E60" s="12"/>
      <c r="F60" s="3"/>
      <c r="G60" s="10"/>
      <c r="H60" s="3"/>
      <c r="I60" s="3"/>
      <c r="J60" s="3"/>
      <c r="K60" s="3"/>
    </row>
    <row r="61" spans="1:11" x14ac:dyDescent="0.3">
      <c r="A61" s="10"/>
      <c r="B61" s="12"/>
      <c r="C61" s="12"/>
      <c r="D61" s="12"/>
      <c r="E61" s="12"/>
      <c r="F61" s="3"/>
      <c r="G61" s="10"/>
      <c r="H61" s="3"/>
      <c r="I61" s="3"/>
      <c r="J61" s="3"/>
      <c r="K61" s="3"/>
    </row>
    <row r="62" spans="1:11" x14ac:dyDescent="0.3">
      <c r="A62" s="10"/>
      <c r="B62" s="12"/>
      <c r="C62" s="12"/>
      <c r="D62" s="12"/>
      <c r="E62" s="12"/>
      <c r="F62" s="3"/>
      <c r="G62" s="10"/>
      <c r="H62" s="3"/>
      <c r="I62" s="3"/>
      <c r="J62" s="3"/>
      <c r="K62" s="3"/>
    </row>
    <row r="63" spans="1:11" x14ac:dyDescent="0.3">
      <c r="A63" s="10"/>
      <c r="B63" s="12"/>
      <c r="C63" s="12"/>
      <c r="D63" s="12"/>
      <c r="E63" s="12"/>
      <c r="F63" s="3"/>
      <c r="G63" s="10"/>
      <c r="H63" s="3"/>
      <c r="I63" s="3"/>
      <c r="J63" s="3"/>
      <c r="K63" s="3"/>
    </row>
    <row r="64" spans="1:11" x14ac:dyDescent="0.3">
      <c r="A64" s="10"/>
      <c r="B64" s="12"/>
      <c r="C64" s="12"/>
      <c r="D64" s="12"/>
      <c r="E64" s="12"/>
      <c r="F64" s="3"/>
      <c r="G64" s="10"/>
      <c r="H64" s="3"/>
      <c r="I64" s="3"/>
      <c r="J64" s="3"/>
      <c r="K64" s="3"/>
    </row>
    <row r="65" spans="1:11" x14ac:dyDescent="0.3">
      <c r="A65" s="10"/>
      <c r="B65" s="12"/>
      <c r="C65" s="12"/>
      <c r="D65" s="12"/>
      <c r="E65" s="12"/>
      <c r="F65" s="3"/>
      <c r="G65" s="10"/>
      <c r="H65" s="3"/>
      <c r="I65" s="3"/>
      <c r="J65" s="3"/>
      <c r="K65" s="3"/>
    </row>
    <row r="66" spans="1:11" x14ac:dyDescent="0.3">
      <c r="A66" s="10"/>
      <c r="B66" s="12"/>
      <c r="C66" s="12"/>
      <c r="D66" s="12"/>
      <c r="E66" s="12"/>
      <c r="F66" s="3"/>
      <c r="G66" s="10"/>
      <c r="H66" s="3"/>
      <c r="I66" s="3"/>
      <c r="J66" s="3"/>
      <c r="K66" s="3"/>
    </row>
    <row r="67" spans="1:11" x14ac:dyDescent="0.3">
      <c r="A67" s="10"/>
      <c r="B67" s="12"/>
      <c r="C67" s="12"/>
      <c r="D67" s="12"/>
      <c r="E67" s="12"/>
      <c r="F67" s="3"/>
      <c r="G67" s="10"/>
      <c r="H67" s="3"/>
      <c r="I67" s="3"/>
      <c r="J67" s="3"/>
      <c r="K67" s="3"/>
    </row>
    <row r="68" spans="1:11" x14ac:dyDescent="0.3">
      <c r="A68" s="10"/>
      <c r="B68" s="12"/>
      <c r="C68" s="12"/>
      <c r="D68" s="12"/>
      <c r="E68" s="12"/>
      <c r="F68" s="3"/>
      <c r="G68" s="10"/>
      <c r="H68" s="3"/>
      <c r="I68" s="3"/>
      <c r="J68" s="3"/>
      <c r="K68" s="3"/>
    </row>
    <row r="69" spans="1:11" x14ac:dyDescent="0.3">
      <c r="A69" s="10"/>
      <c r="B69" s="12"/>
      <c r="C69" s="12"/>
      <c r="D69" s="12"/>
      <c r="E69" s="12"/>
      <c r="F69" s="3"/>
      <c r="G69" s="10"/>
      <c r="H69" s="3"/>
      <c r="I69" s="3"/>
      <c r="J69" s="3"/>
      <c r="K69" s="3"/>
    </row>
    <row r="70" spans="1:11" x14ac:dyDescent="0.3">
      <c r="A70" s="10"/>
      <c r="B70" s="12"/>
      <c r="C70" s="12"/>
      <c r="D70" s="12"/>
      <c r="E70" s="12"/>
      <c r="F70" s="3"/>
      <c r="G70" s="10"/>
      <c r="H70" s="3"/>
      <c r="I70" s="3"/>
      <c r="J70" s="3"/>
      <c r="K70" s="3"/>
    </row>
    <row r="71" spans="1:11" x14ac:dyDescent="0.3">
      <c r="A71" s="10"/>
      <c r="B71" s="12"/>
      <c r="C71" s="12"/>
      <c r="D71" s="12"/>
      <c r="E71" s="12"/>
      <c r="F71" s="3"/>
      <c r="G71" s="10"/>
      <c r="H71" s="3"/>
      <c r="I71" s="3"/>
      <c r="J71" s="3"/>
      <c r="K71" s="3"/>
    </row>
    <row r="72" spans="1:11" x14ac:dyDescent="0.3">
      <c r="A72" s="10"/>
      <c r="B72" s="12"/>
      <c r="C72" s="12"/>
      <c r="D72" s="12"/>
      <c r="E72" s="12"/>
      <c r="F72" s="3"/>
      <c r="G72" s="10"/>
      <c r="H72" s="3"/>
      <c r="I72" s="3"/>
      <c r="J72" s="3"/>
      <c r="K72" s="3"/>
    </row>
    <row r="73" spans="1:11" x14ac:dyDescent="0.3">
      <c r="A73" s="10"/>
      <c r="B73" s="12"/>
      <c r="C73" s="12"/>
      <c r="D73" s="12"/>
      <c r="E73" s="12"/>
      <c r="F73" s="3"/>
      <c r="G73" s="10"/>
      <c r="H73" s="3"/>
      <c r="I73" s="3"/>
      <c r="J73" s="3"/>
      <c r="K73" s="3"/>
    </row>
    <row r="74" spans="1:11" x14ac:dyDescent="0.3">
      <c r="A74" s="10"/>
      <c r="B74" s="12"/>
      <c r="C74" s="12"/>
      <c r="D74" s="12"/>
      <c r="E74" s="12"/>
      <c r="F74" s="3"/>
      <c r="G74" s="10"/>
      <c r="H74" s="3"/>
      <c r="I74" s="3"/>
      <c r="J74" s="3"/>
      <c r="K74" s="3"/>
    </row>
    <row r="75" spans="1:11" x14ac:dyDescent="0.3">
      <c r="A75" s="10"/>
      <c r="B75" s="12"/>
      <c r="C75" s="12"/>
      <c r="D75" s="12"/>
      <c r="E75" s="12"/>
      <c r="F75" s="3"/>
      <c r="G75" s="10"/>
      <c r="H75" s="3"/>
      <c r="I75" s="3"/>
      <c r="J75" s="3"/>
      <c r="K75" s="3"/>
    </row>
    <row r="76" spans="1:11" x14ac:dyDescent="0.3">
      <c r="A76" s="10"/>
      <c r="B76" s="12"/>
      <c r="C76" s="12"/>
      <c r="D76" s="12"/>
      <c r="E76" s="12"/>
      <c r="F76" s="3"/>
      <c r="G76" s="10"/>
      <c r="H76" s="3"/>
      <c r="I76" s="3"/>
      <c r="J76" s="3"/>
      <c r="K76" s="3"/>
    </row>
    <row r="77" spans="1:11" x14ac:dyDescent="0.3">
      <c r="A77" s="10"/>
      <c r="B77" s="12"/>
      <c r="C77" s="12"/>
      <c r="D77" s="12"/>
      <c r="E77" s="12"/>
      <c r="F77" s="3"/>
      <c r="G77" s="10"/>
      <c r="H77" s="3"/>
      <c r="I77" s="3"/>
      <c r="J77" s="3"/>
      <c r="K77" s="3"/>
    </row>
    <row r="78" spans="1:11" x14ac:dyDescent="0.3">
      <c r="A78" s="10"/>
      <c r="B78" s="12"/>
      <c r="C78" s="12"/>
      <c r="D78" s="12"/>
      <c r="E78" s="12"/>
      <c r="F78" s="3"/>
      <c r="G78" s="10"/>
      <c r="H78" s="3"/>
      <c r="I78" s="3"/>
      <c r="J78" s="3"/>
      <c r="K78" s="3"/>
    </row>
    <row r="79" spans="1:11" x14ac:dyDescent="0.3">
      <c r="A79" s="10"/>
      <c r="B79" s="12"/>
      <c r="C79" s="12"/>
      <c r="D79" s="12"/>
      <c r="E79" s="12"/>
      <c r="F79" s="3"/>
      <c r="G79" s="10"/>
      <c r="H79" s="3"/>
      <c r="I79" s="3"/>
      <c r="J79" s="3"/>
      <c r="K79" s="3"/>
    </row>
    <row r="80" spans="1:11" x14ac:dyDescent="0.3">
      <c r="A80" s="10"/>
      <c r="B80" s="12"/>
      <c r="C80" s="12"/>
      <c r="D80" s="12"/>
      <c r="E80" s="12"/>
      <c r="F80" s="3"/>
      <c r="G80" s="10"/>
      <c r="H80" s="3"/>
      <c r="I80" s="3"/>
      <c r="J80" s="3"/>
      <c r="K80" s="3"/>
    </row>
    <row r="81" spans="1:11" x14ac:dyDescent="0.3">
      <c r="A81" s="10"/>
      <c r="B81" s="12"/>
      <c r="C81" s="12"/>
      <c r="D81" s="12"/>
      <c r="E81" s="12"/>
      <c r="F81" s="3"/>
      <c r="G81" s="10"/>
      <c r="H81" s="3"/>
      <c r="I81" s="3"/>
      <c r="J81" s="3"/>
      <c r="K81" s="3"/>
    </row>
    <row r="82" spans="1:11" x14ac:dyDescent="0.3">
      <c r="A82" s="10"/>
      <c r="B82" s="12"/>
      <c r="C82" s="12"/>
      <c r="D82" s="12"/>
      <c r="E82" s="12"/>
      <c r="F82" s="3"/>
      <c r="G82" s="10"/>
      <c r="H82" s="3"/>
      <c r="I82" s="3"/>
      <c r="J82" s="3"/>
      <c r="K82" s="3"/>
    </row>
    <row r="83" spans="1:11" x14ac:dyDescent="0.3">
      <c r="A83" s="10"/>
      <c r="B83" s="12"/>
      <c r="C83" s="12"/>
      <c r="D83" s="12"/>
      <c r="E83" s="12"/>
      <c r="F83" s="3"/>
      <c r="G83" s="10"/>
      <c r="H83" s="3"/>
      <c r="I83" s="3"/>
      <c r="J83" s="3"/>
      <c r="K83" s="3"/>
    </row>
    <row r="84" spans="1:11" x14ac:dyDescent="0.3">
      <c r="A84" s="10"/>
      <c r="B84" s="12"/>
      <c r="C84" s="12"/>
      <c r="D84" s="12"/>
      <c r="E84" s="12"/>
      <c r="F84" s="3"/>
      <c r="G84" s="10"/>
      <c r="H84" s="3"/>
      <c r="I84" s="3"/>
      <c r="J84" s="3"/>
      <c r="K84" s="3"/>
    </row>
    <row r="85" spans="1:11" x14ac:dyDescent="0.3">
      <c r="A85" s="10"/>
      <c r="B85" s="12"/>
      <c r="C85" s="12"/>
      <c r="D85" s="12"/>
      <c r="E85" s="12"/>
      <c r="F85" s="3"/>
      <c r="G85" s="10"/>
      <c r="H85" s="3"/>
      <c r="I85" s="3"/>
      <c r="J85" s="3"/>
      <c r="K85" s="3"/>
    </row>
    <row r="86" spans="1:11" x14ac:dyDescent="0.3">
      <c r="A86" s="10"/>
      <c r="B86" s="12"/>
      <c r="C86" s="12"/>
      <c r="D86" s="12"/>
      <c r="E86" s="12"/>
      <c r="F86" s="3"/>
      <c r="G86" s="10"/>
      <c r="H86" s="3"/>
      <c r="I86" s="3"/>
      <c r="J86" s="3"/>
      <c r="K86" s="3"/>
    </row>
    <row r="87" spans="1:11" x14ac:dyDescent="0.3">
      <c r="A87" s="10"/>
      <c r="B87" s="12"/>
      <c r="C87" s="12"/>
      <c r="D87" s="12"/>
      <c r="E87" s="12"/>
      <c r="F87" s="3"/>
      <c r="G87" s="10"/>
      <c r="H87" s="3"/>
      <c r="I87" s="3"/>
      <c r="J87" s="3"/>
      <c r="K87" s="3"/>
    </row>
    <row r="88" spans="1:11" x14ac:dyDescent="0.3">
      <c r="A88" s="10"/>
      <c r="B88" s="12"/>
      <c r="C88" s="12"/>
      <c r="D88" s="12"/>
      <c r="E88" s="12"/>
      <c r="F88" s="3"/>
      <c r="G88" s="10"/>
      <c r="H88" s="3"/>
      <c r="I88" s="3"/>
      <c r="J88" s="3"/>
      <c r="K88" s="3"/>
    </row>
    <row r="89" spans="1:11" x14ac:dyDescent="0.3">
      <c r="A89" s="10"/>
      <c r="B89" s="12"/>
      <c r="C89" s="12"/>
      <c r="D89" s="12"/>
      <c r="E89" s="12"/>
      <c r="F89" s="3"/>
      <c r="G89" s="10"/>
      <c r="H89" s="3"/>
      <c r="I89" s="3"/>
      <c r="J89" s="3"/>
      <c r="K89" s="3"/>
    </row>
    <row r="90" spans="1:11" x14ac:dyDescent="0.3">
      <c r="A90" s="10"/>
      <c r="B90" s="12"/>
      <c r="C90" s="12"/>
      <c r="D90" s="12"/>
      <c r="E90" s="12"/>
      <c r="F90" s="3"/>
      <c r="G90" s="10"/>
      <c r="H90" s="3"/>
      <c r="I90" s="3"/>
      <c r="J90" s="3"/>
      <c r="K90" s="3"/>
    </row>
    <row r="91" spans="1:11" x14ac:dyDescent="0.3">
      <c r="A91" s="10"/>
      <c r="B91" s="12"/>
      <c r="C91" s="12"/>
      <c r="D91" s="12"/>
      <c r="E91" s="12"/>
      <c r="F91" s="3"/>
      <c r="G91" s="10"/>
      <c r="H91" s="3"/>
      <c r="I91" s="3"/>
      <c r="J91" s="3"/>
      <c r="K91" s="3"/>
    </row>
    <row r="92" spans="1:11" x14ac:dyDescent="0.3">
      <c r="A92" s="10"/>
      <c r="B92" s="12"/>
      <c r="C92" s="12"/>
      <c r="D92" s="12"/>
      <c r="E92" s="12"/>
      <c r="F92" s="3"/>
      <c r="G92" s="10"/>
      <c r="H92" s="3"/>
      <c r="I92" s="3"/>
      <c r="J92" s="3"/>
      <c r="K92" s="3"/>
    </row>
    <row r="93" spans="1:11" x14ac:dyDescent="0.3">
      <c r="A93" s="10"/>
      <c r="B93" s="12"/>
      <c r="C93" s="12"/>
      <c r="D93" s="12"/>
      <c r="E93" s="12"/>
      <c r="F93" s="3"/>
      <c r="G93" s="10"/>
      <c r="H93" s="3"/>
      <c r="I93" s="3"/>
      <c r="J93" s="3"/>
      <c r="K93" s="3"/>
    </row>
    <row r="94" spans="1:11" x14ac:dyDescent="0.3">
      <c r="A94" s="10"/>
      <c r="B94" s="12"/>
      <c r="C94" s="12"/>
      <c r="D94" s="12"/>
      <c r="E94" s="12"/>
      <c r="F94" s="3"/>
      <c r="G94" s="10"/>
      <c r="H94" s="3"/>
      <c r="I94" s="3"/>
      <c r="J94" s="3"/>
      <c r="K94" s="3"/>
    </row>
    <row r="95" spans="1:11" x14ac:dyDescent="0.3">
      <c r="A95" s="10"/>
      <c r="B95" s="12"/>
      <c r="C95" s="12"/>
      <c r="D95" s="12"/>
      <c r="E95" s="12"/>
      <c r="F95" s="3"/>
      <c r="G95" s="10"/>
      <c r="H95" s="3"/>
      <c r="I95" s="3"/>
      <c r="J95" s="3"/>
      <c r="K95" s="3"/>
    </row>
    <row r="96" spans="1:11" x14ac:dyDescent="0.3">
      <c r="A96" s="10"/>
      <c r="B96" s="12"/>
      <c r="C96" s="12"/>
      <c r="D96" s="12"/>
      <c r="E96" s="12"/>
      <c r="F96" s="3"/>
      <c r="G96" s="10"/>
      <c r="H96" s="3"/>
      <c r="I96" s="3"/>
      <c r="J96" s="3"/>
      <c r="K96" s="3"/>
    </row>
    <row r="97" spans="1:11" x14ac:dyDescent="0.3">
      <c r="A97" s="10"/>
      <c r="B97" s="12"/>
      <c r="C97" s="12"/>
      <c r="D97" s="12"/>
      <c r="E97" s="12"/>
      <c r="F97" s="3"/>
      <c r="G97" s="10"/>
      <c r="H97" s="3"/>
      <c r="I97" s="3"/>
      <c r="J97" s="3"/>
      <c r="K97" s="3"/>
    </row>
    <row r="98" spans="1:11" x14ac:dyDescent="0.3">
      <c r="A98" s="10"/>
      <c r="B98" s="12"/>
      <c r="C98" s="12"/>
      <c r="D98" s="12"/>
      <c r="E98" s="12"/>
      <c r="F98" s="3"/>
      <c r="G98" s="10"/>
      <c r="H98" s="3"/>
      <c r="I98" s="3"/>
      <c r="J98" s="3"/>
      <c r="K98" s="3"/>
    </row>
    <row r="99" spans="1:11" x14ac:dyDescent="0.3">
      <c r="A99" s="10"/>
      <c r="B99" s="12"/>
      <c r="C99" s="12"/>
      <c r="D99" s="12"/>
      <c r="E99" s="12"/>
      <c r="F99" s="3"/>
      <c r="G99" s="10"/>
      <c r="H99" s="3"/>
      <c r="I99" s="3"/>
      <c r="J99" s="3"/>
      <c r="K99" s="3"/>
    </row>
    <row r="100" spans="1:11" x14ac:dyDescent="0.3">
      <c r="A100" s="10"/>
      <c r="B100" s="12"/>
      <c r="C100" s="12"/>
      <c r="D100" s="12"/>
      <c r="E100" s="12"/>
      <c r="F100" s="3"/>
      <c r="G100" s="10"/>
      <c r="H100" s="3"/>
      <c r="I100" s="3"/>
      <c r="J100" s="3"/>
      <c r="K100" s="3"/>
    </row>
    <row r="101" spans="1:11" x14ac:dyDescent="0.3">
      <c r="A101" s="10"/>
      <c r="B101" s="12"/>
      <c r="C101" s="12"/>
      <c r="D101" s="12"/>
      <c r="E101" s="12"/>
      <c r="F101" s="3"/>
      <c r="G101" s="10"/>
      <c r="H101" s="3"/>
      <c r="I101" s="3"/>
      <c r="J101" s="3"/>
      <c r="K101" s="3"/>
    </row>
    <row r="102" spans="1:11" x14ac:dyDescent="0.3">
      <c r="A102" s="10"/>
      <c r="B102" s="12"/>
      <c r="C102" s="12"/>
      <c r="D102" s="12"/>
      <c r="E102" s="12"/>
      <c r="F102" s="3"/>
      <c r="G102" s="10"/>
      <c r="H102" s="3"/>
      <c r="I102" s="3"/>
      <c r="J102" s="3"/>
      <c r="K102" s="3"/>
    </row>
    <row r="103" spans="1:11" x14ac:dyDescent="0.3">
      <c r="A103" s="10"/>
      <c r="B103" s="12"/>
      <c r="C103" s="12"/>
      <c r="D103" s="12"/>
      <c r="E103" s="12"/>
      <c r="F103" s="3"/>
      <c r="G103" s="10"/>
      <c r="H103" s="3"/>
      <c r="I103" s="3"/>
      <c r="J103" s="3"/>
      <c r="K103" s="3"/>
    </row>
    <row r="104" spans="1:11" x14ac:dyDescent="0.3">
      <c r="A104" s="10"/>
      <c r="B104" s="12"/>
      <c r="C104" s="12"/>
      <c r="D104" s="12"/>
      <c r="E104" s="12"/>
      <c r="F104" s="3"/>
      <c r="G104" s="10"/>
      <c r="H104" s="3"/>
      <c r="I104" s="3"/>
      <c r="J104" s="3"/>
      <c r="K104" s="3"/>
    </row>
    <row r="105" spans="1:11" x14ac:dyDescent="0.3">
      <c r="A105" s="10"/>
      <c r="B105" s="12"/>
      <c r="C105" s="12"/>
      <c r="D105" s="12"/>
      <c r="E105" s="12"/>
      <c r="F105" s="3"/>
      <c r="G105" s="10"/>
      <c r="H105" s="3"/>
      <c r="I105" s="3"/>
      <c r="J105" s="3"/>
      <c r="K105" s="3"/>
    </row>
    <row r="106" spans="1:11" x14ac:dyDescent="0.3">
      <c r="A106" s="10"/>
      <c r="B106" s="12"/>
      <c r="C106" s="12"/>
      <c r="D106" s="12"/>
      <c r="E106" s="12"/>
      <c r="F106" s="3"/>
      <c r="G106" s="10"/>
      <c r="H106" s="3"/>
      <c r="I106" s="3"/>
      <c r="J106" s="3"/>
      <c r="K106" s="3"/>
    </row>
    <row r="107" spans="1:11" x14ac:dyDescent="0.3">
      <c r="A107" s="10"/>
      <c r="B107" s="12"/>
      <c r="C107" s="12"/>
      <c r="D107" s="12"/>
      <c r="E107" s="12"/>
      <c r="F107" s="3"/>
      <c r="G107" s="10"/>
      <c r="H107" s="3"/>
      <c r="I107" s="3"/>
      <c r="J107" s="3"/>
      <c r="K107" s="3"/>
    </row>
    <row r="108" spans="1:11" x14ac:dyDescent="0.3">
      <c r="A108" s="10"/>
      <c r="B108" s="12"/>
      <c r="C108" s="12"/>
      <c r="D108" s="12"/>
      <c r="E108" s="12"/>
      <c r="F108" s="3"/>
      <c r="G108" s="10"/>
      <c r="H108" s="3"/>
      <c r="I108" s="3"/>
      <c r="J108" s="3"/>
      <c r="K108" s="3"/>
    </row>
    <row r="109" spans="1:11" x14ac:dyDescent="0.3">
      <c r="A109" s="10"/>
      <c r="B109" s="12"/>
      <c r="C109" s="12"/>
      <c r="D109" s="12"/>
      <c r="E109" s="12"/>
      <c r="F109" s="3"/>
      <c r="G109" s="10"/>
      <c r="H109" s="3"/>
      <c r="I109" s="3"/>
      <c r="J109" s="3"/>
      <c r="K109" s="3"/>
    </row>
    <row r="110" spans="1:11" x14ac:dyDescent="0.3">
      <c r="A110" s="10"/>
      <c r="B110" s="12"/>
      <c r="C110" s="12"/>
      <c r="D110" s="12"/>
      <c r="E110" s="12"/>
      <c r="F110" s="3"/>
      <c r="G110" s="10"/>
      <c r="H110" s="3"/>
      <c r="I110" s="3"/>
      <c r="J110" s="3"/>
      <c r="K110" s="3"/>
    </row>
    <row r="111" spans="1:11" x14ac:dyDescent="0.3">
      <c r="A111" s="10"/>
      <c r="B111" s="12"/>
      <c r="C111" s="12"/>
      <c r="D111" s="12"/>
      <c r="E111" s="12"/>
      <c r="F111" s="3"/>
      <c r="G111" s="10"/>
      <c r="H111" s="3"/>
      <c r="I111" s="3"/>
      <c r="J111" s="3"/>
      <c r="K111" s="3"/>
    </row>
    <row r="112" spans="1:11" x14ac:dyDescent="0.3">
      <c r="A112" s="10"/>
      <c r="B112" s="12"/>
      <c r="C112" s="12"/>
      <c r="D112" s="12"/>
      <c r="E112" s="12"/>
      <c r="F112" s="3"/>
      <c r="G112" s="10"/>
      <c r="H112" s="3"/>
      <c r="I112" s="3"/>
      <c r="J112" s="3"/>
      <c r="K112" s="3"/>
    </row>
    <row r="113" spans="1:11" x14ac:dyDescent="0.3">
      <c r="A113" s="10"/>
      <c r="B113" s="12"/>
      <c r="C113" s="12"/>
      <c r="D113" s="12"/>
      <c r="E113" s="12"/>
      <c r="F113" s="3"/>
      <c r="G113" s="10"/>
      <c r="H113" s="3"/>
      <c r="I113" s="3"/>
      <c r="J113" s="3"/>
      <c r="K113" s="3"/>
    </row>
    <row r="114" spans="1:11" x14ac:dyDescent="0.3">
      <c r="A114" s="10"/>
      <c r="B114" s="12"/>
      <c r="C114" s="12"/>
      <c r="D114" s="12"/>
      <c r="E114" s="12"/>
      <c r="F114" s="3"/>
      <c r="G114" s="10"/>
      <c r="H114" s="3"/>
      <c r="I114" s="3"/>
      <c r="J114" s="3"/>
      <c r="K114" s="3"/>
    </row>
    <row r="115" spans="1:11" x14ac:dyDescent="0.3">
      <c r="A115" s="10"/>
      <c r="B115" s="12"/>
      <c r="C115" s="12"/>
      <c r="D115" s="12"/>
      <c r="E115" s="12"/>
      <c r="F115" s="3"/>
      <c r="G115" s="10"/>
      <c r="H115" s="3"/>
      <c r="I115" s="3"/>
      <c r="J115" s="3"/>
      <c r="K115" s="3"/>
    </row>
    <row r="116" spans="1:11" x14ac:dyDescent="0.3">
      <c r="A116" s="10"/>
      <c r="B116" s="12"/>
      <c r="C116" s="12"/>
      <c r="D116" s="12"/>
      <c r="E116" s="12"/>
      <c r="F116" s="3"/>
      <c r="G116" s="10"/>
      <c r="H116" s="3"/>
      <c r="I116" s="3"/>
      <c r="J116" s="3"/>
      <c r="K116" s="3"/>
    </row>
    <row r="117" spans="1:11" x14ac:dyDescent="0.3">
      <c r="A117" s="10"/>
      <c r="B117" s="12"/>
      <c r="C117" s="12"/>
      <c r="D117" s="12"/>
      <c r="E117" s="12"/>
      <c r="F117" s="3"/>
      <c r="G117" s="10"/>
      <c r="H117" s="3"/>
      <c r="I117" s="3"/>
      <c r="J117" s="3"/>
      <c r="K117" s="3"/>
    </row>
    <row r="118" spans="1:11" x14ac:dyDescent="0.3">
      <c r="A118" s="10"/>
      <c r="B118" s="12"/>
      <c r="C118" s="12"/>
      <c r="D118" s="12"/>
      <c r="E118" s="12"/>
      <c r="F118" s="3"/>
      <c r="G118" s="10"/>
      <c r="H118" s="3"/>
      <c r="I118" s="3"/>
      <c r="J118" s="3"/>
      <c r="K118" s="3"/>
    </row>
    <row r="119" spans="1:11" x14ac:dyDescent="0.3">
      <c r="A119" s="10"/>
      <c r="B119" s="12"/>
      <c r="C119" s="12"/>
      <c r="D119" s="12"/>
      <c r="E119" s="12"/>
      <c r="F119" s="3"/>
      <c r="G119" s="10"/>
      <c r="H119" s="3"/>
      <c r="I119" s="3"/>
      <c r="J119" s="3"/>
      <c r="K119" s="3"/>
    </row>
    <row r="120" spans="1:11" x14ac:dyDescent="0.3">
      <c r="A120" s="10"/>
      <c r="B120" s="12"/>
      <c r="C120" s="12"/>
      <c r="D120" s="12"/>
      <c r="E120" s="12"/>
      <c r="F120" s="3"/>
      <c r="G120" s="10"/>
      <c r="H120" s="3"/>
      <c r="I120" s="3"/>
      <c r="J120" s="3"/>
      <c r="K120" s="3"/>
    </row>
    <row r="121" spans="1:11" x14ac:dyDescent="0.3">
      <c r="A121" s="10"/>
      <c r="B121" s="12"/>
      <c r="C121" s="12"/>
      <c r="D121" s="12"/>
      <c r="E121" s="12"/>
      <c r="F121" s="3"/>
      <c r="G121" s="10"/>
      <c r="H121" s="3"/>
      <c r="I121" s="3"/>
      <c r="J121" s="3"/>
      <c r="K121" s="3"/>
    </row>
    <row r="122" spans="1:11" x14ac:dyDescent="0.3">
      <c r="A122" s="10"/>
      <c r="B122" s="12"/>
      <c r="C122" s="12"/>
      <c r="D122" s="12"/>
      <c r="E122" s="12"/>
      <c r="F122" s="3"/>
      <c r="G122" s="10"/>
      <c r="H122" s="3"/>
      <c r="I122" s="3"/>
      <c r="J122" s="3"/>
      <c r="K122" s="3"/>
    </row>
    <row r="123" spans="1:11" x14ac:dyDescent="0.3">
      <c r="A123" s="10"/>
      <c r="B123" s="12"/>
      <c r="C123" s="12"/>
      <c r="D123" s="12"/>
      <c r="E123" s="12"/>
      <c r="F123" s="3"/>
      <c r="G123" s="10"/>
      <c r="H123" s="3"/>
      <c r="I123" s="3"/>
      <c r="J123" s="3"/>
      <c r="K123" s="3"/>
    </row>
    <row r="124" spans="1:11" x14ac:dyDescent="0.3">
      <c r="A124" s="10"/>
      <c r="B124" s="12"/>
      <c r="C124" s="12"/>
      <c r="D124" s="12"/>
      <c r="E124" s="12"/>
      <c r="F124" s="3"/>
      <c r="G124" s="10"/>
      <c r="H124" s="3"/>
      <c r="I124" s="3"/>
      <c r="J124" s="3"/>
      <c r="K124" s="3"/>
    </row>
    <row r="125" spans="1:11" x14ac:dyDescent="0.3">
      <c r="A125" s="10"/>
      <c r="B125" s="12"/>
      <c r="C125" s="12"/>
      <c r="D125" s="12"/>
      <c r="E125" s="12"/>
      <c r="F125" s="3"/>
      <c r="G125" s="10"/>
      <c r="H125" s="3"/>
      <c r="I125" s="3"/>
      <c r="J125" s="3"/>
      <c r="K125" s="3"/>
    </row>
    <row r="126" spans="1:11" x14ac:dyDescent="0.3">
      <c r="A126" s="10"/>
      <c r="B126" s="12"/>
      <c r="C126" s="12"/>
      <c r="D126" s="12"/>
      <c r="E126" s="12"/>
      <c r="F126" s="3"/>
      <c r="G126" s="10"/>
      <c r="H126" s="3"/>
      <c r="I126" s="3"/>
      <c r="J126" s="3"/>
      <c r="K126" s="3"/>
    </row>
    <row r="127" spans="1:11" x14ac:dyDescent="0.3">
      <c r="A127" s="10"/>
      <c r="B127" s="12"/>
      <c r="C127" s="12"/>
      <c r="D127" s="12"/>
      <c r="E127" s="12"/>
      <c r="F127" s="3"/>
      <c r="G127" s="10"/>
      <c r="H127" s="3"/>
      <c r="I127" s="3"/>
      <c r="J127" s="3"/>
      <c r="K127" s="3"/>
    </row>
    <row r="128" spans="1:11" x14ac:dyDescent="0.3">
      <c r="A128" s="10"/>
      <c r="B128" s="12"/>
      <c r="C128" s="12"/>
      <c r="D128" s="12"/>
      <c r="E128" s="12"/>
      <c r="F128" s="3"/>
      <c r="G128" s="10"/>
      <c r="H128" s="3"/>
      <c r="I128" s="3"/>
      <c r="J128" s="3"/>
      <c r="K128" s="3"/>
    </row>
    <row r="129" spans="1:11" x14ac:dyDescent="0.3">
      <c r="A129" s="10"/>
      <c r="B129" s="12"/>
      <c r="C129" s="12"/>
      <c r="D129" s="12"/>
      <c r="E129" s="12"/>
      <c r="F129" s="3"/>
      <c r="G129" s="10"/>
      <c r="H129" s="3"/>
      <c r="I129" s="3"/>
      <c r="J129" s="3"/>
      <c r="K129" s="3"/>
    </row>
    <row r="130" spans="1:11" x14ac:dyDescent="0.3">
      <c r="A130" s="10"/>
      <c r="B130" s="12"/>
      <c r="C130" s="12"/>
      <c r="D130" s="12"/>
      <c r="E130" s="12"/>
      <c r="F130" s="3"/>
      <c r="G130" s="10"/>
      <c r="H130" s="3"/>
      <c r="I130" s="3"/>
      <c r="J130" s="3"/>
      <c r="K130" s="3"/>
    </row>
    <row r="131" spans="1:11" x14ac:dyDescent="0.3">
      <c r="A131" s="10"/>
      <c r="B131" s="12"/>
      <c r="C131" s="12"/>
      <c r="D131" s="12"/>
      <c r="E131" s="12"/>
      <c r="F131" s="3"/>
      <c r="G131" s="10"/>
      <c r="H131" s="3"/>
      <c r="I131" s="3"/>
      <c r="J131" s="3"/>
      <c r="K131" s="3"/>
    </row>
    <row r="132" spans="1:11" x14ac:dyDescent="0.3">
      <c r="A132" s="10"/>
      <c r="B132" s="12"/>
      <c r="C132" s="12"/>
      <c r="D132" s="12"/>
      <c r="E132" s="12"/>
      <c r="F132" s="3"/>
      <c r="G132" s="10"/>
      <c r="H132" s="3"/>
      <c r="I132" s="3"/>
      <c r="J132" s="3"/>
      <c r="K132" s="3"/>
    </row>
    <row r="133" spans="1:11" x14ac:dyDescent="0.3">
      <c r="A133" s="10"/>
      <c r="B133" s="12"/>
      <c r="C133" s="12"/>
      <c r="D133" s="12"/>
      <c r="E133" s="12"/>
      <c r="F133" s="3"/>
      <c r="G133" s="10"/>
      <c r="H133" s="3"/>
      <c r="I133" s="3"/>
      <c r="J133" s="3"/>
      <c r="K133" s="3"/>
    </row>
    <row r="134" spans="1:11" x14ac:dyDescent="0.3">
      <c r="A134" s="10"/>
      <c r="B134" s="12"/>
      <c r="C134" s="12"/>
      <c r="D134" s="12"/>
      <c r="E134" s="12"/>
      <c r="F134" s="3"/>
      <c r="G134" s="10"/>
      <c r="H134" s="3"/>
      <c r="I134" s="3"/>
      <c r="J134" s="3"/>
      <c r="K134" s="3"/>
    </row>
    <row r="135" spans="1:11" x14ac:dyDescent="0.3">
      <c r="A135" s="10"/>
      <c r="B135" s="12"/>
      <c r="C135" s="12"/>
      <c r="D135" s="12"/>
      <c r="E135" s="12"/>
      <c r="F135" s="3"/>
      <c r="G135" s="10"/>
      <c r="H135" s="3"/>
      <c r="I135" s="3"/>
      <c r="J135" s="3"/>
      <c r="K135" s="3"/>
    </row>
    <row r="136" spans="1:11" x14ac:dyDescent="0.3">
      <c r="A136" s="10"/>
      <c r="B136" s="12"/>
      <c r="C136" s="12"/>
      <c r="D136" s="12"/>
      <c r="E136" s="12"/>
      <c r="F136" s="3"/>
      <c r="G136" s="10"/>
      <c r="H136" s="3"/>
      <c r="I136" s="3"/>
      <c r="J136" s="3"/>
      <c r="K136" s="3"/>
    </row>
    <row r="137" spans="1:11" x14ac:dyDescent="0.3">
      <c r="A137" s="10"/>
      <c r="B137" s="12"/>
      <c r="C137" s="12"/>
      <c r="D137" s="12"/>
      <c r="E137" s="12"/>
      <c r="F137" s="3"/>
      <c r="G137" s="10"/>
      <c r="H137" s="3"/>
      <c r="I137" s="3"/>
      <c r="J137" s="3"/>
      <c r="K137" s="3"/>
    </row>
    <row r="138" spans="1:11" x14ac:dyDescent="0.3">
      <c r="A138" s="10"/>
      <c r="B138" s="12"/>
      <c r="C138" s="12"/>
      <c r="D138" s="12"/>
      <c r="E138" s="12"/>
      <c r="F138" s="3"/>
      <c r="G138" s="10"/>
      <c r="H138" s="3"/>
      <c r="I138" s="3"/>
      <c r="J138" s="3"/>
      <c r="K138" s="3"/>
    </row>
    <row r="139" spans="1:11" x14ac:dyDescent="0.3">
      <c r="A139" s="10"/>
      <c r="B139" s="12"/>
      <c r="C139" s="12"/>
      <c r="D139" s="12"/>
      <c r="E139" s="12"/>
      <c r="F139" s="3"/>
      <c r="G139" s="10"/>
      <c r="H139" s="3"/>
      <c r="I139" s="3"/>
      <c r="J139" s="3"/>
      <c r="K139" s="3"/>
    </row>
    <row r="140" spans="1:11" x14ac:dyDescent="0.3">
      <c r="A140" s="10"/>
      <c r="B140" s="12"/>
      <c r="C140" s="12"/>
      <c r="D140" s="12"/>
      <c r="E140" s="12"/>
      <c r="F140" s="3"/>
      <c r="G140" s="10"/>
      <c r="H140" s="3"/>
      <c r="I140" s="3"/>
      <c r="J140" s="3"/>
      <c r="K140" s="3"/>
    </row>
    <row r="141" spans="1:11" x14ac:dyDescent="0.3">
      <c r="A141" s="10"/>
      <c r="B141" s="12"/>
      <c r="C141" s="12"/>
      <c r="D141" s="12"/>
      <c r="E141" s="12"/>
      <c r="F141" s="3"/>
      <c r="G141" s="10"/>
      <c r="H141" s="3"/>
      <c r="I141" s="3"/>
      <c r="J141" s="3"/>
      <c r="K141" s="3"/>
    </row>
    <row r="142" spans="1:11" x14ac:dyDescent="0.3">
      <c r="A142" s="10"/>
      <c r="B142" s="12"/>
      <c r="C142" s="12"/>
      <c r="D142" s="12"/>
      <c r="E142" s="12"/>
      <c r="F142" s="3"/>
      <c r="G142" s="10"/>
      <c r="H142" s="3"/>
      <c r="I142" s="3"/>
      <c r="J142" s="3"/>
      <c r="K142" s="3"/>
    </row>
    <row r="143" spans="1:11" x14ac:dyDescent="0.3">
      <c r="A143" s="10"/>
      <c r="B143" s="12"/>
      <c r="C143" s="12"/>
      <c r="D143" s="12"/>
      <c r="E143" s="12"/>
      <c r="F143" s="3"/>
      <c r="G143" s="10"/>
      <c r="H143" s="3"/>
      <c r="I143" s="3"/>
      <c r="J143" s="3"/>
      <c r="K143" s="3"/>
    </row>
    <row r="144" spans="1:11" x14ac:dyDescent="0.3">
      <c r="A144" s="10"/>
      <c r="B144" s="12"/>
      <c r="C144" s="12"/>
      <c r="D144" s="12"/>
      <c r="E144" s="12"/>
      <c r="F144" s="3"/>
      <c r="G144" s="10"/>
      <c r="H144" s="3"/>
      <c r="I144" s="3"/>
      <c r="J144" s="3"/>
      <c r="K144" s="3"/>
    </row>
    <row r="145" spans="1:11" x14ac:dyDescent="0.3">
      <c r="A145" s="10"/>
      <c r="B145" s="12"/>
      <c r="C145" s="12"/>
      <c r="D145" s="12"/>
      <c r="E145" s="12"/>
      <c r="F145" s="3"/>
      <c r="G145" s="10"/>
      <c r="H145" s="3"/>
      <c r="I145" s="3"/>
      <c r="J145" s="3"/>
      <c r="K145" s="3"/>
    </row>
    <row r="146" spans="1:11" x14ac:dyDescent="0.3">
      <c r="A146" s="10"/>
      <c r="B146" s="12"/>
      <c r="C146" s="12"/>
      <c r="D146" s="12"/>
      <c r="E146" s="12"/>
      <c r="F146" s="3"/>
      <c r="G146" s="10"/>
      <c r="H146" s="3"/>
      <c r="I146" s="3"/>
      <c r="J146" s="3"/>
      <c r="K146" s="3"/>
    </row>
    <row r="147" spans="1:11" x14ac:dyDescent="0.3">
      <c r="A147" s="10"/>
      <c r="B147" s="12"/>
      <c r="C147" s="12"/>
      <c r="D147" s="12"/>
      <c r="E147" s="12"/>
      <c r="F147" s="3"/>
      <c r="G147" s="10"/>
      <c r="H147" s="3"/>
      <c r="I147" s="3"/>
      <c r="J147" s="3"/>
      <c r="K147" s="3"/>
    </row>
    <row r="148" spans="1:11" x14ac:dyDescent="0.3">
      <c r="A148" s="10"/>
      <c r="B148" s="12"/>
      <c r="C148" s="12"/>
      <c r="D148" s="12"/>
      <c r="E148" s="12"/>
      <c r="F148" s="3"/>
      <c r="G148" s="10"/>
      <c r="H148" s="3"/>
      <c r="I148" s="3"/>
      <c r="J148" s="3"/>
      <c r="K148" s="3"/>
    </row>
    <row r="149" spans="1:11" x14ac:dyDescent="0.3">
      <c r="A149" s="10"/>
      <c r="B149" s="12"/>
      <c r="C149" s="12"/>
      <c r="D149" s="12"/>
      <c r="E149" s="12"/>
      <c r="F149" s="3"/>
      <c r="G149" s="10"/>
      <c r="H149" s="3"/>
      <c r="I149" s="3"/>
      <c r="J149" s="3"/>
      <c r="K149" s="3"/>
    </row>
    <row r="150" spans="1:11" x14ac:dyDescent="0.3">
      <c r="A150" s="10"/>
      <c r="B150" s="12"/>
      <c r="C150" s="12"/>
      <c r="D150" s="12"/>
      <c r="E150" s="12"/>
      <c r="F150" s="3"/>
      <c r="G150" s="10"/>
      <c r="H150" s="3"/>
      <c r="I150" s="3"/>
      <c r="J150" s="3"/>
      <c r="K150" s="3"/>
    </row>
    <row r="151" spans="1:11" x14ac:dyDescent="0.3">
      <c r="A151" s="10"/>
      <c r="B151" s="12"/>
      <c r="C151" s="12"/>
      <c r="D151" s="12"/>
      <c r="E151" s="12"/>
      <c r="F151" s="3"/>
      <c r="G151" s="10"/>
      <c r="H151" s="3"/>
      <c r="I151" s="3"/>
      <c r="J151" s="3"/>
      <c r="K151" s="3"/>
    </row>
    <row r="152" spans="1:11" x14ac:dyDescent="0.3">
      <c r="A152" s="10"/>
      <c r="B152" s="12"/>
      <c r="C152" s="12"/>
      <c r="D152" s="12"/>
      <c r="E152" s="12"/>
      <c r="F152" s="3"/>
      <c r="G152" s="10"/>
      <c r="H152" s="3"/>
      <c r="I152" s="3"/>
      <c r="J152" s="3"/>
      <c r="K152" s="3"/>
    </row>
    <row r="153" spans="1:11" x14ac:dyDescent="0.3">
      <c r="A153" s="10"/>
      <c r="B153" s="12"/>
      <c r="C153" s="12"/>
      <c r="D153" s="12"/>
      <c r="E153" s="12"/>
      <c r="F153" s="3"/>
      <c r="G153" s="10"/>
      <c r="H153" s="3"/>
      <c r="I153" s="3"/>
      <c r="J153" s="3"/>
      <c r="K153" s="3"/>
    </row>
    <row r="154" spans="1:11" x14ac:dyDescent="0.3">
      <c r="A154" s="10"/>
      <c r="B154" s="12"/>
      <c r="C154" s="12"/>
      <c r="D154" s="12"/>
      <c r="E154" s="12"/>
      <c r="F154" s="3"/>
      <c r="G154" s="10"/>
      <c r="H154" s="3"/>
      <c r="I154" s="3"/>
      <c r="J154" s="3"/>
      <c r="K154" s="3"/>
    </row>
    <row r="155" spans="1:11" x14ac:dyDescent="0.3">
      <c r="A155" s="10"/>
      <c r="B155" s="12"/>
      <c r="C155" s="12"/>
      <c r="D155" s="12"/>
      <c r="E155" s="12"/>
      <c r="F155" s="3"/>
      <c r="G155" s="10"/>
      <c r="H155" s="3"/>
      <c r="I155" s="3"/>
      <c r="J155" s="3"/>
      <c r="K155" s="3"/>
    </row>
    <row r="156" spans="1:11" x14ac:dyDescent="0.3">
      <c r="A156" s="10"/>
      <c r="B156" s="12"/>
      <c r="C156" s="12"/>
      <c r="D156" s="12"/>
      <c r="E156" s="12"/>
      <c r="F156" s="3"/>
      <c r="G156" s="10"/>
      <c r="H156" s="3"/>
      <c r="I156" s="3"/>
      <c r="J156" s="3"/>
      <c r="K156" s="3"/>
    </row>
    <row r="157" spans="1:11" x14ac:dyDescent="0.3">
      <c r="A157" s="10"/>
      <c r="B157" s="12"/>
      <c r="C157" s="12"/>
      <c r="D157" s="12"/>
      <c r="E157" s="12"/>
      <c r="F157" s="3"/>
      <c r="G157" s="10"/>
      <c r="H157" s="3"/>
      <c r="I157" s="3"/>
      <c r="J157" s="3"/>
      <c r="K157" s="3"/>
    </row>
    <row r="158" spans="1:11" x14ac:dyDescent="0.3">
      <c r="A158" s="10"/>
      <c r="B158" s="12"/>
      <c r="C158" s="12"/>
      <c r="D158" s="12"/>
      <c r="E158" s="12"/>
      <c r="F158" s="3"/>
      <c r="G158" s="10"/>
      <c r="H158" s="3"/>
      <c r="I158" s="3"/>
      <c r="J158" s="3"/>
      <c r="K158" s="3"/>
    </row>
    <row r="159" spans="1:11" x14ac:dyDescent="0.3">
      <c r="A159" s="10"/>
      <c r="B159" s="12"/>
      <c r="C159" s="12"/>
      <c r="D159" s="12"/>
      <c r="E159" s="12"/>
      <c r="F159" s="3"/>
      <c r="G159" s="10"/>
      <c r="H159" s="3"/>
      <c r="I159" s="3"/>
      <c r="J159" s="3"/>
      <c r="K159" s="3"/>
    </row>
    <row r="160" spans="1:11" x14ac:dyDescent="0.3">
      <c r="A160" s="10"/>
      <c r="B160" s="12"/>
      <c r="C160" s="12"/>
      <c r="D160" s="12"/>
      <c r="E160" s="12"/>
      <c r="F160" s="3"/>
      <c r="G160" s="10"/>
      <c r="H160" s="3"/>
      <c r="I160" s="3"/>
      <c r="J160" s="3"/>
      <c r="K160" s="3"/>
    </row>
    <row r="161" spans="1:11" x14ac:dyDescent="0.3">
      <c r="A161" s="10"/>
      <c r="B161" s="12"/>
      <c r="C161" s="12"/>
      <c r="D161" s="12"/>
      <c r="E161" s="12"/>
      <c r="F161" s="3"/>
      <c r="G161" s="10"/>
      <c r="H161" s="3"/>
      <c r="I161" s="3"/>
      <c r="J161" s="3"/>
      <c r="K161" s="3"/>
    </row>
    <row r="162" spans="1:11" x14ac:dyDescent="0.3">
      <c r="A162" s="10"/>
      <c r="B162" s="12"/>
      <c r="C162" s="12"/>
      <c r="D162" s="12"/>
      <c r="E162" s="12"/>
      <c r="F162" s="3"/>
      <c r="G162" s="10"/>
      <c r="H162" s="3"/>
      <c r="I162" s="3"/>
      <c r="J162" s="3"/>
      <c r="K162" s="3"/>
    </row>
    <row r="163" spans="1:11" x14ac:dyDescent="0.3">
      <c r="A163" s="10"/>
      <c r="B163" s="12"/>
      <c r="C163" s="12"/>
      <c r="D163" s="12"/>
      <c r="E163" s="12"/>
      <c r="F163" s="3"/>
      <c r="G163" s="10"/>
      <c r="H163" s="3"/>
      <c r="I163" s="3"/>
      <c r="J163" s="3"/>
      <c r="K163" s="3"/>
    </row>
    <row r="164" spans="1:11" x14ac:dyDescent="0.3">
      <c r="A164" s="10"/>
      <c r="B164" s="12"/>
      <c r="C164" s="12"/>
      <c r="D164" s="12"/>
      <c r="E164" s="12"/>
      <c r="F164" s="3"/>
      <c r="G164" s="10"/>
      <c r="H164" s="3"/>
      <c r="I164" s="3"/>
      <c r="J164" s="3"/>
      <c r="K164" s="3"/>
    </row>
    <row r="165" spans="1:11" x14ac:dyDescent="0.3">
      <c r="A165" s="10"/>
      <c r="B165" s="12"/>
      <c r="C165" s="12"/>
      <c r="D165" s="12"/>
      <c r="E165" s="12"/>
      <c r="F165" s="3"/>
      <c r="G165" s="10"/>
      <c r="H165" s="3"/>
      <c r="I165" s="3"/>
      <c r="J165" s="3"/>
      <c r="K165" s="3"/>
    </row>
    <row r="166" spans="1:11" x14ac:dyDescent="0.3">
      <c r="A166" s="10"/>
      <c r="B166" s="12"/>
      <c r="C166" s="12"/>
      <c r="D166" s="12"/>
      <c r="E166" s="12"/>
      <c r="F166" s="3"/>
      <c r="G166" s="10"/>
      <c r="H166" s="3"/>
      <c r="I166" s="3"/>
      <c r="J166" s="3"/>
      <c r="K166" s="3"/>
    </row>
    <row r="167" spans="1:11" x14ac:dyDescent="0.3">
      <c r="A167" s="10"/>
      <c r="B167" s="12"/>
      <c r="C167" s="12"/>
      <c r="D167" s="12"/>
      <c r="E167" s="12"/>
      <c r="F167" s="3"/>
      <c r="G167" s="10"/>
      <c r="H167" s="3"/>
      <c r="I167" s="3"/>
      <c r="J167" s="3"/>
      <c r="K167" s="3"/>
    </row>
    <row r="168" spans="1:11" x14ac:dyDescent="0.3">
      <c r="A168" s="10"/>
      <c r="B168" s="12"/>
      <c r="C168" s="12"/>
      <c r="D168" s="12"/>
      <c r="E168" s="12"/>
      <c r="F168" s="3"/>
      <c r="G168" s="10"/>
      <c r="H168" s="3"/>
      <c r="I168" s="3"/>
      <c r="J168" s="3"/>
      <c r="K168" s="3"/>
    </row>
    <row r="169" spans="1:11" x14ac:dyDescent="0.3">
      <c r="A169" s="10"/>
      <c r="B169" s="12"/>
      <c r="C169" s="12"/>
      <c r="D169" s="12"/>
      <c r="E169" s="12"/>
      <c r="F169" s="3"/>
      <c r="G169" s="10"/>
      <c r="H169" s="3"/>
      <c r="I169" s="3"/>
      <c r="J169" s="3"/>
      <c r="K169" s="3"/>
    </row>
    <row r="170" spans="1:11" x14ac:dyDescent="0.3">
      <c r="A170" s="10"/>
      <c r="B170" s="12"/>
      <c r="C170" s="12"/>
      <c r="D170" s="12"/>
      <c r="E170" s="12"/>
      <c r="F170" s="3"/>
      <c r="G170" s="10"/>
      <c r="H170" s="3"/>
      <c r="I170" s="3"/>
      <c r="J170" s="3"/>
      <c r="K170" s="3"/>
    </row>
    <row r="171" spans="1:11" x14ac:dyDescent="0.3">
      <c r="A171" s="10"/>
      <c r="B171" s="12"/>
      <c r="C171" s="12"/>
      <c r="D171" s="12"/>
      <c r="E171" s="12"/>
      <c r="F171" s="3"/>
      <c r="G171" s="10"/>
      <c r="H171" s="3"/>
      <c r="I171" s="3"/>
      <c r="J171" s="3"/>
      <c r="K171" s="3"/>
    </row>
    <row r="172" spans="1:11" x14ac:dyDescent="0.3">
      <c r="A172" s="10"/>
      <c r="B172" s="12"/>
      <c r="C172" s="12"/>
      <c r="D172" s="12"/>
      <c r="E172" s="12"/>
      <c r="F172" s="3"/>
      <c r="G172" s="10"/>
      <c r="H172" s="3"/>
      <c r="I172" s="3"/>
      <c r="J172" s="3"/>
      <c r="K172" s="3"/>
    </row>
    <row r="173" spans="1:11" x14ac:dyDescent="0.3">
      <c r="A173" s="10"/>
      <c r="B173" s="12"/>
      <c r="C173" s="12"/>
      <c r="D173" s="12"/>
      <c r="E173" s="12"/>
      <c r="F173" s="3"/>
      <c r="G173" s="10"/>
      <c r="H173" s="3"/>
      <c r="I173" s="3"/>
      <c r="J173" s="3"/>
      <c r="K173" s="3"/>
    </row>
    <row r="174" spans="1:11" x14ac:dyDescent="0.3">
      <c r="A174" s="10"/>
      <c r="B174" s="12"/>
      <c r="C174" s="12"/>
      <c r="D174" s="12"/>
      <c r="E174" s="12"/>
      <c r="F174" s="3"/>
      <c r="G174" s="10"/>
      <c r="H174" s="3"/>
      <c r="I174" s="3"/>
      <c r="J174" s="3"/>
      <c r="K174" s="3"/>
    </row>
    <row r="175" spans="1:11" x14ac:dyDescent="0.3">
      <c r="A175" s="10"/>
      <c r="B175" s="12"/>
      <c r="C175" s="12"/>
      <c r="D175" s="12"/>
      <c r="E175" s="12"/>
      <c r="F175" s="3"/>
      <c r="G175" s="10"/>
      <c r="H175" s="3"/>
      <c r="I175" s="3"/>
      <c r="J175" s="3"/>
      <c r="K175" s="3"/>
    </row>
    <row r="176" spans="1:11" x14ac:dyDescent="0.3">
      <c r="A176" s="10"/>
      <c r="B176" s="12"/>
      <c r="C176" s="12"/>
      <c r="D176" s="12"/>
      <c r="E176" s="12"/>
      <c r="F176" s="3"/>
      <c r="G176" s="10"/>
      <c r="H176" s="3"/>
      <c r="I176" s="3"/>
      <c r="J176" s="3"/>
      <c r="K176" s="3"/>
    </row>
    <row r="177" spans="1:11" x14ac:dyDescent="0.3">
      <c r="A177" s="10"/>
      <c r="B177" s="12"/>
      <c r="C177" s="12"/>
      <c r="D177" s="12"/>
      <c r="E177" s="12"/>
      <c r="F177" s="3"/>
      <c r="G177" s="10"/>
      <c r="H177" s="3"/>
      <c r="I177" s="3"/>
      <c r="J177" s="3"/>
      <c r="K177" s="3"/>
    </row>
    <row r="178" spans="1:11" x14ac:dyDescent="0.3">
      <c r="A178" s="10"/>
      <c r="B178" s="12"/>
      <c r="C178" s="12"/>
      <c r="D178" s="12"/>
      <c r="E178" s="12"/>
      <c r="F178" s="3"/>
      <c r="G178" s="10"/>
      <c r="H178" s="3"/>
      <c r="I178" s="3"/>
      <c r="J178" s="3"/>
      <c r="K178" s="3"/>
    </row>
    <row r="179" spans="1:11" x14ac:dyDescent="0.3">
      <c r="A179" s="10"/>
      <c r="B179" s="12"/>
      <c r="C179" s="12"/>
      <c r="D179" s="12"/>
      <c r="E179" s="12"/>
      <c r="F179" s="3"/>
      <c r="G179" s="10"/>
      <c r="H179" s="3"/>
      <c r="I179" s="3"/>
      <c r="J179" s="3"/>
      <c r="K179" s="3"/>
    </row>
    <row r="180" spans="1:11" x14ac:dyDescent="0.3">
      <c r="A180" s="10"/>
      <c r="B180" s="12"/>
      <c r="C180" s="12"/>
      <c r="D180" s="12"/>
      <c r="E180" s="12"/>
      <c r="F180" s="3"/>
      <c r="G180" s="10"/>
      <c r="H180" s="3"/>
      <c r="I180" s="3"/>
      <c r="J180" s="3"/>
      <c r="K180" s="3"/>
    </row>
    <row r="181" spans="1:11" x14ac:dyDescent="0.3">
      <c r="A181" s="10"/>
      <c r="B181" s="12"/>
      <c r="C181" s="12"/>
      <c r="D181" s="12"/>
      <c r="E181" s="12"/>
      <c r="F181" s="3"/>
      <c r="G181" s="10"/>
      <c r="H181" s="3"/>
      <c r="I181" s="3"/>
      <c r="J181" s="3"/>
      <c r="K181" s="3"/>
    </row>
    <row r="182" spans="1:11" x14ac:dyDescent="0.3">
      <c r="A182" s="10"/>
      <c r="B182" s="12"/>
      <c r="C182" s="12"/>
      <c r="D182" s="12"/>
      <c r="E182" s="12"/>
      <c r="F182" s="3"/>
      <c r="G182" s="10"/>
      <c r="H182" s="3"/>
      <c r="I182" s="3"/>
      <c r="J182" s="3"/>
      <c r="K182" s="3"/>
    </row>
    <row r="183" spans="1:11" x14ac:dyDescent="0.3">
      <c r="A183" s="10"/>
      <c r="B183" s="12"/>
      <c r="C183" s="12"/>
      <c r="D183" s="12"/>
      <c r="E183" s="12"/>
      <c r="F183" s="3"/>
      <c r="G183" s="10"/>
      <c r="H183" s="3"/>
      <c r="I183" s="3"/>
      <c r="J183" s="3"/>
      <c r="K183" s="3"/>
    </row>
    <row r="184" spans="1:11" x14ac:dyDescent="0.3">
      <c r="A184" s="10"/>
      <c r="B184" s="12"/>
      <c r="C184" s="12"/>
      <c r="D184" s="12"/>
      <c r="E184" s="12"/>
      <c r="F184" s="3"/>
      <c r="G184" s="10"/>
      <c r="H184" s="3"/>
      <c r="I184" s="3"/>
      <c r="J184" s="3"/>
      <c r="K184" s="3"/>
    </row>
    <row r="185" spans="1:11" x14ac:dyDescent="0.3">
      <c r="A185" s="10"/>
      <c r="B185" s="12"/>
      <c r="C185" s="12"/>
      <c r="D185" s="12"/>
      <c r="E185" s="12"/>
      <c r="F185" s="3"/>
      <c r="G185" s="10"/>
      <c r="H185" s="3"/>
      <c r="I185" s="3"/>
      <c r="J185" s="3"/>
      <c r="K185" s="3"/>
    </row>
    <row r="186" spans="1:11" x14ac:dyDescent="0.3">
      <c r="A186" s="10"/>
      <c r="B186" s="12"/>
      <c r="C186" s="12"/>
      <c r="D186" s="12"/>
      <c r="E186" s="12"/>
      <c r="F186" s="3"/>
      <c r="G186" s="10"/>
      <c r="H186" s="3"/>
      <c r="I186" s="3"/>
      <c r="J186" s="3"/>
      <c r="K186" s="3"/>
    </row>
    <row r="187" spans="1:11" x14ac:dyDescent="0.3">
      <c r="A187" s="10"/>
      <c r="B187" s="12"/>
      <c r="C187" s="12"/>
      <c r="D187" s="12"/>
      <c r="E187" s="12"/>
      <c r="F187" s="3"/>
      <c r="G187" s="10"/>
      <c r="H187" s="3"/>
      <c r="I187" s="3"/>
      <c r="J187" s="3"/>
      <c r="K187" s="3"/>
    </row>
    <row r="188" spans="1:11" x14ac:dyDescent="0.3">
      <c r="A188" s="10"/>
      <c r="B188" s="12"/>
      <c r="C188" s="12"/>
      <c r="D188" s="12"/>
      <c r="E188" s="12"/>
      <c r="F188" s="3"/>
      <c r="G188" s="10"/>
      <c r="H188" s="3"/>
      <c r="I188" s="3"/>
      <c r="J188" s="3"/>
      <c r="K188" s="3"/>
    </row>
    <row r="189" spans="1:11" x14ac:dyDescent="0.3">
      <c r="A189" s="10"/>
      <c r="B189" s="12"/>
      <c r="C189" s="12"/>
      <c r="D189" s="12"/>
      <c r="E189" s="12"/>
      <c r="F189" s="3"/>
      <c r="G189" s="10"/>
      <c r="H189" s="3"/>
      <c r="I189" s="3"/>
      <c r="J189" s="3"/>
      <c r="K189" s="3"/>
    </row>
    <row r="190" spans="1:11" x14ac:dyDescent="0.3">
      <c r="A190" s="10"/>
      <c r="B190" s="12"/>
      <c r="C190" s="12"/>
      <c r="D190" s="12"/>
      <c r="E190" s="12"/>
      <c r="F190" s="3"/>
      <c r="G190" s="10"/>
      <c r="H190" s="3"/>
      <c r="I190" s="3"/>
      <c r="J190" s="3"/>
      <c r="K190" s="3"/>
    </row>
    <row r="191" spans="1:11" x14ac:dyDescent="0.3">
      <c r="A191" s="10"/>
      <c r="B191" s="12"/>
      <c r="C191" s="12"/>
      <c r="D191" s="12"/>
      <c r="E191" s="12"/>
      <c r="F191" s="3"/>
      <c r="G191" s="10"/>
      <c r="H191" s="3"/>
      <c r="I191" s="3"/>
      <c r="J191" s="3"/>
      <c r="K191" s="3"/>
    </row>
    <row r="192" spans="1:11" x14ac:dyDescent="0.3">
      <c r="A192" s="10"/>
      <c r="B192" s="12"/>
      <c r="C192" s="12"/>
      <c r="D192" s="12"/>
      <c r="E192" s="12"/>
      <c r="F192" s="3"/>
      <c r="G192" s="10"/>
      <c r="H192" s="3"/>
      <c r="I192" s="3"/>
      <c r="J192" s="3"/>
      <c r="K192" s="3"/>
    </row>
    <row r="193" spans="1:11" x14ac:dyDescent="0.3">
      <c r="A193" s="10"/>
      <c r="B193" s="12"/>
      <c r="C193" s="12"/>
      <c r="D193" s="12"/>
      <c r="E193" s="12"/>
      <c r="F193" s="3"/>
      <c r="G193" s="10"/>
      <c r="H193" s="3"/>
      <c r="I193" s="3"/>
      <c r="J193" s="3"/>
      <c r="K193" s="3"/>
    </row>
    <row r="194" spans="1:11" x14ac:dyDescent="0.3">
      <c r="A194" s="10"/>
      <c r="B194" s="12"/>
      <c r="C194" s="12"/>
      <c r="D194" s="12"/>
      <c r="E194" s="12"/>
      <c r="F194" s="3"/>
      <c r="G194" s="10"/>
      <c r="H194" s="3"/>
      <c r="I194" s="3"/>
      <c r="J194" s="3"/>
      <c r="K194" s="3"/>
    </row>
    <row r="195" spans="1:11" x14ac:dyDescent="0.3">
      <c r="A195" s="10"/>
      <c r="B195" s="12"/>
      <c r="C195" s="12"/>
      <c r="D195" s="12"/>
      <c r="E195" s="12"/>
      <c r="F195" s="3"/>
      <c r="G195" s="10"/>
      <c r="H195" s="3"/>
      <c r="I195" s="3"/>
      <c r="J195" s="3"/>
      <c r="K195" s="3"/>
    </row>
    <row r="196" spans="1:11" x14ac:dyDescent="0.3">
      <c r="A196" s="10"/>
      <c r="B196" s="12"/>
      <c r="C196" s="12"/>
      <c r="D196" s="12"/>
      <c r="E196" s="12"/>
      <c r="F196" s="3"/>
      <c r="G196" s="10"/>
      <c r="H196" s="3"/>
      <c r="I196" s="3"/>
      <c r="J196" s="3"/>
      <c r="K196" s="3"/>
    </row>
    <row r="197" spans="1:11" x14ac:dyDescent="0.3">
      <c r="A197" s="10"/>
      <c r="B197" s="12"/>
      <c r="C197" s="12"/>
      <c r="D197" s="12"/>
      <c r="E197" s="12"/>
      <c r="F197" s="3"/>
      <c r="G197" s="10"/>
      <c r="H197" s="3"/>
      <c r="I197" s="3"/>
      <c r="J197" s="3"/>
      <c r="K197" s="3"/>
    </row>
    <row r="198" spans="1:11" x14ac:dyDescent="0.3">
      <c r="A198" s="10"/>
      <c r="B198" s="12"/>
      <c r="C198" s="12"/>
      <c r="D198" s="12"/>
      <c r="E198" s="12"/>
      <c r="F198" s="3"/>
      <c r="G198" s="10"/>
      <c r="H198" s="3"/>
      <c r="I198" s="3"/>
      <c r="J198" s="3"/>
      <c r="K198" s="3"/>
    </row>
    <row r="199" spans="1:11" x14ac:dyDescent="0.3">
      <c r="A199" s="10"/>
      <c r="B199" s="12"/>
      <c r="C199" s="12"/>
      <c r="D199" s="12"/>
      <c r="E199" s="12"/>
      <c r="F199" s="3"/>
      <c r="G199" s="10"/>
      <c r="H199" s="3"/>
      <c r="I199" s="3"/>
      <c r="J199" s="3"/>
      <c r="K199" s="3"/>
    </row>
    <row r="200" spans="1:11" x14ac:dyDescent="0.3">
      <c r="A200" s="10"/>
      <c r="B200" s="12"/>
      <c r="C200" s="12"/>
      <c r="D200" s="12"/>
      <c r="E200" s="12"/>
      <c r="F200" s="3"/>
      <c r="G200" s="10"/>
      <c r="H200" s="3"/>
      <c r="I200" s="3"/>
      <c r="J200" s="3"/>
      <c r="K200" s="3"/>
    </row>
    <row r="201" spans="1:11" x14ac:dyDescent="0.3">
      <c r="A201" s="10"/>
      <c r="B201" s="12"/>
      <c r="C201" s="12"/>
      <c r="D201" s="12"/>
      <c r="E201" s="12"/>
      <c r="F201" s="3"/>
      <c r="G201" s="10"/>
      <c r="H201" s="3"/>
      <c r="I201" s="3"/>
      <c r="J201" s="3"/>
      <c r="K201" s="3"/>
    </row>
    <row r="202" spans="1:11" x14ac:dyDescent="0.3">
      <c r="A202" s="10"/>
      <c r="B202" s="12"/>
      <c r="C202" s="12"/>
      <c r="D202" s="12"/>
      <c r="E202" s="12"/>
      <c r="F202" s="3"/>
      <c r="G202" s="10"/>
      <c r="H202" s="3"/>
      <c r="I202" s="3"/>
      <c r="J202" s="3"/>
      <c r="K202" s="3"/>
    </row>
    <row r="203" spans="1:11" x14ac:dyDescent="0.3">
      <c r="A203" s="10"/>
      <c r="B203" s="12"/>
      <c r="C203" s="12"/>
      <c r="D203" s="12"/>
      <c r="E203" s="12"/>
      <c r="F203" s="3"/>
      <c r="G203" s="10"/>
      <c r="H203" s="3"/>
      <c r="I203" s="3"/>
      <c r="J203" s="3"/>
      <c r="K203" s="3"/>
    </row>
    <row r="204" spans="1:11" x14ac:dyDescent="0.3">
      <c r="A204" s="10"/>
      <c r="B204" s="12"/>
      <c r="C204" s="12"/>
      <c r="D204" s="12"/>
      <c r="E204" s="12"/>
      <c r="F204" s="3"/>
      <c r="G204" s="10"/>
      <c r="H204" s="3"/>
      <c r="I204" s="3"/>
      <c r="J204" s="3"/>
      <c r="K204" s="3"/>
    </row>
    <row r="205" spans="1:11" x14ac:dyDescent="0.3">
      <c r="A205" s="10"/>
      <c r="B205" s="12"/>
      <c r="C205" s="12"/>
      <c r="D205" s="12"/>
      <c r="E205" s="12"/>
      <c r="F205" s="3"/>
      <c r="G205" s="10"/>
      <c r="H205" s="3"/>
      <c r="I205" s="3"/>
      <c r="J205" s="3"/>
      <c r="K205" s="3"/>
    </row>
    <row r="206" spans="1:11" x14ac:dyDescent="0.3">
      <c r="A206" s="10"/>
      <c r="B206" s="12"/>
      <c r="C206" s="12"/>
      <c r="D206" s="12"/>
      <c r="E206" s="12"/>
      <c r="F206" s="3"/>
      <c r="G206" s="10"/>
      <c r="H206" s="3"/>
      <c r="I206" s="3"/>
      <c r="J206" s="3"/>
      <c r="K206" s="3"/>
    </row>
    <row r="207" spans="1:11" x14ac:dyDescent="0.3">
      <c r="A207" s="10"/>
      <c r="B207" s="12"/>
      <c r="C207" s="12"/>
      <c r="D207" s="12"/>
      <c r="E207" s="12"/>
      <c r="F207" s="3"/>
      <c r="G207" s="10"/>
      <c r="H207" s="3"/>
      <c r="I207" s="3"/>
      <c r="J207" s="3"/>
      <c r="K207" s="3"/>
    </row>
    <row r="208" spans="1:11" x14ac:dyDescent="0.3">
      <c r="A208" s="10"/>
      <c r="B208" s="12"/>
      <c r="C208" s="12"/>
      <c r="D208" s="12"/>
      <c r="E208" s="12"/>
      <c r="F208" s="3"/>
      <c r="G208" s="10"/>
      <c r="H208" s="3"/>
      <c r="I208" s="3"/>
      <c r="J208" s="3"/>
      <c r="K208" s="3"/>
    </row>
    <row r="209" spans="1:11" x14ac:dyDescent="0.3">
      <c r="A209" s="10"/>
      <c r="B209" s="12"/>
      <c r="C209" s="12"/>
      <c r="D209" s="12"/>
      <c r="E209" s="12"/>
      <c r="F209" s="3"/>
      <c r="G209" s="10"/>
      <c r="H209" s="3"/>
      <c r="I209" s="3"/>
      <c r="J209" s="3"/>
      <c r="K209" s="3"/>
    </row>
    <row r="210" spans="1:11" x14ac:dyDescent="0.3">
      <c r="A210" s="10"/>
      <c r="B210" s="12"/>
      <c r="C210" s="12"/>
      <c r="D210" s="12"/>
      <c r="E210" s="12"/>
      <c r="F210" s="3"/>
      <c r="G210" s="10"/>
      <c r="H210" s="3"/>
      <c r="I210" s="3"/>
      <c r="J210" s="3"/>
      <c r="K210" s="3"/>
    </row>
    <row r="211" spans="1:11" x14ac:dyDescent="0.3">
      <c r="A211" s="10"/>
      <c r="B211" s="12"/>
      <c r="C211" s="12"/>
      <c r="D211" s="12"/>
      <c r="E211" s="12"/>
      <c r="F211" s="3"/>
      <c r="G211" s="10"/>
      <c r="H211" s="3"/>
      <c r="I211" s="3"/>
      <c r="J211" s="3"/>
      <c r="K211" s="3"/>
    </row>
    <row r="212" spans="1:11" x14ac:dyDescent="0.3">
      <c r="A212" s="10"/>
      <c r="B212" s="12"/>
      <c r="C212" s="12"/>
      <c r="D212" s="12"/>
      <c r="E212" s="12"/>
      <c r="F212" s="3"/>
      <c r="G212" s="10"/>
      <c r="H212" s="3"/>
      <c r="I212" s="3"/>
      <c r="J212" s="3"/>
      <c r="K212" s="3"/>
    </row>
    <row r="213" spans="1:11" x14ac:dyDescent="0.3">
      <c r="A213" s="10"/>
      <c r="B213" s="12"/>
      <c r="C213" s="12"/>
      <c r="D213" s="12"/>
      <c r="E213" s="12"/>
      <c r="F213" s="3"/>
      <c r="G213" s="10"/>
      <c r="H213" s="3"/>
      <c r="I213" s="3"/>
      <c r="J213" s="3"/>
      <c r="K213" s="3"/>
    </row>
    <row r="214" spans="1:11" x14ac:dyDescent="0.3">
      <c r="A214" s="10"/>
      <c r="B214" s="12"/>
      <c r="C214" s="12"/>
      <c r="D214" s="12"/>
      <c r="E214" s="12"/>
      <c r="F214" s="3"/>
      <c r="G214" s="10"/>
      <c r="H214" s="3"/>
      <c r="I214" s="3"/>
      <c r="J214" s="3"/>
      <c r="K214" s="3"/>
    </row>
    <row r="215" spans="1:11" x14ac:dyDescent="0.3">
      <c r="A215" s="10"/>
      <c r="B215" s="12"/>
      <c r="C215" s="12"/>
      <c r="D215" s="12"/>
      <c r="E215" s="12"/>
      <c r="F215" s="3"/>
      <c r="G215" s="10"/>
      <c r="H215" s="3"/>
      <c r="I215" s="3"/>
      <c r="J215" s="3"/>
      <c r="K215" s="3"/>
    </row>
    <row r="216" spans="1:11" x14ac:dyDescent="0.3">
      <c r="A216" s="10"/>
      <c r="B216" s="12"/>
      <c r="C216" s="12"/>
      <c r="D216" s="12"/>
      <c r="E216" s="12"/>
      <c r="F216" s="3"/>
      <c r="G216" s="10"/>
      <c r="H216" s="3"/>
      <c r="I216" s="3"/>
      <c r="J216" s="3"/>
      <c r="K216" s="3"/>
    </row>
    <row r="217" spans="1:11" x14ac:dyDescent="0.3">
      <c r="A217" s="10"/>
      <c r="B217" s="12"/>
      <c r="C217" s="12"/>
      <c r="D217" s="12"/>
      <c r="E217" s="12"/>
      <c r="F217" s="3"/>
      <c r="G217" s="10"/>
      <c r="H217" s="3"/>
      <c r="I217" s="3"/>
      <c r="J217" s="3"/>
      <c r="K217" s="3"/>
    </row>
    <row r="218" spans="1:11" x14ac:dyDescent="0.3">
      <c r="A218" s="10"/>
      <c r="B218" s="12"/>
      <c r="C218" s="12"/>
      <c r="D218" s="12"/>
      <c r="E218" s="12"/>
      <c r="F218" s="3"/>
      <c r="G218" s="10"/>
      <c r="H218" s="3"/>
      <c r="I218" s="3"/>
      <c r="J218" s="3"/>
      <c r="K218" s="3"/>
    </row>
    <row r="219" spans="1:11" x14ac:dyDescent="0.3">
      <c r="A219" s="10"/>
      <c r="B219" s="12"/>
      <c r="C219" s="12"/>
      <c r="D219" s="12"/>
      <c r="E219" s="12"/>
      <c r="F219" s="3"/>
      <c r="G219" s="10"/>
      <c r="H219" s="3"/>
      <c r="I219" s="3"/>
      <c r="J219" s="3"/>
      <c r="K219" s="3"/>
    </row>
    <row r="220" spans="1:11" x14ac:dyDescent="0.3">
      <c r="A220" s="10"/>
      <c r="B220" s="12"/>
      <c r="C220" s="12"/>
      <c r="D220" s="12"/>
      <c r="E220" s="12"/>
      <c r="F220" s="3"/>
      <c r="G220" s="10"/>
      <c r="H220" s="3"/>
      <c r="I220" s="3"/>
      <c r="J220" s="3"/>
      <c r="K220" s="3"/>
    </row>
    <row r="221" spans="1:11" x14ac:dyDescent="0.3">
      <c r="A221" s="10"/>
      <c r="B221" s="12"/>
      <c r="C221" s="12"/>
      <c r="D221" s="12"/>
      <c r="E221" s="12"/>
      <c r="F221" s="3"/>
      <c r="G221" s="10"/>
      <c r="H221" s="3"/>
      <c r="I221" s="3"/>
      <c r="J221" s="3"/>
      <c r="K221" s="3"/>
    </row>
    <row r="222" spans="1:11" x14ac:dyDescent="0.3">
      <c r="A222" s="10"/>
      <c r="B222" s="12"/>
      <c r="C222" s="12"/>
      <c r="D222" s="12"/>
      <c r="E222" s="12"/>
      <c r="F222" s="3"/>
      <c r="G222" s="10"/>
      <c r="H222" s="3"/>
      <c r="I222" s="3"/>
      <c r="J222" s="3"/>
      <c r="K222" s="3"/>
    </row>
    <row r="223" spans="1:11" x14ac:dyDescent="0.3">
      <c r="A223" s="10"/>
      <c r="B223" s="12"/>
      <c r="C223" s="12"/>
      <c r="D223" s="12"/>
      <c r="E223" s="12"/>
      <c r="F223" s="3"/>
      <c r="G223" s="10"/>
      <c r="H223" s="3"/>
      <c r="I223" s="3"/>
      <c r="J223" s="3"/>
      <c r="K223" s="3"/>
    </row>
    <row r="224" spans="1:11" x14ac:dyDescent="0.3">
      <c r="A224" s="10"/>
      <c r="B224" s="12"/>
      <c r="C224" s="12"/>
      <c r="D224" s="12"/>
      <c r="E224" s="12"/>
      <c r="F224" s="3"/>
      <c r="G224" s="10"/>
      <c r="H224" s="3"/>
      <c r="I224" s="3"/>
      <c r="J224" s="3"/>
      <c r="K224" s="3"/>
    </row>
    <row r="225" spans="1:11" x14ac:dyDescent="0.3">
      <c r="A225" s="10"/>
      <c r="B225" s="12"/>
      <c r="C225" s="12"/>
      <c r="D225" s="12"/>
      <c r="E225" s="12"/>
      <c r="F225" s="3"/>
      <c r="G225" s="10"/>
      <c r="H225" s="3"/>
      <c r="I225" s="3"/>
      <c r="J225" s="3"/>
      <c r="K225" s="3"/>
    </row>
    <row r="226" spans="1:11" x14ac:dyDescent="0.3">
      <c r="A226" s="10"/>
      <c r="B226" s="12"/>
      <c r="C226" s="12"/>
      <c r="D226" s="12"/>
      <c r="E226" s="12"/>
      <c r="F226" s="3"/>
      <c r="G226" s="10"/>
      <c r="H226" s="3"/>
      <c r="I226" s="3"/>
      <c r="J226" s="3"/>
      <c r="K226" s="3"/>
    </row>
    <row r="227" spans="1:11" x14ac:dyDescent="0.3">
      <c r="A227" s="10"/>
      <c r="B227" s="12"/>
      <c r="C227" s="12"/>
      <c r="D227" s="12"/>
      <c r="E227" s="12"/>
      <c r="F227" s="3"/>
      <c r="G227" s="10"/>
      <c r="H227" s="3"/>
      <c r="I227" s="3"/>
      <c r="J227" s="3"/>
      <c r="K227" s="3"/>
    </row>
    <row r="228" spans="1:11" x14ac:dyDescent="0.3">
      <c r="A228" s="10"/>
      <c r="B228" s="12"/>
      <c r="C228" s="12"/>
      <c r="D228" s="12"/>
      <c r="E228" s="12"/>
      <c r="F228" s="3"/>
      <c r="G228" s="10"/>
      <c r="H228" s="3"/>
      <c r="I228" s="3"/>
      <c r="J228" s="3"/>
      <c r="K228" s="3"/>
    </row>
    <row r="229" spans="1:11" x14ac:dyDescent="0.3">
      <c r="A229" s="10"/>
      <c r="B229" s="12"/>
      <c r="C229" s="12"/>
      <c r="D229" s="12"/>
      <c r="E229" s="12"/>
      <c r="F229" s="3"/>
      <c r="G229" s="10"/>
      <c r="H229" s="3"/>
      <c r="I229" s="3"/>
      <c r="J229" s="3"/>
      <c r="K229" s="3"/>
    </row>
    <row r="230" spans="1:11" x14ac:dyDescent="0.3">
      <c r="A230" s="10"/>
      <c r="B230" s="12"/>
      <c r="C230" s="12"/>
      <c r="D230" s="12"/>
      <c r="E230" s="12"/>
      <c r="F230" s="3"/>
      <c r="G230" s="10"/>
      <c r="H230" s="3"/>
      <c r="I230" s="3"/>
      <c r="J230" s="3"/>
      <c r="K230" s="3"/>
    </row>
    <row r="231" spans="1:11" x14ac:dyDescent="0.3">
      <c r="A231" s="10"/>
      <c r="B231" s="12"/>
      <c r="C231" s="12"/>
      <c r="D231" s="12"/>
      <c r="E231" s="12"/>
      <c r="F231" s="3"/>
      <c r="G231" s="10"/>
      <c r="H231" s="3"/>
      <c r="I231" s="3"/>
      <c r="J231" s="3"/>
      <c r="K231" s="3"/>
    </row>
    <row r="232" spans="1:11" x14ac:dyDescent="0.3">
      <c r="A232" s="10"/>
      <c r="B232" s="12"/>
      <c r="C232" s="12"/>
      <c r="D232" s="12"/>
      <c r="E232" s="12"/>
      <c r="F232" s="3"/>
      <c r="G232" s="10"/>
      <c r="H232" s="3"/>
      <c r="I232" s="3"/>
      <c r="J232" s="3"/>
      <c r="K232" s="3"/>
    </row>
    <row r="233" spans="1:11" x14ac:dyDescent="0.3">
      <c r="A233" s="10"/>
      <c r="B233" s="12"/>
      <c r="C233" s="12"/>
      <c r="D233" s="12"/>
      <c r="E233" s="12"/>
      <c r="F233" s="3"/>
      <c r="G233" s="10"/>
      <c r="H233" s="3"/>
      <c r="I233" s="3"/>
      <c r="J233" s="3"/>
      <c r="K233" s="3"/>
    </row>
    <row r="234" spans="1:11" x14ac:dyDescent="0.3">
      <c r="A234" s="10"/>
      <c r="B234" s="12"/>
      <c r="C234" s="12"/>
      <c r="D234" s="12"/>
      <c r="E234" s="12"/>
      <c r="F234" s="3"/>
      <c r="G234" s="10"/>
      <c r="H234" s="3"/>
      <c r="I234" s="3"/>
      <c r="J234" s="3"/>
      <c r="K234" s="3"/>
    </row>
    <row r="235" spans="1:11" x14ac:dyDescent="0.3">
      <c r="A235" s="10"/>
      <c r="B235" s="12"/>
      <c r="C235" s="12"/>
      <c r="D235" s="12"/>
      <c r="E235" s="12"/>
      <c r="F235" s="3"/>
      <c r="G235" s="10"/>
      <c r="H235" s="3"/>
      <c r="I235" s="3"/>
      <c r="J235" s="3"/>
      <c r="K235" s="3"/>
    </row>
    <row r="236" spans="1:11" x14ac:dyDescent="0.3">
      <c r="A236" s="10"/>
      <c r="B236" s="12"/>
      <c r="C236" s="12"/>
      <c r="D236" s="12"/>
      <c r="E236" s="12"/>
      <c r="F236" s="3"/>
      <c r="G236" s="10"/>
      <c r="H236" s="3"/>
      <c r="I236" s="3"/>
      <c r="J236" s="3"/>
      <c r="K236" s="3"/>
    </row>
    <row r="237" spans="1:11" x14ac:dyDescent="0.3">
      <c r="A237" s="10"/>
      <c r="B237" s="12"/>
      <c r="C237" s="12"/>
      <c r="D237" s="12"/>
      <c r="E237" s="12"/>
      <c r="F237" s="3"/>
      <c r="G237" s="10"/>
      <c r="H237" s="3"/>
      <c r="I237" s="3"/>
      <c r="J237" s="3"/>
      <c r="K237" s="3"/>
    </row>
    <row r="238" spans="1:11" x14ac:dyDescent="0.3">
      <c r="A238" s="10"/>
      <c r="B238" s="12"/>
      <c r="C238" s="12"/>
      <c r="D238" s="12"/>
      <c r="E238" s="12"/>
      <c r="F238" s="3"/>
      <c r="G238" s="10"/>
      <c r="H238" s="3"/>
      <c r="I238" s="3"/>
      <c r="J238" s="3"/>
      <c r="K238" s="3"/>
    </row>
    <row r="239" spans="1:11" x14ac:dyDescent="0.3">
      <c r="A239" s="10"/>
      <c r="B239" s="12"/>
      <c r="C239" s="12"/>
      <c r="D239" s="12"/>
      <c r="E239" s="12"/>
      <c r="F239" s="3"/>
      <c r="G239" s="10"/>
      <c r="H239" s="3"/>
      <c r="I239" s="3"/>
      <c r="J239" s="3"/>
      <c r="K239" s="3"/>
    </row>
    <row r="240" spans="1:11" x14ac:dyDescent="0.3">
      <c r="A240" s="10"/>
      <c r="B240" s="12"/>
      <c r="C240" s="12"/>
      <c r="D240" s="12"/>
      <c r="E240" s="12"/>
      <c r="F240" s="3"/>
      <c r="G240" s="10"/>
      <c r="H240" s="3"/>
      <c r="I240" s="3"/>
      <c r="J240" s="3"/>
      <c r="K240" s="3"/>
    </row>
    <row r="241" spans="1:11" x14ac:dyDescent="0.3">
      <c r="A241" s="10"/>
      <c r="B241" s="12"/>
      <c r="C241" s="12"/>
      <c r="D241" s="12"/>
      <c r="E241" s="12"/>
      <c r="F241" s="3"/>
      <c r="G241" s="10"/>
      <c r="H241" s="3"/>
      <c r="I241" s="3"/>
      <c r="J241" s="3"/>
      <c r="K241" s="3"/>
    </row>
    <row r="242" spans="1:11" x14ac:dyDescent="0.3">
      <c r="A242" s="10"/>
      <c r="B242" s="12"/>
      <c r="C242" s="12"/>
      <c r="D242" s="12"/>
      <c r="E242" s="12"/>
      <c r="F242" s="3"/>
      <c r="G242" s="10"/>
      <c r="H242" s="3"/>
      <c r="I242" s="3"/>
      <c r="J242" s="3"/>
      <c r="K242" s="3"/>
    </row>
    <row r="243" spans="1:11" x14ac:dyDescent="0.3">
      <c r="A243" s="10"/>
      <c r="B243" s="12"/>
      <c r="C243" s="12"/>
      <c r="D243" s="12"/>
      <c r="E243" s="12"/>
      <c r="F243" s="3"/>
      <c r="G243" s="10"/>
      <c r="H243" s="3"/>
      <c r="I243" s="3"/>
      <c r="J243" s="3"/>
      <c r="K243" s="3"/>
    </row>
    <row r="244" spans="1:11" x14ac:dyDescent="0.3">
      <c r="A244" s="10"/>
      <c r="B244" s="12"/>
      <c r="C244" s="12"/>
      <c r="D244" s="12"/>
      <c r="E244" s="12"/>
      <c r="F244" s="3"/>
      <c r="G244" s="10"/>
      <c r="H244" s="3"/>
      <c r="I244" s="3"/>
      <c r="J244" s="3"/>
      <c r="K244" s="3"/>
    </row>
    <row r="245" spans="1:11" x14ac:dyDescent="0.3">
      <c r="A245" s="10"/>
      <c r="B245" s="12"/>
      <c r="C245" s="12"/>
      <c r="D245" s="12"/>
      <c r="E245" s="12"/>
      <c r="F245" s="3"/>
      <c r="G245" s="10"/>
      <c r="H245" s="3"/>
      <c r="I245" s="3"/>
      <c r="J245" s="3"/>
      <c r="K245" s="3"/>
    </row>
    <row r="246" spans="1:11" x14ac:dyDescent="0.3">
      <c r="A246" s="10"/>
      <c r="B246" s="12"/>
      <c r="C246" s="12"/>
      <c r="D246" s="12"/>
      <c r="E246" s="12"/>
      <c r="F246" s="3"/>
      <c r="G246" s="10"/>
      <c r="H246" s="3"/>
      <c r="I246" s="3"/>
      <c r="J246" s="3"/>
      <c r="K246" s="3"/>
    </row>
    <row r="247" spans="1:11" x14ac:dyDescent="0.3">
      <c r="A247" s="10"/>
      <c r="B247" s="12"/>
      <c r="C247" s="12"/>
      <c r="D247" s="12"/>
      <c r="E247" s="12"/>
      <c r="F247" s="3"/>
      <c r="G247" s="10"/>
      <c r="H247" s="3"/>
      <c r="I247" s="3"/>
      <c r="J247" s="3"/>
      <c r="K247" s="3"/>
    </row>
    <row r="248" spans="1:11" x14ac:dyDescent="0.3">
      <c r="A248" s="10"/>
      <c r="B248" s="12"/>
      <c r="C248" s="12"/>
      <c r="D248" s="12"/>
      <c r="E248" s="12"/>
      <c r="F248" s="3"/>
      <c r="G248" s="10"/>
      <c r="H248" s="3"/>
      <c r="I248" s="3"/>
      <c r="J248" s="3"/>
      <c r="K248" s="3"/>
    </row>
    <row r="249" spans="1:11" x14ac:dyDescent="0.3">
      <c r="A249" s="10"/>
      <c r="B249" s="12"/>
      <c r="C249" s="12"/>
      <c r="D249" s="12"/>
      <c r="E249" s="12"/>
      <c r="F249" s="3"/>
      <c r="G249" s="10"/>
      <c r="H249" s="3"/>
      <c r="I249" s="3"/>
      <c r="J249" s="3"/>
      <c r="K249" s="3"/>
    </row>
    <row r="250" spans="1:11" x14ac:dyDescent="0.3">
      <c r="A250" s="10"/>
      <c r="B250" s="12"/>
      <c r="C250" s="12"/>
      <c r="D250" s="12"/>
      <c r="E250" s="12"/>
      <c r="F250" s="3"/>
      <c r="G250" s="10"/>
      <c r="H250" s="3"/>
      <c r="I250" s="3"/>
      <c r="J250" s="3"/>
      <c r="K250" s="3"/>
    </row>
    <row r="251" spans="1:11" x14ac:dyDescent="0.3">
      <c r="A251" s="10"/>
      <c r="B251" s="12"/>
      <c r="C251" s="12"/>
      <c r="D251" s="12"/>
      <c r="E251" s="12"/>
      <c r="F251" s="3"/>
      <c r="G251" s="10"/>
      <c r="H251" s="3"/>
      <c r="I251" s="3"/>
      <c r="J251" s="3"/>
      <c r="K251" s="3"/>
    </row>
    <row r="252" spans="1:11" x14ac:dyDescent="0.3">
      <c r="A252" s="10"/>
      <c r="B252" s="12"/>
      <c r="C252" s="12"/>
      <c r="D252" s="12"/>
      <c r="E252" s="12"/>
      <c r="F252" s="3"/>
      <c r="G252" s="10"/>
      <c r="H252" s="3"/>
      <c r="I252" s="3"/>
      <c r="J252" s="3"/>
      <c r="K252" s="3"/>
    </row>
    <row r="253" spans="1:11" x14ac:dyDescent="0.3">
      <c r="A253" s="10"/>
      <c r="B253" s="12"/>
      <c r="C253" s="12"/>
      <c r="D253" s="12"/>
      <c r="E253" s="12"/>
      <c r="F253" s="3"/>
      <c r="G253" s="10"/>
      <c r="H253" s="3"/>
      <c r="I253" s="3"/>
      <c r="J253" s="3"/>
      <c r="K253" s="3"/>
    </row>
    <row r="254" spans="1:11" x14ac:dyDescent="0.3">
      <c r="A254" s="10"/>
      <c r="B254" s="12"/>
      <c r="C254" s="12"/>
      <c r="D254" s="12"/>
      <c r="E254" s="12"/>
      <c r="F254" s="3"/>
      <c r="G254" s="10"/>
      <c r="H254" s="3"/>
      <c r="I254" s="3"/>
      <c r="J254" s="3"/>
      <c r="K254" s="3"/>
    </row>
    <row r="255" spans="1:11" x14ac:dyDescent="0.3">
      <c r="A255" s="10"/>
      <c r="B255" s="12"/>
      <c r="C255" s="12"/>
      <c r="D255" s="12"/>
      <c r="E255" s="12"/>
      <c r="F255" s="3"/>
      <c r="G255" s="10"/>
      <c r="H255" s="3"/>
      <c r="I255" s="3"/>
      <c r="J255" s="3"/>
      <c r="K255" s="3"/>
    </row>
    <row r="256" spans="1:11" x14ac:dyDescent="0.3">
      <c r="A256" s="10"/>
      <c r="B256" s="12"/>
      <c r="C256" s="12"/>
      <c r="D256" s="12"/>
      <c r="E256" s="12"/>
      <c r="F256" s="3"/>
      <c r="G256" s="10"/>
      <c r="H256" s="3"/>
      <c r="I256" s="3"/>
      <c r="J256" s="3"/>
      <c r="K256" s="3"/>
    </row>
    <row r="257" spans="1:11" x14ac:dyDescent="0.3">
      <c r="A257" s="10"/>
      <c r="B257" s="12"/>
      <c r="C257" s="12"/>
      <c r="D257" s="12"/>
      <c r="E257" s="12"/>
      <c r="F257" s="3"/>
      <c r="G257" s="10"/>
      <c r="H257" s="3"/>
      <c r="I257" s="3"/>
      <c r="J257" s="3"/>
      <c r="K257" s="3"/>
    </row>
    <row r="258" spans="1:11" x14ac:dyDescent="0.3">
      <c r="A258" s="10"/>
      <c r="B258" s="12"/>
      <c r="C258" s="12"/>
      <c r="D258" s="12"/>
      <c r="E258" s="12"/>
      <c r="F258" s="3"/>
      <c r="G258" s="10"/>
      <c r="H258" s="3"/>
      <c r="I258" s="3"/>
      <c r="J258" s="3"/>
      <c r="K258" s="3"/>
    </row>
    <row r="259" spans="1:11" x14ac:dyDescent="0.3">
      <c r="A259" s="10"/>
      <c r="B259" s="12"/>
      <c r="C259" s="12"/>
      <c r="D259" s="12"/>
      <c r="E259" s="12"/>
      <c r="F259" s="3"/>
      <c r="G259" s="10"/>
      <c r="H259" s="3"/>
      <c r="I259" s="3"/>
      <c r="J259" s="3"/>
      <c r="K259" s="3"/>
    </row>
    <row r="260" spans="1:11" x14ac:dyDescent="0.3">
      <c r="A260" s="10"/>
      <c r="B260" s="12"/>
      <c r="C260" s="12"/>
      <c r="D260" s="12"/>
      <c r="E260" s="12"/>
      <c r="F260" s="3"/>
      <c r="G260" s="10"/>
      <c r="H260" s="3"/>
      <c r="I260" s="3"/>
      <c r="J260" s="3"/>
      <c r="K260" s="3"/>
    </row>
    <row r="261" spans="1:11" x14ac:dyDescent="0.3">
      <c r="A261" s="10"/>
      <c r="B261" s="12"/>
      <c r="C261" s="12"/>
      <c r="D261" s="12"/>
      <c r="E261" s="12"/>
      <c r="F261" s="3"/>
      <c r="G261" s="10"/>
      <c r="H261" s="3"/>
      <c r="I261" s="3"/>
      <c r="J261" s="3"/>
      <c r="K261" s="3"/>
    </row>
    <row r="262" spans="1:11" x14ac:dyDescent="0.3">
      <c r="A262" s="10"/>
      <c r="B262" s="12"/>
      <c r="C262" s="12"/>
      <c r="D262" s="12"/>
      <c r="E262" s="12"/>
      <c r="F262" s="3"/>
      <c r="G262" s="10"/>
      <c r="H262" s="3"/>
      <c r="I262" s="3"/>
      <c r="J262" s="3"/>
      <c r="K262" s="3"/>
    </row>
    <row r="263" spans="1:11" x14ac:dyDescent="0.3">
      <c r="A263" s="10"/>
      <c r="B263" s="12"/>
      <c r="C263" s="12"/>
      <c r="D263" s="12"/>
      <c r="E263" s="12"/>
      <c r="F263" s="3"/>
      <c r="G263" s="10"/>
      <c r="H263" s="3"/>
      <c r="I263" s="3"/>
      <c r="J263" s="3"/>
      <c r="K263" s="3"/>
    </row>
    <row r="264" spans="1:11" x14ac:dyDescent="0.3">
      <c r="A264" s="10"/>
      <c r="B264" s="12"/>
      <c r="C264" s="12"/>
      <c r="D264" s="12"/>
      <c r="E264" s="12"/>
      <c r="F264" s="3"/>
      <c r="G264" s="10"/>
      <c r="H264" s="3"/>
      <c r="I264" s="3"/>
      <c r="J264" s="3"/>
      <c r="K264" s="3"/>
    </row>
    <row r="265" spans="1:11" x14ac:dyDescent="0.3">
      <c r="A265" s="10"/>
      <c r="B265" s="12"/>
      <c r="C265" s="12"/>
      <c r="D265" s="12"/>
      <c r="E265" s="12"/>
      <c r="F265" s="3"/>
      <c r="G265" s="10"/>
      <c r="H265" s="3"/>
      <c r="I265" s="3"/>
      <c r="J265" s="3"/>
      <c r="K265" s="3"/>
    </row>
    <row r="266" spans="1:11" x14ac:dyDescent="0.3">
      <c r="A266" s="10"/>
      <c r="B266" s="12"/>
      <c r="C266" s="12"/>
      <c r="D266" s="12"/>
      <c r="E266" s="12"/>
      <c r="F266" s="3"/>
      <c r="G266" s="10"/>
      <c r="H266" s="3"/>
      <c r="I266" s="3"/>
      <c r="J266" s="3"/>
      <c r="K266" s="3"/>
    </row>
    <row r="267" spans="1:11" x14ac:dyDescent="0.3">
      <c r="A267" s="10"/>
      <c r="B267" s="12"/>
      <c r="C267" s="12"/>
      <c r="D267" s="12"/>
      <c r="E267" s="12"/>
      <c r="F267" s="3"/>
      <c r="G267" s="10"/>
      <c r="H267" s="3"/>
      <c r="I267" s="3"/>
      <c r="J267" s="3"/>
      <c r="K267" s="3"/>
    </row>
    <row r="268" spans="1:11" x14ac:dyDescent="0.3">
      <c r="A268" s="10"/>
      <c r="B268" s="12"/>
      <c r="C268" s="12"/>
      <c r="D268" s="12"/>
      <c r="E268" s="12"/>
      <c r="F268" s="3"/>
      <c r="G268" s="10"/>
      <c r="H268" s="3"/>
      <c r="I268" s="3"/>
      <c r="J268" s="3"/>
      <c r="K268" s="3"/>
    </row>
    <row r="269" spans="1:11" x14ac:dyDescent="0.3">
      <c r="A269" s="10"/>
      <c r="B269" s="12"/>
      <c r="C269" s="12"/>
      <c r="D269" s="12"/>
      <c r="E269" s="12"/>
      <c r="F269" s="3"/>
      <c r="G269" s="10"/>
      <c r="H269" s="3"/>
      <c r="I269" s="3"/>
      <c r="J269" s="3"/>
      <c r="K269" s="3"/>
    </row>
    <row r="270" spans="1:11" x14ac:dyDescent="0.3">
      <c r="A270" s="10"/>
      <c r="B270" s="12"/>
      <c r="C270" s="12"/>
      <c r="D270" s="12"/>
      <c r="E270" s="12"/>
      <c r="F270" s="3"/>
      <c r="G270" s="10"/>
      <c r="H270" s="3"/>
      <c r="I270" s="3"/>
      <c r="J270" s="3"/>
      <c r="K270" s="3"/>
    </row>
    <row r="271" spans="1:11" x14ac:dyDescent="0.3">
      <c r="A271" s="10"/>
      <c r="B271" s="12"/>
      <c r="C271" s="12"/>
      <c r="D271" s="12"/>
      <c r="E271" s="12"/>
      <c r="F271" s="3"/>
      <c r="G271" s="10"/>
      <c r="H271" s="3"/>
      <c r="I271" s="3"/>
      <c r="J271" s="3"/>
      <c r="K271" s="3"/>
    </row>
    <row r="272" spans="1:11" x14ac:dyDescent="0.3">
      <c r="A272" s="10"/>
      <c r="B272" s="12"/>
      <c r="C272" s="12"/>
      <c r="D272" s="12"/>
      <c r="E272" s="12"/>
      <c r="F272" s="3"/>
      <c r="G272" s="10"/>
      <c r="H272" s="3"/>
      <c r="I272" s="3"/>
      <c r="J272" s="3"/>
      <c r="K272" s="3"/>
    </row>
    <row r="273" spans="1:11" x14ac:dyDescent="0.3">
      <c r="A273" s="10"/>
      <c r="B273" s="12"/>
      <c r="C273" s="12"/>
      <c r="D273" s="12"/>
      <c r="E273" s="12"/>
      <c r="F273" s="3"/>
      <c r="G273" s="10"/>
      <c r="H273" s="3"/>
      <c r="I273" s="3"/>
      <c r="J273" s="3"/>
      <c r="K273" s="3"/>
    </row>
    <row r="274" spans="1:11" x14ac:dyDescent="0.3">
      <c r="A274" s="10"/>
      <c r="B274" s="12"/>
      <c r="C274" s="12"/>
      <c r="D274" s="12"/>
      <c r="E274" s="12"/>
      <c r="F274" s="3"/>
      <c r="G274" s="10"/>
      <c r="H274" s="3"/>
      <c r="I274" s="3"/>
      <c r="J274" s="3"/>
      <c r="K274" s="3"/>
    </row>
    <row r="275" spans="1:11" x14ac:dyDescent="0.3">
      <c r="A275" s="10"/>
      <c r="B275" s="12"/>
      <c r="C275" s="12"/>
      <c r="D275" s="12"/>
      <c r="E275" s="12"/>
      <c r="F275" s="3"/>
      <c r="G275" s="10"/>
      <c r="H275" s="3"/>
      <c r="I275" s="3"/>
      <c r="J275" s="3"/>
      <c r="K275" s="3"/>
    </row>
    <row r="276" spans="1:11" x14ac:dyDescent="0.3">
      <c r="A276" s="10"/>
      <c r="B276" s="12"/>
      <c r="C276" s="12"/>
      <c r="D276" s="12"/>
      <c r="E276" s="12"/>
      <c r="F276" s="3"/>
      <c r="G276" s="10"/>
      <c r="H276" s="3"/>
      <c r="I276" s="3"/>
      <c r="J276" s="3"/>
      <c r="K276" s="3"/>
    </row>
    <row r="277" spans="1:11" x14ac:dyDescent="0.3">
      <c r="A277" s="10"/>
      <c r="B277" s="12"/>
      <c r="C277" s="12"/>
      <c r="D277" s="12"/>
      <c r="E277" s="12"/>
      <c r="F277" s="3"/>
      <c r="G277" s="10"/>
      <c r="H277" s="3"/>
      <c r="I277" s="3"/>
      <c r="J277" s="3"/>
      <c r="K277" s="3"/>
    </row>
    <row r="278" spans="1:11" x14ac:dyDescent="0.3">
      <c r="A278" s="10"/>
      <c r="B278" s="12"/>
      <c r="C278" s="12"/>
      <c r="D278" s="12"/>
      <c r="E278" s="12"/>
      <c r="F278" s="3"/>
      <c r="G278" s="10"/>
      <c r="H278" s="3"/>
      <c r="I278" s="3"/>
      <c r="J278" s="3"/>
      <c r="K278" s="3"/>
    </row>
    <row r="279" spans="1:11" x14ac:dyDescent="0.3">
      <c r="A279" s="10"/>
      <c r="B279" s="12"/>
      <c r="C279" s="12"/>
      <c r="D279" s="12"/>
      <c r="E279" s="12"/>
      <c r="F279" s="3"/>
      <c r="G279" s="10"/>
      <c r="H279" s="3"/>
      <c r="I279" s="3"/>
      <c r="J279" s="3"/>
      <c r="K279" s="3"/>
    </row>
    <row r="280" spans="1:11" x14ac:dyDescent="0.3">
      <c r="A280" s="10"/>
      <c r="B280" s="12"/>
      <c r="C280" s="12"/>
      <c r="D280" s="12"/>
      <c r="E280" s="12"/>
      <c r="F280" s="3"/>
      <c r="G280" s="10"/>
      <c r="H280" s="3"/>
      <c r="I280" s="3"/>
      <c r="J280" s="3"/>
      <c r="K280" s="3"/>
    </row>
    <row r="281" spans="1:11" x14ac:dyDescent="0.3">
      <c r="A281" s="10"/>
      <c r="B281" s="12"/>
      <c r="C281" s="12"/>
      <c r="D281" s="12"/>
      <c r="E281" s="12"/>
      <c r="F281" s="3"/>
      <c r="G281" s="10"/>
      <c r="H281" s="3"/>
      <c r="I281" s="3"/>
      <c r="J281" s="3"/>
      <c r="K281" s="3"/>
    </row>
    <row r="282" spans="1:11" x14ac:dyDescent="0.3">
      <c r="A282" s="10"/>
      <c r="B282" s="12"/>
      <c r="C282" s="12"/>
      <c r="D282" s="12"/>
      <c r="E282" s="12"/>
      <c r="F282" s="3"/>
      <c r="G282" s="10"/>
      <c r="H282" s="3"/>
      <c r="I282" s="3"/>
      <c r="J282" s="3"/>
      <c r="K282" s="3"/>
    </row>
    <row r="283" spans="1:11" x14ac:dyDescent="0.3">
      <c r="A283" s="10"/>
      <c r="B283" s="12"/>
      <c r="C283" s="12"/>
      <c r="D283" s="12"/>
      <c r="E283" s="12"/>
      <c r="F283" s="3"/>
      <c r="G283" s="10"/>
      <c r="H283" s="3"/>
      <c r="I283" s="3"/>
      <c r="J283" s="3"/>
      <c r="K283" s="3"/>
    </row>
    <row r="284" spans="1:11" x14ac:dyDescent="0.3">
      <c r="A284" s="10"/>
      <c r="B284" s="12"/>
      <c r="C284" s="12"/>
      <c r="D284" s="12"/>
      <c r="E284" s="12"/>
      <c r="F284" s="3"/>
      <c r="G284" s="10"/>
      <c r="H284" s="3"/>
      <c r="I284" s="3"/>
      <c r="J284" s="3"/>
      <c r="K284" s="3"/>
    </row>
    <row r="285" spans="1:11" x14ac:dyDescent="0.3">
      <c r="A285" s="10"/>
      <c r="B285" s="12"/>
      <c r="C285" s="12"/>
      <c r="D285" s="12"/>
      <c r="E285" s="12"/>
      <c r="F285" s="3"/>
      <c r="G285" s="10"/>
      <c r="H285" s="3"/>
      <c r="I285" s="3"/>
      <c r="J285" s="3"/>
      <c r="K285" s="3"/>
    </row>
    <row r="286" spans="1:11" x14ac:dyDescent="0.3">
      <c r="A286" s="10"/>
      <c r="B286" s="12"/>
      <c r="C286" s="12"/>
      <c r="D286" s="12"/>
      <c r="E286" s="12"/>
      <c r="F286" s="3"/>
      <c r="G286" s="10"/>
      <c r="H286" s="3"/>
      <c r="I286" s="3"/>
      <c r="J286" s="3"/>
      <c r="K286" s="3"/>
    </row>
    <row r="287" spans="1:11" x14ac:dyDescent="0.3">
      <c r="A287" s="10"/>
      <c r="B287" s="12"/>
      <c r="C287" s="12"/>
      <c r="D287" s="12"/>
      <c r="E287" s="12"/>
      <c r="F287" s="3"/>
      <c r="G287" s="10"/>
      <c r="H287" s="3"/>
      <c r="I287" s="3"/>
      <c r="J287" s="3"/>
      <c r="K287" s="3"/>
    </row>
    <row r="288" spans="1:11" x14ac:dyDescent="0.3">
      <c r="A288" s="10"/>
      <c r="B288" s="12"/>
      <c r="C288" s="12"/>
      <c r="D288" s="12"/>
      <c r="E288" s="12"/>
      <c r="F288" s="3"/>
      <c r="G288" s="10"/>
      <c r="H288" s="3"/>
      <c r="I288" s="3"/>
      <c r="J288" s="3"/>
      <c r="K288" s="3"/>
    </row>
    <row r="289" spans="1:11" x14ac:dyDescent="0.3">
      <c r="A289" s="10"/>
      <c r="B289" s="12"/>
      <c r="C289" s="12"/>
      <c r="D289" s="12"/>
      <c r="E289" s="12"/>
      <c r="F289" s="3"/>
      <c r="G289" s="10"/>
      <c r="H289" s="3"/>
      <c r="I289" s="3"/>
      <c r="J289" s="3"/>
      <c r="K289" s="3"/>
    </row>
    <row r="290" spans="1:11" x14ac:dyDescent="0.3">
      <c r="A290" s="10"/>
      <c r="B290" s="12"/>
      <c r="C290" s="12"/>
      <c r="D290" s="12"/>
      <c r="E290" s="12"/>
      <c r="F290" s="3"/>
      <c r="G290" s="10"/>
      <c r="H290" s="3"/>
      <c r="I290" s="3"/>
      <c r="J290" s="3"/>
      <c r="K290" s="3"/>
    </row>
    <row r="291" spans="1:11" x14ac:dyDescent="0.3">
      <c r="A291" s="10"/>
      <c r="B291" s="12"/>
      <c r="C291" s="12"/>
      <c r="D291" s="12"/>
      <c r="E291" s="12"/>
      <c r="F291" s="3"/>
      <c r="G291" s="10"/>
      <c r="H291" s="3"/>
      <c r="I291" s="3"/>
      <c r="J291" s="3"/>
      <c r="K291" s="3"/>
    </row>
    <row r="292" spans="1:11" x14ac:dyDescent="0.3">
      <c r="A292" s="10"/>
      <c r="B292" s="12"/>
      <c r="C292" s="12"/>
      <c r="D292" s="12"/>
      <c r="E292" s="12"/>
      <c r="F292" s="3"/>
      <c r="G292" s="10"/>
      <c r="H292" s="3"/>
      <c r="I292" s="3"/>
      <c r="J292" s="3"/>
      <c r="K292" s="3"/>
    </row>
    <row r="293" spans="1:11" x14ac:dyDescent="0.3">
      <c r="A293" s="10"/>
      <c r="B293" s="12"/>
      <c r="C293" s="12"/>
      <c r="D293" s="12"/>
      <c r="E293" s="12"/>
      <c r="F293" s="3"/>
      <c r="G293" s="10"/>
      <c r="H293" s="3"/>
      <c r="I293" s="3"/>
      <c r="J293" s="3"/>
      <c r="K293" s="3"/>
    </row>
    <row r="294" spans="1:11" x14ac:dyDescent="0.3">
      <c r="A294" s="10"/>
      <c r="B294" s="12"/>
      <c r="C294" s="12"/>
      <c r="D294" s="12"/>
      <c r="E294" s="12"/>
      <c r="F294" s="3"/>
      <c r="G294" s="10"/>
      <c r="H294" s="3"/>
      <c r="I294" s="3"/>
      <c r="J294" s="3"/>
      <c r="K294" s="3"/>
    </row>
    <row r="295" spans="1:11" x14ac:dyDescent="0.3">
      <c r="A295" s="10"/>
      <c r="B295" s="12"/>
      <c r="C295" s="12"/>
      <c r="D295" s="12"/>
      <c r="E295" s="12"/>
      <c r="F295" s="3"/>
      <c r="G295" s="10"/>
      <c r="H295" s="3"/>
      <c r="I295" s="3"/>
      <c r="J295" s="3"/>
      <c r="K295" s="3"/>
    </row>
    <row r="296" spans="1:11" x14ac:dyDescent="0.3">
      <c r="A296" s="10"/>
      <c r="B296" s="12"/>
      <c r="C296" s="12"/>
      <c r="D296" s="12"/>
      <c r="E296" s="12"/>
      <c r="F296" s="3"/>
      <c r="G296" s="10"/>
      <c r="H296" s="3"/>
      <c r="I296" s="3"/>
      <c r="J296" s="3"/>
      <c r="K296" s="3"/>
    </row>
    <row r="297" spans="1:11" x14ac:dyDescent="0.3">
      <c r="A297" s="10"/>
      <c r="B297" s="12"/>
      <c r="C297" s="12"/>
      <c r="D297" s="12"/>
      <c r="E297" s="12"/>
      <c r="F297" s="3"/>
      <c r="G297" s="10"/>
      <c r="H297" s="3"/>
      <c r="I297" s="3"/>
      <c r="J297" s="3"/>
      <c r="K297" s="3"/>
    </row>
    <row r="298" spans="1:11" x14ac:dyDescent="0.3">
      <c r="A298" s="10"/>
      <c r="B298" s="12"/>
      <c r="C298" s="12"/>
      <c r="D298" s="12"/>
      <c r="E298" s="12"/>
      <c r="F298" s="3"/>
      <c r="G298" s="10"/>
      <c r="H298" s="3"/>
      <c r="I298" s="3"/>
      <c r="J298" s="3"/>
      <c r="K298" s="3"/>
    </row>
    <row r="299" spans="1:11" x14ac:dyDescent="0.3">
      <c r="A299" s="10"/>
      <c r="B299" s="12"/>
      <c r="C299" s="12"/>
      <c r="D299" s="12"/>
      <c r="E299" s="12"/>
      <c r="F299" s="3"/>
      <c r="G299" s="10"/>
      <c r="H299" s="3"/>
      <c r="I299" s="3"/>
      <c r="J299" s="3"/>
      <c r="K299" s="3"/>
    </row>
    <row r="300" spans="1:11" x14ac:dyDescent="0.3">
      <c r="A300" s="10"/>
      <c r="B300" s="12"/>
      <c r="C300" s="12"/>
      <c r="D300" s="12"/>
      <c r="E300" s="12"/>
      <c r="F300" s="3"/>
      <c r="G300" s="10"/>
      <c r="H300" s="3"/>
      <c r="I300" s="3"/>
      <c r="J300" s="3"/>
      <c r="K300" s="3"/>
    </row>
    <row r="301" spans="1:11" x14ac:dyDescent="0.3">
      <c r="A301" s="10"/>
      <c r="B301" s="12"/>
      <c r="C301" s="12"/>
      <c r="D301" s="12"/>
      <c r="E301" s="12"/>
      <c r="F301" s="3"/>
      <c r="G301" s="10"/>
      <c r="H301" s="3"/>
      <c r="I301" s="3"/>
      <c r="J301" s="3"/>
      <c r="K30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4B3F-BA16-46B0-9F40-CE3CD1822CEE}">
  <sheetPr codeName="Sheet11">
    <tabColor theme="6" tint="0.39997558519241921"/>
  </sheetPr>
  <dimension ref="A1:K366"/>
  <sheetViews>
    <sheetView topLeftCell="C1" workbookViewId="0">
      <selection activeCell="N6" sqref="N6"/>
    </sheetView>
  </sheetViews>
  <sheetFormatPr defaultRowHeight="14.4" x14ac:dyDescent="0.3"/>
  <cols>
    <col min="1" max="1" width="16.21875" style="11" bestFit="1" customWidth="1"/>
    <col min="2" max="5" width="12.5546875" style="13" bestFit="1" customWidth="1"/>
    <col min="6" max="6" width="12" style="9" bestFit="1" customWidth="1"/>
    <col min="7" max="7" width="16.109375" style="11" bestFit="1" customWidth="1"/>
    <col min="8" max="8" width="17.44140625" style="9" bestFit="1" customWidth="1"/>
    <col min="9" max="9" width="15.5546875" style="9" bestFit="1" customWidth="1"/>
    <col min="10" max="10" width="15.6640625" style="9" bestFit="1" customWidth="1"/>
    <col min="11" max="11" width="17" style="9" bestFit="1" customWidth="1"/>
    <col min="12" max="16384" width="8.88671875" style="9"/>
  </cols>
  <sheetData>
    <row r="1" spans="1:11" x14ac:dyDescent="0.3">
      <c r="A1" s="1" t="str" cm="1">
        <f t="array" aca="1" ref="A1:K366" ca="1">'Portfolio Risk Matrics'!A1:K366</f>
        <v>OpenDateTimeIST</v>
      </c>
      <c r="B1" s="1" t="str">
        <f ca="1"/>
        <v>Open</v>
      </c>
      <c r="C1" s="1" t="str">
        <f ca="1"/>
        <v>High</v>
      </c>
      <c r="D1" s="1" t="str">
        <f ca="1"/>
        <v>Low</v>
      </c>
      <c r="E1" s="1" t="str">
        <f ca="1"/>
        <v>Close</v>
      </c>
      <c r="F1" s="1" t="str">
        <f ca="1"/>
        <v>Volume</v>
      </c>
      <c r="G1" s="1" t="str">
        <f ca="1"/>
        <v>CloseDateTimeIST</v>
      </c>
      <c r="H1" s="1" t="str">
        <f ca="1"/>
        <v>QuoteAssetVolume</v>
      </c>
      <c r="I1" s="1" t="str">
        <f ca="1"/>
        <v>NumberOfTrades</v>
      </c>
      <c r="J1" s="1" t="str">
        <f ca="1"/>
        <v>TakerBuyBaseVol</v>
      </c>
      <c r="K1" s="1" t="str">
        <f ca="1"/>
        <v>TakerBuyQuoteVol</v>
      </c>
    </row>
    <row r="2" spans="1:11" x14ac:dyDescent="0.3">
      <c r="A2" s="14">
        <f ca="1"/>
        <v>46010.229166666664</v>
      </c>
      <c r="B2" s="15">
        <f ca="1"/>
        <v>85516.41</v>
      </c>
      <c r="C2" s="15">
        <f ca="1"/>
        <v>88449.06</v>
      </c>
      <c r="D2" s="15">
        <f ca="1"/>
        <v>85110.24</v>
      </c>
      <c r="E2" s="15">
        <f ca="1"/>
        <v>88000.14</v>
      </c>
      <c r="F2" s="16">
        <f ca="1"/>
        <v>7667.7862999999998</v>
      </c>
      <c r="G2" s="14">
        <f ca="1"/>
        <v>46011.229166655095</v>
      </c>
      <c r="H2" s="16">
        <f ca="1"/>
        <v>667268930.72105825</v>
      </c>
      <c r="I2" s="16">
        <f ca="1"/>
        <v>2395988</v>
      </c>
      <c r="J2" s="16">
        <f ca="1"/>
        <v>4115.6098700000002</v>
      </c>
      <c r="K2" s="16">
        <f ca="1"/>
        <v>358326591.35273957</v>
      </c>
    </row>
    <row r="3" spans="1:11" x14ac:dyDescent="0.3">
      <c r="A3" s="10">
        <f ca="1"/>
        <v>46009.229166666664</v>
      </c>
      <c r="B3" s="12">
        <f ca="1"/>
        <v>86243.23</v>
      </c>
      <c r="C3" s="12">
        <f ca="1"/>
        <v>89477.61</v>
      </c>
      <c r="D3" s="12">
        <f ca="1"/>
        <v>84450.01</v>
      </c>
      <c r="E3" s="12">
        <f ca="1"/>
        <v>85516.41</v>
      </c>
      <c r="F3" s="3">
        <f ca="1"/>
        <v>25405.41763</v>
      </c>
      <c r="G3" s="10">
        <f ca="1"/>
        <v>46010.229166655095</v>
      </c>
      <c r="H3" s="3">
        <f ca="1"/>
        <v>2204223872.6696463</v>
      </c>
      <c r="I3" s="3">
        <f ca="1"/>
        <v>6946947</v>
      </c>
      <c r="J3" s="3">
        <f ca="1"/>
        <v>12668.53838</v>
      </c>
      <c r="K3" s="3">
        <f ca="1"/>
        <v>1098646854.9700365</v>
      </c>
    </row>
    <row r="4" spans="1:11" x14ac:dyDescent="0.3">
      <c r="A4" s="10">
        <f ca="1"/>
        <v>46008.229166666664</v>
      </c>
      <c r="B4" s="12">
        <f ca="1"/>
        <v>87863.43</v>
      </c>
      <c r="C4" s="12">
        <f ca="1"/>
        <v>90365.85</v>
      </c>
      <c r="D4" s="12">
        <f ca="1"/>
        <v>85314</v>
      </c>
      <c r="E4" s="12">
        <f ca="1"/>
        <v>86243.22</v>
      </c>
      <c r="F4" s="3">
        <f ca="1"/>
        <v>19834.117289999998</v>
      </c>
      <c r="G4" s="10">
        <f ca="1"/>
        <v>46009.229166655095</v>
      </c>
      <c r="H4" s="3">
        <f ca="1"/>
        <v>1733348496.6703594</v>
      </c>
      <c r="I4" s="3">
        <f ca="1"/>
        <v>6058638</v>
      </c>
      <c r="J4" s="3">
        <f ca="1"/>
        <v>9277.2783799999997</v>
      </c>
      <c r="K4" s="3">
        <f ca="1"/>
        <v>810618013.25664377</v>
      </c>
    </row>
    <row r="5" spans="1:11" x14ac:dyDescent="0.3">
      <c r="A5" s="10">
        <f ca="1"/>
        <v>46007.229166666664</v>
      </c>
      <c r="B5" s="12">
        <f ca="1"/>
        <v>86432.08</v>
      </c>
      <c r="C5" s="12">
        <f ca="1"/>
        <v>88175.98</v>
      </c>
      <c r="D5" s="12">
        <f ca="1"/>
        <v>85266</v>
      </c>
      <c r="E5" s="12">
        <f ca="1"/>
        <v>87863.42</v>
      </c>
      <c r="F5" s="3">
        <f ca="1"/>
        <v>18456.050169999999</v>
      </c>
      <c r="G5" s="10">
        <f ca="1"/>
        <v>46008.229166655095</v>
      </c>
      <c r="H5" s="3">
        <f ca="1"/>
        <v>1604673428.6527836</v>
      </c>
      <c r="I5" s="3">
        <f ca="1"/>
        <v>6099692</v>
      </c>
      <c r="J5" s="3">
        <f ca="1"/>
        <v>9065.9774600000001</v>
      </c>
      <c r="K5" s="3">
        <f ca="1"/>
        <v>788731082.46645999</v>
      </c>
    </row>
    <row r="6" spans="1:11" x14ac:dyDescent="0.3">
      <c r="A6" s="10">
        <f ca="1"/>
        <v>46006.229166666664</v>
      </c>
      <c r="B6" s="12">
        <f ca="1"/>
        <v>88172.160000000003</v>
      </c>
      <c r="C6" s="12">
        <f ca="1"/>
        <v>90052.64</v>
      </c>
      <c r="D6" s="12">
        <f ca="1"/>
        <v>85146.64</v>
      </c>
      <c r="E6" s="12">
        <f ca="1"/>
        <v>86432.08</v>
      </c>
      <c r="F6" s="3">
        <f ca="1"/>
        <v>19778.691900000002</v>
      </c>
      <c r="G6" s="10">
        <f ca="1"/>
        <v>46007.229166655095</v>
      </c>
      <c r="H6" s="3">
        <f ca="1"/>
        <v>1732823429.5017288</v>
      </c>
      <c r="I6" s="3">
        <f ca="1"/>
        <v>6747167</v>
      </c>
      <c r="J6" s="3">
        <f ca="1"/>
        <v>9592.4107600000007</v>
      </c>
      <c r="K6" s="3">
        <f ca="1"/>
        <v>840349649.32506227</v>
      </c>
    </row>
    <row r="7" spans="1:11" x14ac:dyDescent="0.3">
      <c r="A7" s="10">
        <f ca="1"/>
        <v>46005.229166666664</v>
      </c>
      <c r="B7" s="12">
        <f ca="1"/>
        <v>90240</v>
      </c>
      <c r="C7" s="12">
        <f ca="1"/>
        <v>90472.4</v>
      </c>
      <c r="D7" s="12">
        <f ca="1"/>
        <v>87577.36</v>
      </c>
      <c r="E7" s="12">
        <f ca="1"/>
        <v>88172.17</v>
      </c>
      <c r="F7" s="3">
        <f ca="1"/>
        <v>9416.9400399999995</v>
      </c>
      <c r="G7" s="10">
        <f ca="1"/>
        <v>46006.229166655095</v>
      </c>
      <c r="H7" s="3">
        <f ca="1"/>
        <v>839079130.83786511</v>
      </c>
      <c r="I7" s="3">
        <f ca="1"/>
        <v>3115749</v>
      </c>
      <c r="J7" s="3">
        <f ca="1"/>
        <v>4005.7083499999999</v>
      </c>
      <c r="K7" s="3">
        <f ca="1"/>
        <v>356905157.32666928</v>
      </c>
    </row>
    <row r="8" spans="1:11" x14ac:dyDescent="0.3">
      <c r="A8" s="10">
        <f ca="1"/>
        <v>46004.229166666664</v>
      </c>
      <c r="B8" s="12">
        <f ca="1"/>
        <v>90268.43</v>
      </c>
      <c r="C8" s="12">
        <f ca="1"/>
        <v>90634.55</v>
      </c>
      <c r="D8" s="12">
        <f ca="1"/>
        <v>89766.39</v>
      </c>
      <c r="E8" s="12">
        <f ca="1"/>
        <v>90240.01</v>
      </c>
      <c r="F8" s="3">
        <f ca="1"/>
        <v>5895.7078799999999</v>
      </c>
      <c r="G8" s="10">
        <f ca="1"/>
        <v>46005.229166655095</v>
      </c>
      <c r="H8" s="3">
        <f ca="1"/>
        <v>532250544.59040147</v>
      </c>
      <c r="I8" s="3">
        <f ca="1"/>
        <v>1363754</v>
      </c>
      <c r="J8" s="3">
        <f ca="1"/>
        <v>2237.9847</v>
      </c>
      <c r="K8" s="3">
        <f ca="1"/>
        <v>202065519.4961406</v>
      </c>
    </row>
    <row r="9" spans="1:11" x14ac:dyDescent="0.3">
      <c r="A9" s="10">
        <f ca="1"/>
        <v>46003.229166666664</v>
      </c>
      <c r="B9" s="12">
        <f ca="1"/>
        <v>92513.38</v>
      </c>
      <c r="C9" s="12">
        <f ca="1"/>
        <v>92754</v>
      </c>
      <c r="D9" s="12">
        <f ca="1"/>
        <v>89480</v>
      </c>
      <c r="E9" s="12">
        <f ca="1"/>
        <v>90268.42</v>
      </c>
      <c r="F9" s="3">
        <f ca="1"/>
        <v>16679.19169</v>
      </c>
      <c r="G9" s="10">
        <f ca="1"/>
        <v>46004.229166655095</v>
      </c>
      <c r="H9" s="3">
        <f ca="1"/>
        <v>1521683425.5648005</v>
      </c>
      <c r="I9" s="3">
        <f ca="1"/>
        <v>4956719</v>
      </c>
      <c r="J9" s="3">
        <f ca="1"/>
        <v>7986.6827300000004</v>
      </c>
      <c r="K9" s="3">
        <f ca="1"/>
        <v>728724357.38865626</v>
      </c>
    </row>
    <row r="10" spans="1:11" x14ac:dyDescent="0.3">
      <c r="A10" s="10">
        <f ca="1"/>
        <v>46002.229166666664</v>
      </c>
      <c r="B10" s="12">
        <f ca="1"/>
        <v>92015.38</v>
      </c>
      <c r="C10" s="12">
        <f ca="1"/>
        <v>93555</v>
      </c>
      <c r="D10" s="12">
        <f ca="1"/>
        <v>89260.63</v>
      </c>
      <c r="E10" s="12">
        <f ca="1"/>
        <v>92513.38</v>
      </c>
      <c r="F10" s="3">
        <f ca="1"/>
        <v>19972.587579999999</v>
      </c>
      <c r="G10" s="10">
        <f ca="1"/>
        <v>46003.229166655095</v>
      </c>
      <c r="H10" s="3">
        <f ca="1"/>
        <v>1814322119.0658488</v>
      </c>
      <c r="I10" s="3">
        <f ca="1"/>
        <v>6250438</v>
      </c>
      <c r="J10" s="3">
        <f ca="1"/>
        <v>9150.89797</v>
      </c>
      <c r="K10" s="3">
        <f ca="1"/>
        <v>831529923.80888188</v>
      </c>
    </row>
    <row r="11" spans="1:11" x14ac:dyDescent="0.3">
      <c r="A11" s="10">
        <f ca="1"/>
        <v>46001.229166666664</v>
      </c>
      <c r="B11" s="12">
        <f ca="1"/>
        <v>92678.81</v>
      </c>
      <c r="C11" s="12">
        <f ca="1"/>
        <v>94476</v>
      </c>
      <c r="D11" s="12">
        <f ca="1"/>
        <v>91563.15</v>
      </c>
      <c r="E11" s="12">
        <f ca="1"/>
        <v>92015.37</v>
      </c>
      <c r="F11" s="3">
        <f ca="1"/>
        <v>18998.680830000001</v>
      </c>
      <c r="G11" s="10">
        <f ca="1"/>
        <v>46002.229166655095</v>
      </c>
      <c r="H11" s="3">
        <f ca="1"/>
        <v>1758773276.2478049</v>
      </c>
      <c r="I11" s="3">
        <f ca="1"/>
        <v>6025707</v>
      </c>
      <c r="J11" s="3">
        <f ca="1"/>
        <v>9197.3311599999997</v>
      </c>
      <c r="K11" s="3">
        <f ca="1"/>
        <v>852012295.39671147</v>
      </c>
    </row>
    <row r="12" spans="1:11" x14ac:dyDescent="0.3">
      <c r="A12" s="10">
        <f ca="1"/>
        <v>46000.229166666664</v>
      </c>
      <c r="B12" s="12">
        <f ca="1"/>
        <v>90634.35</v>
      </c>
      <c r="C12" s="12">
        <f ca="1"/>
        <v>94588.99</v>
      </c>
      <c r="D12" s="12">
        <f ca="1"/>
        <v>89500</v>
      </c>
      <c r="E12" s="12">
        <f ca="1"/>
        <v>92678.8</v>
      </c>
      <c r="F12" s="3">
        <f ca="1"/>
        <v>21240.43014</v>
      </c>
      <c r="G12" s="10">
        <f ca="1"/>
        <v>46001.229166655095</v>
      </c>
      <c r="H12" s="3">
        <f ca="1"/>
        <v>1956261065.6071732</v>
      </c>
      <c r="I12" s="3">
        <f ca="1"/>
        <v>5940223</v>
      </c>
      <c r="J12" s="3">
        <f ca="1"/>
        <v>10517.75959</v>
      </c>
      <c r="K12" s="3">
        <f ca="1"/>
        <v>969426006.12226284</v>
      </c>
    </row>
    <row r="13" spans="1:11" x14ac:dyDescent="0.3">
      <c r="A13" s="10">
        <f ca="1"/>
        <v>45999.229166666664</v>
      </c>
      <c r="B13" s="12">
        <f ca="1"/>
        <v>90395.32</v>
      </c>
      <c r="C13" s="12">
        <f ca="1"/>
        <v>92287.15</v>
      </c>
      <c r="D13" s="12">
        <f ca="1"/>
        <v>89612</v>
      </c>
      <c r="E13" s="12">
        <f ca="1"/>
        <v>90634.34</v>
      </c>
      <c r="F13" s="3">
        <f ca="1"/>
        <v>15793.638870000001</v>
      </c>
      <c r="G13" s="10">
        <f ca="1"/>
        <v>46000.229166655095</v>
      </c>
      <c r="H13" s="3">
        <f ca="1"/>
        <v>1436920018.8936133</v>
      </c>
      <c r="I13" s="3">
        <f ca="1"/>
        <v>5458731</v>
      </c>
      <c r="J13" s="3">
        <f ca="1"/>
        <v>7296.7432799999997</v>
      </c>
      <c r="K13" s="3">
        <f ca="1"/>
        <v>663654575.45218349</v>
      </c>
    </row>
    <row r="14" spans="1:11" x14ac:dyDescent="0.3">
      <c r="A14" s="10">
        <f ca="1"/>
        <v>45998.229166666664</v>
      </c>
      <c r="B14" s="12">
        <f ca="1"/>
        <v>89236.800000000003</v>
      </c>
      <c r="C14" s="12">
        <f ca="1"/>
        <v>91760</v>
      </c>
      <c r="D14" s="12">
        <f ca="1"/>
        <v>87719.28</v>
      </c>
      <c r="E14" s="12">
        <f ca="1"/>
        <v>90395.31</v>
      </c>
      <c r="F14" s="3">
        <f ca="1"/>
        <v>13021.111849999999</v>
      </c>
      <c r="G14" s="10">
        <f ca="1"/>
        <v>45999.229166655095</v>
      </c>
      <c r="H14" s="3">
        <f ca="1"/>
        <v>1167866486.8455212</v>
      </c>
      <c r="I14" s="3">
        <f ca="1"/>
        <v>3953071</v>
      </c>
      <c r="J14" s="3">
        <f ca="1"/>
        <v>6370.5668299999998</v>
      </c>
      <c r="K14" s="3">
        <f ca="1"/>
        <v>571547237.85676706</v>
      </c>
    </row>
    <row r="15" spans="1:11" x14ac:dyDescent="0.3">
      <c r="A15" s="10">
        <f ca="1"/>
        <v>45997.229166666664</v>
      </c>
      <c r="B15" s="12">
        <f ca="1"/>
        <v>89330.04</v>
      </c>
      <c r="C15" s="12">
        <f ca="1"/>
        <v>90289.97</v>
      </c>
      <c r="D15" s="12">
        <f ca="1"/>
        <v>88908.01</v>
      </c>
      <c r="E15" s="12">
        <f ca="1"/>
        <v>89236.79</v>
      </c>
      <c r="F15" s="3">
        <f ca="1"/>
        <v>8409.5001599999996</v>
      </c>
      <c r="G15" s="10">
        <f ca="1"/>
        <v>45998.229166655095</v>
      </c>
      <c r="H15" s="3">
        <f ca="1"/>
        <v>753420679.80632591</v>
      </c>
      <c r="I15" s="3">
        <f ca="1"/>
        <v>2482221</v>
      </c>
      <c r="J15" s="3">
        <f ca="1"/>
        <v>4041.7283400000001</v>
      </c>
      <c r="K15" s="3">
        <f ca="1"/>
        <v>362232786.26957142</v>
      </c>
    </row>
    <row r="16" spans="1:11" x14ac:dyDescent="0.3">
      <c r="A16" s="10">
        <f ca="1"/>
        <v>45996.229166666664</v>
      </c>
      <c r="B16" s="12">
        <f ca="1"/>
        <v>92078.06</v>
      </c>
      <c r="C16" s="12">
        <f ca="1"/>
        <v>92692.36</v>
      </c>
      <c r="D16" s="12">
        <f ca="1"/>
        <v>88056</v>
      </c>
      <c r="E16" s="12">
        <f ca="1"/>
        <v>89330.04</v>
      </c>
      <c r="F16" s="3">
        <f ca="1"/>
        <v>19792.972180000001</v>
      </c>
      <c r="G16" s="10">
        <f ca="1"/>
        <v>45997.229166655095</v>
      </c>
      <c r="H16" s="3">
        <f ca="1"/>
        <v>1788436983.8106546</v>
      </c>
      <c r="I16" s="3">
        <f ca="1"/>
        <v>5520352</v>
      </c>
      <c r="J16" s="3">
        <f ca="1"/>
        <v>8722.1399500000007</v>
      </c>
      <c r="K16" s="3">
        <f ca="1"/>
        <v>787809723.72132385</v>
      </c>
    </row>
    <row r="17" spans="1:11" x14ac:dyDescent="0.3">
      <c r="A17" s="10">
        <f ca="1"/>
        <v>45995.229166666664</v>
      </c>
      <c r="B17" s="12">
        <f ca="1"/>
        <v>93429.95</v>
      </c>
      <c r="C17" s="12">
        <f ca="1"/>
        <v>94080</v>
      </c>
      <c r="D17" s="12">
        <f ca="1"/>
        <v>90889</v>
      </c>
      <c r="E17" s="12">
        <f ca="1"/>
        <v>92078.06</v>
      </c>
      <c r="F17" s="3">
        <f ca="1"/>
        <v>19803.940589999998</v>
      </c>
      <c r="G17" s="10">
        <f ca="1"/>
        <v>45996.229166655095</v>
      </c>
      <c r="H17" s="3">
        <f ca="1"/>
        <v>1836645629.33462</v>
      </c>
      <c r="I17" s="3">
        <f ca="1"/>
        <v>5856049</v>
      </c>
      <c r="J17" s="3">
        <f ca="1"/>
        <v>8312.6953900000008</v>
      </c>
      <c r="K17" s="3">
        <f ca="1"/>
        <v>770992235.20799196</v>
      </c>
    </row>
    <row r="18" spans="1:11" x14ac:dyDescent="0.3">
      <c r="A18" s="10">
        <f ca="1"/>
        <v>45994.229166666664</v>
      </c>
      <c r="B18" s="12">
        <f ca="1"/>
        <v>91277.88</v>
      </c>
      <c r="C18" s="12">
        <f ca="1"/>
        <v>94150</v>
      </c>
      <c r="D18" s="12">
        <f ca="1"/>
        <v>90990.23</v>
      </c>
      <c r="E18" s="12">
        <f ca="1"/>
        <v>93429.95</v>
      </c>
      <c r="F18" s="3">
        <f ca="1"/>
        <v>25712.525850000002</v>
      </c>
      <c r="G18" s="10">
        <f ca="1"/>
        <v>45995.229166655095</v>
      </c>
      <c r="H18" s="3">
        <f ca="1"/>
        <v>2386223626.8613901</v>
      </c>
      <c r="I18" s="3">
        <f ca="1"/>
        <v>6733182</v>
      </c>
      <c r="J18" s="3">
        <f ca="1"/>
        <v>12993.19312</v>
      </c>
      <c r="K18" s="3">
        <f ca="1"/>
        <v>1206219500.4577343</v>
      </c>
    </row>
    <row r="19" spans="1:11" x14ac:dyDescent="0.3">
      <c r="A19" s="10">
        <f ca="1"/>
        <v>45993.229166666664</v>
      </c>
      <c r="B19" s="12">
        <f ca="1"/>
        <v>86286.01</v>
      </c>
      <c r="C19" s="12">
        <f ca="1"/>
        <v>92307.65</v>
      </c>
      <c r="D19" s="12">
        <f ca="1"/>
        <v>86184.39</v>
      </c>
      <c r="E19" s="12">
        <f ca="1"/>
        <v>91277.88</v>
      </c>
      <c r="F19" s="3">
        <f ca="1"/>
        <v>28210.227320000002</v>
      </c>
      <c r="G19" s="10">
        <f ca="1"/>
        <v>45994.229166655095</v>
      </c>
      <c r="H19" s="3">
        <f ca="1"/>
        <v>2519515177.662365</v>
      </c>
      <c r="I19" s="3">
        <f ca="1"/>
        <v>6397299</v>
      </c>
      <c r="J19" s="3">
        <f ca="1"/>
        <v>13512.33949</v>
      </c>
      <c r="K19" s="3">
        <f ca="1"/>
        <v>1206199898.2941511</v>
      </c>
    </row>
    <row r="20" spans="1:11" x14ac:dyDescent="0.3">
      <c r="A20" s="10">
        <f ca="1"/>
        <v>45992.229166666664</v>
      </c>
      <c r="B20" s="12">
        <f ca="1"/>
        <v>90360.01</v>
      </c>
      <c r="C20" s="12">
        <f ca="1"/>
        <v>90417</v>
      </c>
      <c r="D20" s="12">
        <f ca="1"/>
        <v>83822.759999999995</v>
      </c>
      <c r="E20" s="12">
        <f ca="1"/>
        <v>86286.01</v>
      </c>
      <c r="F20" s="3">
        <f ca="1"/>
        <v>34509.012269999999</v>
      </c>
      <c r="G20" s="10">
        <f ca="1"/>
        <v>45993.229166655095</v>
      </c>
      <c r="H20" s="3">
        <f ca="1"/>
        <v>2977024047.2231607</v>
      </c>
      <c r="I20" s="3">
        <f ca="1"/>
        <v>7709685</v>
      </c>
      <c r="J20" s="3">
        <f ca="1"/>
        <v>15524.33346</v>
      </c>
      <c r="K20" s="3">
        <f ca="1"/>
        <v>1338718794.0013123</v>
      </c>
    </row>
    <row r="21" spans="1:11" x14ac:dyDescent="0.3">
      <c r="A21" s="10">
        <f ca="1"/>
        <v>45991.229166666664</v>
      </c>
      <c r="B21" s="12">
        <f ca="1"/>
        <v>90802.44</v>
      </c>
      <c r="C21" s="12">
        <f ca="1"/>
        <v>92000.01</v>
      </c>
      <c r="D21" s="12">
        <f ca="1"/>
        <v>90336.9</v>
      </c>
      <c r="E21" s="12">
        <f ca="1"/>
        <v>90360</v>
      </c>
      <c r="F21" s="3">
        <f ca="1"/>
        <v>9687.7417499999992</v>
      </c>
      <c r="G21" s="10">
        <f ca="1"/>
        <v>45992.229166655095</v>
      </c>
      <c r="H21" s="3">
        <f ca="1"/>
        <v>884051773.16553378</v>
      </c>
      <c r="I21" s="3">
        <f ca="1"/>
        <v>2154030</v>
      </c>
      <c r="J21" s="3">
        <f ca="1"/>
        <v>5002.9669800000001</v>
      </c>
      <c r="K21" s="3">
        <f ca="1"/>
        <v>456606490.12032461</v>
      </c>
    </row>
    <row r="22" spans="1:11" x14ac:dyDescent="0.3">
      <c r="A22" s="10">
        <f ca="1"/>
        <v>45990.229166666664</v>
      </c>
      <c r="B22" s="12">
        <f ca="1"/>
        <v>90890.71</v>
      </c>
      <c r="C22" s="12">
        <f ca="1"/>
        <v>91165.65</v>
      </c>
      <c r="D22" s="12">
        <f ca="1"/>
        <v>90155.47</v>
      </c>
      <c r="E22" s="12">
        <f ca="1"/>
        <v>90802.44</v>
      </c>
      <c r="F22" s="3">
        <f ca="1"/>
        <v>7429.8829100000003</v>
      </c>
      <c r="G22" s="10">
        <f ca="1"/>
        <v>45991.229166655095</v>
      </c>
      <c r="H22" s="3">
        <f ca="1"/>
        <v>673725652.97876549</v>
      </c>
      <c r="I22" s="3">
        <f ca="1"/>
        <v>1677860</v>
      </c>
      <c r="J22" s="3">
        <f ca="1"/>
        <v>3359.0493200000001</v>
      </c>
      <c r="K22" s="3">
        <f ca="1"/>
        <v>304614219.14525831</v>
      </c>
    </row>
    <row r="23" spans="1:11" x14ac:dyDescent="0.3">
      <c r="A23" s="10">
        <f ca="1"/>
        <v>45989.229166666664</v>
      </c>
      <c r="B23" s="12">
        <f ca="1"/>
        <v>91333.94</v>
      </c>
      <c r="C23" s="12">
        <f ca="1"/>
        <v>93092</v>
      </c>
      <c r="D23" s="12">
        <f ca="1"/>
        <v>90180.63</v>
      </c>
      <c r="E23" s="12">
        <f ca="1"/>
        <v>90890.7</v>
      </c>
      <c r="F23" s="3">
        <f ca="1"/>
        <v>18830.860120000001</v>
      </c>
      <c r="G23" s="10">
        <f ca="1"/>
        <v>45990.229166655095</v>
      </c>
      <c r="H23" s="3">
        <f ca="1"/>
        <v>1721418035.0795596</v>
      </c>
      <c r="I23" s="3">
        <f ca="1"/>
        <v>4229754</v>
      </c>
      <c r="J23" s="3">
        <f ca="1"/>
        <v>8961.6471199999996</v>
      </c>
      <c r="K23" s="3">
        <f ca="1"/>
        <v>820315728.91869104</v>
      </c>
    </row>
    <row r="24" spans="1:11" x14ac:dyDescent="0.3">
      <c r="A24" s="10">
        <f ca="1"/>
        <v>45988.229166666664</v>
      </c>
      <c r="B24" s="12">
        <f ca="1"/>
        <v>90484.01</v>
      </c>
      <c r="C24" s="12">
        <f ca="1"/>
        <v>91950</v>
      </c>
      <c r="D24" s="12">
        <f ca="1"/>
        <v>90089.91</v>
      </c>
      <c r="E24" s="12">
        <f ca="1"/>
        <v>91333.95</v>
      </c>
      <c r="F24" s="3">
        <f ca="1"/>
        <v>16833.509320000001</v>
      </c>
      <c r="G24" s="10">
        <f ca="1"/>
        <v>45989.229166655095</v>
      </c>
      <c r="H24" s="3">
        <f ca="1"/>
        <v>1535778106.5787077</v>
      </c>
      <c r="I24" s="3">
        <f ca="1"/>
        <v>3920172</v>
      </c>
      <c r="J24" s="3">
        <f ca="1"/>
        <v>8898.3583500000004</v>
      </c>
      <c r="K24" s="3">
        <f ca="1"/>
        <v>812005498.75948751</v>
      </c>
    </row>
    <row r="25" spans="1:11" x14ac:dyDescent="0.3">
      <c r="A25" s="10">
        <f ca="1"/>
        <v>45987.229166666664</v>
      </c>
      <c r="B25" s="12">
        <f ca="1"/>
        <v>87369.97</v>
      </c>
      <c r="C25" s="12">
        <f ca="1"/>
        <v>90656.08</v>
      </c>
      <c r="D25" s="12">
        <f ca="1"/>
        <v>86306.77</v>
      </c>
      <c r="E25" s="12">
        <f ca="1"/>
        <v>90484.02</v>
      </c>
      <c r="F25" s="3">
        <f ca="1"/>
        <v>21675.822390000001</v>
      </c>
      <c r="G25" s="10">
        <f ca="1"/>
        <v>45988.229166655095</v>
      </c>
      <c r="H25" s="3">
        <f ca="1"/>
        <v>1916851896.6699688</v>
      </c>
      <c r="I25" s="3">
        <f ca="1"/>
        <v>4668280</v>
      </c>
      <c r="J25" s="3">
        <f ca="1"/>
        <v>10883.610629999999</v>
      </c>
      <c r="K25" s="3">
        <f ca="1"/>
        <v>962765375.81638324</v>
      </c>
    </row>
    <row r="26" spans="1:11" x14ac:dyDescent="0.3">
      <c r="A26" s="10">
        <f ca="1"/>
        <v>45986.229166666664</v>
      </c>
      <c r="B26" s="12">
        <f ca="1"/>
        <v>88300.01</v>
      </c>
      <c r="C26" s="12">
        <f ca="1"/>
        <v>88519.99</v>
      </c>
      <c r="D26" s="12">
        <f ca="1"/>
        <v>86116</v>
      </c>
      <c r="E26" s="12">
        <f ca="1"/>
        <v>87369.96</v>
      </c>
      <c r="F26" s="3">
        <f ca="1"/>
        <v>19567.041099999999</v>
      </c>
      <c r="G26" s="10">
        <f ca="1"/>
        <v>45987.229166655095</v>
      </c>
      <c r="H26" s="3">
        <f ca="1"/>
        <v>1708989000.0389371</v>
      </c>
      <c r="I26" s="3">
        <f ca="1"/>
        <v>4838747</v>
      </c>
      <c r="J26" s="3">
        <f ca="1"/>
        <v>9423.1798500000004</v>
      </c>
      <c r="K26" s="3">
        <f ca="1"/>
        <v>823123525.14025593</v>
      </c>
    </row>
    <row r="27" spans="1:11" x14ac:dyDescent="0.3">
      <c r="A27" s="10">
        <f ca="1"/>
        <v>45985.229166666664</v>
      </c>
      <c r="B27" s="12">
        <f ca="1"/>
        <v>86830</v>
      </c>
      <c r="C27" s="12">
        <f ca="1"/>
        <v>89228</v>
      </c>
      <c r="D27" s="12">
        <f ca="1"/>
        <v>85272</v>
      </c>
      <c r="E27" s="12">
        <f ca="1"/>
        <v>88300.01</v>
      </c>
      <c r="F27" s="3">
        <f ca="1"/>
        <v>24663.127949999998</v>
      </c>
      <c r="G27" s="10">
        <f ca="1"/>
        <v>45986.229166655095</v>
      </c>
      <c r="H27" s="3">
        <f ca="1"/>
        <v>2150393686.9203181</v>
      </c>
      <c r="I27" s="3">
        <f ca="1"/>
        <v>6189156</v>
      </c>
      <c r="J27" s="3">
        <f ca="1"/>
        <v>12438.875179999999</v>
      </c>
      <c r="K27" s="3">
        <f ca="1"/>
        <v>1085485389.0234168</v>
      </c>
    </row>
    <row r="28" spans="1:11" x14ac:dyDescent="0.3">
      <c r="A28" s="10">
        <f ca="1"/>
        <v>45984.229166666664</v>
      </c>
      <c r="B28" s="12">
        <f ca="1"/>
        <v>84739.75</v>
      </c>
      <c r="C28" s="12">
        <f ca="1"/>
        <v>88127.64</v>
      </c>
      <c r="D28" s="12">
        <f ca="1"/>
        <v>84667.57</v>
      </c>
      <c r="E28" s="12">
        <f ca="1"/>
        <v>86830</v>
      </c>
      <c r="F28" s="3">
        <f ca="1"/>
        <v>19734.464179999999</v>
      </c>
      <c r="G28" s="10">
        <f ca="1"/>
        <v>45985.229166655095</v>
      </c>
      <c r="H28" s="3">
        <f ca="1"/>
        <v>1708685030.2798696</v>
      </c>
      <c r="I28" s="3">
        <f ca="1"/>
        <v>5063493</v>
      </c>
      <c r="J28" s="3">
        <f ca="1"/>
        <v>10406.517030000001</v>
      </c>
      <c r="K28" s="3">
        <f ca="1"/>
        <v>901210513.52044725</v>
      </c>
    </row>
    <row r="29" spans="1:11" x14ac:dyDescent="0.3">
      <c r="A29" s="10">
        <f ca="1"/>
        <v>45983.229166666664</v>
      </c>
      <c r="B29" s="12">
        <f ca="1"/>
        <v>85129.42</v>
      </c>
      <c r="C29" s="12">
        <f ca="1"/>
        <v>85620</v>
      </c>
      <c r="D29" s="12">
        <f ca="1"/>
        <v>83500</v>
      </c>
      <c r="E29" s="12">
        <f ca="1"/>
        <v>84739.74</v>
      </c>
      <c r="F29" s="3">
        <f ca="1"/>
        <v>14193.932629999999</v>
      </c>
      <c r="G29" s="10">
        <f ca="1"/>
        <v>45984.229166655095</v>
      </c>
      <c r="H29" s="3">
        <f ca="1"/>
        <v>1197657354.9690385</v>
      </c>
      <c r="I29" s="3">
        <f ca="1"/>
        <v>4697593</v>
      </c>
      <c r="J29" s="3">
        <f ca="1"/>
        <v>6688.7942800000001</v>
      </c>
      <c r="K29" s="3">
        <f ca="1"/>
        <v>564562148.93739319</v>
      </c>
    </row>
    <row r="30" spans="1:11" x14ac:dyDescent="0.3">
      <c r="A30" s="10">
        <f ca="1"/>
        <v>45982.229166666664</v>
      </c>
      <c r="B30" s="12">
        <f ca="1"/>
        <v>86637.22</v>
      </c>
      <c r="C30" s="12">
        <f ca="1"/>
        <v>87498.94</v>
      </c>
      <c r="D30" s="12">
        <f ca="1"/>
        <v>80600</v>
      </c>
      <c r="E30" s="12">
        <f ca="1"/>
        <v>85129.43</v>
      </c>
      <c r="F30" s="3">
        <f ca="1"/>
        <v>72256.126789999995</v>
      </c>
      <c r="G30" s="10">
        <f ca="1"/>
        <v>45983.229166655095</v>
      </c>
      <c r="H30" s="3">
        <f ca="1"/>
        <v>6061348756.3415642</v>
      </c>
      <c r="I30" s="3">
        <f ca="1"/>
        <v>11826480</v>
      </c>
      <c r="J30" s="3">
        <f ca="1"/>
        <v>34071.85828</v>
      </c>
      <c r="K30" s="3">
        <f ca="1"/>
        <v>2859133223.2240524</v>
      </c>
    </row>
    <row r="31" spans="1:11" x14ac:dyDescent="0.3">
      <c r="A31" s="10">
        <f ca="1"/>
        <v>45981.229166666664</v>
      </c>
      <c r="B31" s="12">
        <f ca="1"/>
        <v>91554.96</v>
      </c>
      <c r="C31" s="12">
        <f ca="1"/>
        <v>93160</v>
      </c>
      <c r="D31" s="12">
        <f ca="1"/>
        <v>86100</v>
      </c>
      <c r="E31" s="12">
        <f ca="1"/>
        <v>86637.23</v>
      </c>
      <c r="F31" s="3">
        <f ca="1"/>
        <v>39733.190730000002</v>
      </c>
      <c r="G31" s="10">
        <f ca="1"/>
        <v>45982.229166655095</v>
      </c>
      <c r="H31" s="3">
        <f ca="1"/>
        <v>3548950335.0984216</v>
      </c>
      <c r="I31" s="3">
        <f ca="1"/>
        <v>7841395</v>
      </c>
      <c r="J31" s="3">
        <f ca="1"/>
        <v>18283.840469999999</v>
      </c>
      <c r="K31" s="3">
        <f ca="1"/>
        <v>1634256490.957432</v>
      </c>
    </row>
    <row r="32" spans="1:11" x14ac:dyDescent="0.3">
      <c r="A32" s="10">
        <f ca="1"/>
        <v>45980.229166666664</v>
      </c>
      <c r="B32" s="12">
        <f ca="1"/>
        <v>92960.83</v>
      </c>
      <c r="C32" s="12">
        <f ca="1"/>
        <v>92980.22</v>
      </c>
      <c r="D32" s="12">
        <f ca="1"/>
        <v>88608</v>
      </c>
      <c r="E32" s="12">
        <f ca="1"/>
        <v>91554.96</v>
      </c>
      <c r="F32" s="3">
        <f ca="1"/>
        <v>32286.637599999998</v>
      </c>
      <c r="G32" s="10">
        <f ca="1"/>
        <v>45981.229166655095</v>
      </c>
      <c r="H32" s="3">
        <f ca="1"/>
        <v>2925773651.2559581</v>
      </c>
      <c r="I32" s="3">
        <f ca="1"/>
        <v>6822174</v>
      </c>
      <c r="J32" s="3">
        <f ca="1"/>
        <v>15060.084510000001</v>
      </c>
      <c r="K32" s="3">
        <f ca="1"/>
        <v>1365200809.1745572</v>
      </c>
    </row>
    <row r="33" spans="1:11" x14ac:dyDescent="0.3">
      <c r="A33" s="10">
        <f ca="1"/>
        <v>45979.229166666664</v>
      </c>
      <c r="B33" s="12">
        <f ca="1"/>
        <v>92215.14</v>
      </c>
      <c r="C33" s="12">
        <f ca="1"/>
        <v>93836.01</v>
      </c>
      <c r="D33" s="12">
        <f ca="1"/>
        <v>89253.78</v>
      </c>
      <c r="E33" s="12">
        <f ca="1"/>
        <v>92960.83</v>
      </c>
      <c r="F33" s="3">
        <f ca="1"/>
        <v>39835.147689999998</v>
      </c>
      <c r="G33" s="10">
        <f ca="1"/>
        <v>45980.229166655095</v>
      </c>
      <c r="H33" s="3">
        <f ca="1"/>
        <v>3641033186.3004584</v>
      </c>
      <c r="I33" s="3">
        <f ca="1"/>
        <v>8786593</v>
      </c>
      <c r="J33" s="3">
        <f ca="1"/>
        <v>20130.959569999999</v>
      </c>
      <c r="K33" s="3">
        <f ca="1"/>
        <v>1841176605.1418235</v>
      </c>
    </row>
    <row r="34" spans="1:11" x14ac:dyDescent="0.3">
      <c r="A34" s="10">
        <f ca="1"/>
        <v>45978.229166666664</v>
      </c>
      <c r="B34" s="12">
        <f ca="1"/>
        <v>94261.45</v>
      </c>
      <c r="C34" s="12">
        <f ca="1"/>
        <v>96043</v>
      </c>
      <c r="D34" s="12">
        <f ca="1"/>
        <v>91220</v>
      </c>
      <c r="E34" s="12">
        <f ca="1"/>
        <v>92215.14</v>
      </c>
      <c r="F34" s="3">
        <f ca="1"/>
        <v>39218.598059999997</v>
      </c>
      <c r="G34" s="10">
        <f ca="1"/>
        <v>45979.229166655095</v>
      </c>
      <c r="H34" s="3">
        <f ca="1"/>
        <v>3674562070.238606</v>
      </c>
      <c r="I34" s="3">
        <f ca="1"/>
        <v>8134322</v>
      </c>
      <c r="J34" s="3">
        <f ca="1"/>
        <v>18690.192449999999</v>
      </c>
      <c r="K34" s="3">
        <f ca="1"/>
        <v>1750979467.7862606</v>
      </c>
    </row>
    <row r="35" spans="1:11" x14ac:dyDescent="0.3">
      <c r="A35" s="10">
        <f ca="1"/>
        <v>45977.229166666664</v>
      </c>
      <c r="B35" s="12">
        <f ca="1"/>
        <v>95596.23</v>
      </c>
      <c r="C35" s="12">
        <f ca="1"/>
        <v>96635.11</v>
      </c>
      <c r="D35" s="12">
        <f ca="1"/>
        <v>93005.55</v>
      </c>
      <c r="E35" s="12">
        <f ca="1"/>
        <v>94261.440000000002</v>
      </c>
      <c r="F35" s="3">
        <f ca="1"/>
        <v>23889.4051</v>
      </c>
      <c r="G35" s="10">
        <f ca="1"/>
        <v>45978.229166655095</v>
      </c>
      <c r="H35" s="3">
        <f ca="1"/>
        <v>2261295524.8173394</v>
      </c>
      <c r="I35" s="3">
        <f ca="1"/>
        <v>5141394</v>
      </c>
      <c r="J35" s="3">
        <f ca="1"/>
        <v>10828.62752</v>
      </c>
      <c r="K35" s="3">
        <f ca="1"/>
        <v>1025540141.3111866</v>
      </c>
    </row>
    <row r="36" spans="1:11" x14ac:dyDescent="0.3">
      <c r="A36" s="10">
        <f ca="1"/>
        <v>45976.229166666664</v>
      </c>
      <c r="B36" s="12">
        <f ca="1"/>
        <v>94594</v>
      </c>
      <c r="C36" s="12">
        <f ca="1"/>
        <v>96846.68</v>
      </c>
      <c r="D36" s="12">
        <f ca="1"/>
        <v>94558.49</v>
      </c>
      <c r="E36" s="12">
        <f ca="1"/>
        <v>95596.24</v>
      </c>
      <c r="F36" s="3">
        <f ca="1"/>
        <v>15110.893910000001</v>
      </c>
      <c r="G36" s="10">
        <f ca="1"/>
        <v>45977.229166655095</v>
      </c>
      <c r="H36" s="3">
        <f ca="1"/>
        <v>1449074019.0674856</v>
      </c>
      <c r="I36" s="3">
        <f ca="1"/>
        <v>4263558</v>
      </c>
      <c r="J36" s="3">
        <f ca="1"/>
        <v>7115.7819799999997</v>
      </c>
      <c r="K36" s="3">
        <f ca="1"/>
        <v>682358960.75404215</v>
      </c>
    </row>
    <row r="37" spans="1:11" x14ac:dyDescent="0.3">
      <c r="A37" s="10">
        <f ca="1"/>
        <v>45975.229166666664</v>
      </c>
      <c r="B37" s="12">
        <f ca="1"/>
        <v>99692.03</v>
      </c>
      <c r="C37" s="12">
        <f ca="1"/>
        <v>99866.02</v>
      </c>
      <c r="D37" s="12">
        <f ca="1"/>
        <v>94012.45</v>
      </c>
      <c r="E37" s="12">
        <f ca="1"/>
        <v>94594</v>
      </c>
      <c r="F37" s="3">
        <f ca="1"/>
        <v>47288.144809999998</v>
      </c>
      <c r="G37" s="10">
        <f ca="1"/>
        <v>45976.229166655095</v>
      </c>
      <c r="H37" s="3">
        <f ca="1"/>
        <v>4566085156.7472067</v>
      </c>
      <c r="I37" s="3">
        <f ca="1"/>
        <v>9551025</v>
      </c>
      <c r="J37" s="3">
        <f ca="1"/>
        <v>21184.91518</v>
      </c>
      <c r="K37" s="3">
        <f ca="1"/>
        <v>2045542286.8634834</v>
      </c>
    </row>
    <row r="38" spans="1:11" x14ac:dyDescent="0.3">
      <c r="A38" s="10">
        <f ca="1"/>
        <v>45974.229166666664</v>
      </c>
      <c r="B38" s="12">
        <f ca="1"/>
        <v>101654.37</v>
      </c>
      <c r="C38" s="12">
        <f ca="1"/>
        <v>104085.01</v>
      </c>
      <c r="D38" s="12">
        <f ca="1"/>
        <v>98000.4</v>
      </c>
      <c r="E38" s="12">
        <f ca="1"/>
        <v>99692.02</v>
      </c>
      <c r="F38" s="3">
        <f ca="1"/>
        <v>36198.507709999998</v>
      </c>
      <c r="G38" s="10">
        <f ca="1"/>
        <v>45975.229166655095</v>
      </c>
      <c r="H38" s="3">
        <f ca="1"/>
        <v>3654698026.5403805</v>
      </c>
      <c r="I38" s="3">
        <f ca="1"/>
        <v>8125404</v>
      </c>
      <c r="J38" s="3">
        <f ca="1"/>
        <v>17250.224259999999</v>
      </c>
      <c r="K38" s="3">
        <f ca="1"/>
        <v>1742449117.5763607</v>
      </c>
    </row>
    <row r="39" spans="1:11" x14ac:dyDescent="0.3">
      <c r="A39" s="10">
        <f ca="1"/>
        <v>45973.229166666664</v>
      </c>
      <c r="B39" s="12">
        <f ca="1"/>
        <v>103059</v>
      </c>
      <c r="C39" s="12">
        <f ca="1"/>
        <v>105333.33</v>
      </c>
      <c r="D39" s="12">
        <f ca="1"/>
        <v>100813.59</v>
      </c>
      <c r="E39" s="12">
        <f ca="1"/>
        <v>101654.37</v>
      </c>
      <c r="F39" s="3">
        <f ca="1"/>
        <v>20457.639060000001</v>
      </c>
      <c r="G39" s="10">
        <f ca="1"/>
        <v>45974.229166655095</v>
      </c>
      <c r="H39" s="3">
        <f ca="1"/>
        <v>2108514405.2608771</v>
      </c>
      <c r="I39" s="3">
        <f ca="1"/>
        <v>5314132</v>
      </c>
      <c r="J39" s="3">
        <f ca="1"/>
        <v>10155.720950000001</v>
      </c>
      <c r="K39" s="3">
        <f ca="1"/>
        <v>1047214063.1382869</v>
      </c>
    </row>
    <row r="40" spans="1:11" x14ac:dyDescent="0.3">
      <c r="A40" s="10">
        <f ca="1"/>
        <v>45972.229166666664</v>
      </c>
      <c r="B40" s="12">
        <f ca="1"/>
        <v>106011.13</v>
      </c>
      <c r="C40" s="12">
        <f ca="1"/>
        <v>107500</v>
      </c>
      <c r="D40" s="12">
        <f ca="1"/>
        <v>102476.09</v>
      </c>
      <c r="E40" s="12">
        <f ca="1"/>
        <v>103058.99</v>
      </c>
      <c r="F40" s="3">
        <f ca="1"/>
        <v>24196.507180000001</v>
      </c>
      <c r="G40" s="10">
        <f ca="1"/>
        <v>45973.229166655095</v>
      </c>
      <c r="H40" s="3">
        <f ca="1"/>
        <v>2532279071.0069213</v>
      </c>
      <c r="I40" s="3">
        <f ca="1"/>
        <v>5532149</v>
      </c>
      <c r="J40" s="3">
        <f ca="1"/>
        <v>10717.033949999999</v>
      </c>
      <c r="K40" s="3">
        <f ca="1"/>
        <v>1121890584.1997764</v>
      </c>
    </row>
    <row r="41" spans="1:11" x14ac:dyDescent="0.3">
      <c r="A41" s="10">
        <f ca="1"/>
        <v>45971.229166666664</v>
      </c>
      <c r="B41" s="12">
        <f ca="1"/>
        <v>104722.95</v>
      </c>
      <c r="C41" s="12">
        <f ca="1"/>
        <v>106670.11</v>
      </c>
      <c r="D41" s="12">
        <f ca="1"/>
        <v>104265.02</v>
      </c>
      <c r="E41" s="12">
        <f ca="1"/>
        <v>106011.13</v>
      </c>
      <c r="F41" s="3">
        <f ca="1"/>
        <v>22682.256730000001</v>
      </c>
      <c r="G41" s="10">
        <f ca="1"/>
        <v>45972.229166655095</v>
      </c>
      <c r="H41" s="3">
        <f ca="1"/>
        <v>2400141664.3893418</v>
      </c>
      <c r="I41" s="3">
        <f ca="1"/>
        <v>4710957</v>
      </c>
      <c r="J41" s="3">
        <f ca="1"/>
        <v>11595.819439999999</v>
      </c>
      <c r="K41" s="3">
        <f ca="1"/>
        <v>1226965888.7467699</v>
      </c>
    </row>
    <row r="42" spans="1:11" x14ac:dyDescent="0.3">
      <c r="A42" s="10">
        <f ca="1"/>
        <v>45970.229166666664</v>
      </c>
      <c r="B42" s="12">
        <f ca="1"/>
        <v>102312.95</v>
      </c>
      <c r="C42" s="12">
        <f ca="1"/>
        <v>105495.62</v>
      </c>
      <c r="D42" s="12">
        <f ca="1"/>
        <v>101400</v>
      </c>
      <c r="E42" s="12">
        <f ca="1"/>
        <v>104722.96</v>
      </c>
      <c r="F42" s="3">
        <f ca="1"/>
        <v>16338.970960000001</v>
      </c>
      <c r="G42" s="10">
        <f ca="1"/>
        <v>45971.229166655095</v>
      </c>
      <c r="H42" s="3">
        <f ca="1"/>
        <v>1687020822.3668208</v>
      </c>
      <c r="I42" s="3">
        <f ca="1"/>
        <v>3404204</v>
      </c>
      <c r="J42" s="3">
        <f ca="1"/>
        <v>8224.9493899999998</v>
      </c>
      <c r="K42" s="3">
        <f ca="1"/>
        <v>849620657.08690965</v>
      </c>
    </row>
    <row r="43" spans="1:11" x14ac:dyDescent="0.3">
      <c r="A43" s="10">
        <f ca="1"/>
        <v>45969.229166666664</v>
      </c>
      <c r="B43" s="12">
        <f ca="1"/>
        <v>103339.09</v>
      </c>
      <c r="C43" s="12">
        <f ca="1"/>
        <v>103406.22</v>
      </c>
      <c r="D43" s="12">
        <f ca="1"/>
        <v>101454</v>
      </c>
      <c r="E43" s="12">
        <f ca="1"/>
        <v>102312.94</v>
      </c>
      <c r="F43" s="3">
        <f ca="1"/>
        <v>12390.779850000001</v>
      </c>
      <c r="G43" s="10">
        <f ca="1"/>
        <v>45970.229166655095</v>
      </c>
      <c r="H43" s="3">
        <f ca="1"/>
        <v>1267165565.3752701</v>
      </c>
      <c r="I43" s="3">
        <f ca="1"/>
        <v>2743819</v>
      </c>
      <c r="J43" s="3">
        <f ca="1"/>
        <v>5862.6597700000002</v>
      </c>
      <c r="K43" s="3">
        <f ca="1"/>
        <v>599611355.36714673</v>
      </c>
    </row>
    <row r="44" spans="1:11" x14ac:dyDescent="0.3">
      <c r="A44" s="10">
        <f ca="1"/>
        <v>45968.229166666664</v>
      </c>
      <c r="B44" s="12">
        <f ca="1"/>
        <v>101346.04</v>
      </c>
      <c r="C44" s="12">
        <f ca="1"/>
        <v>104096.36</v>
      </c>
      <c r="D44" s="12">
        <f ca="1"/>
        <v>99260.86</v>
      </c>
      <c r="E44" s="12">
        <f ca="1"/>
        <v>103339.08</v>
      </c>
      <c r="F44" s="3">
        <f ca="1"/>
        <v>32059.509419999998</v>
      </c>
      <c r="G44" s="10">
        <f ca="1"/>
        <v>45969.229166655095</v>
      </c>
      <c r="H44" s="3">
        <f ca="1"/>
        <v>3251112979.3058839</v>
      </c>
      <c r="I44" s="3">
        <f ca="1"/>
        <v>6335759</v>
      </c>
      <c r="J44" s="3">
        <f ca="1"/>
        <v>16056.80582</v>
      </c>
      <c r="K44" s="3">
        <f ca="1"/>
        <v>1629564159.11658</v>
      </c>
    </row>
    <row r="45" spans="1:11" x14ac:dyDescent="0.3">
      <c r="A45" s="10">
        <f ca="1"/>
        <v>45967.229166666664</v>
      </c>
      <c r="B45" s="12">
        <f ca="1"/>
        <v>103885.16</v>
      </c>
      <c r="C45" s="12">
        <f ca="1"/>
        <v>104200</v>
      </c>
      <c r="D45" s="12">
        <f ca="1"/>
        <v>100300.95</v>
      </c>
      <c r="E45" s="12">
        <f ca="1"/>
        <v>101346.04</v>
      </c>
      <c r="F45" s="3">
        <f ca="1"/>
        <v>25814.62139</v>
      </c>
      <c r="G45" s="10">
        <f ca="1"/>
        <v>45968.229166655095</v>
      </c>
      <c r="H45" s="3">
        <f ca="1"/>
        <v>2641767846.3058271</v>
      </c>
      <c r="I45" s="3">
        <f ca="1"/>
        <v>5755001</v>
      </c>
      <c r="J45" s="3">
        <f ca="1"/>
        <v>11972.54796</v>
      </c>
      <c r="K45" s="3">
        <f ca="1"/>
        <v>1225474173.0204284</v>
      </c>
    </row>
    <row r="46" spans="1:11" x14ac:dyDescent="0.3">
      <c r="A46" s="10">
        <f ca="1"/>
        <v>45966.229166666664</v>
      </c>
      <c r="B46" s="12">
        <f ca="1"/>
        <v>101497.23</v>
      </c>
      <c r="C46" s="12">
        <f ca="1"/>
        <v>104534.74</v>
      </c>
      <c r="D46" s="12">
        <f ca="1"/>
        <v>98966.8</v>
      </c>
      <c r="E46" s="12">
        <f ca="1"/>
        <v>103885.16</v>
      </c>
      <c r="F46" s="3">
        <f ca="1"/>
        <v>33778.775710000002</v>
      </c>
      <c r="G46" s="10">
        <f ca="1"/>
        <v>45967.229166655095</v>
      </c>
      <c r="H46" s="3">
        <f ca="1"/>
        <v>3454273922.7003851</v>
      </c>
      <c r="I46" s="3">
        <f ca="1"/>
        <v>6500368</v>
      </c>
      <c r="J46" s="3">
        <f ca="1"/>
        <v>18126.848279999998</v>
      </c>
      <c r="K46" s="3">
        <f ca="1"/>
        <v>1854232277.0330112</v>
      </c>
    </row>
    <row r="47" spans="1:11" x14ac:dyDescent="0.3">
      <c r="A47" s="10">
        <f ca="1"/>
        <v>45965.229166666664</v>
      </c>
      <c r="B47" s="12">
        <f ca="1"/>
        <v>106583.05</v>
      </c>
      <c r="C47" s="12">
        <f ca="1"/>
        <v>107299</v>
      </c>
      <c r="D47" s="12">
        <f ca="1"/>
        <v>98944.36</v>
      </c>
      <c r="E47" s="12">
        <f ca="1"/>
        <v>101497.22</v>
      </c>
      <c r="F47" s="3">
        <f ca="1"/>
        <v>50534.873760000002</v>
      </c>
      <c r="G47" s="10">
        <f ca="1"/>
        <v>45966.229166655095</v>
      </c>
      <c r="H47" s="3">
        <f ca="1"/>
        <v>5197697635.2124128</v>
      </c>
      <c r="I47" s="3">
        <f ca="1"/>
        <v>9099609</v>
      </c>
      <c r="J47" s="3">
        <f ca="1"/>
        <v>23388.990330000001</v>
      </c>
      <c r="K47" s="3">
        <f ca="1"/>
        <v>2406186713.1705298</v>
      </c>
    </row>
    <row r="48" spans="1:11" x14ac:dyDescent="0.3">
      <c r="A48" s="10">
        <f ca="1"/>
        <v>45964.229166666664</v>
      </c>
      <c r="B48" s="12">
        <f ca="1"/>
        <v>110540.69</v>
      </c>
      <c r="C48" s="12">
        <f ca="1"/>
        <v>110750</v>
      </c>
      <c r="D48" s="12">
        <f ca="1"/>
        <v>105306.56</v>
      </c>
      <c r="E48" s="12">
        <f ca="1"/>
        <v>106583.03999999999</v>
      </c>
      <c r="F48" s="3">
        <f ca="1"/>
        <v>28681.18779</v>
      </c>
      <c r="G48" s="10">
        <f ca="1"/>
        <v>45965.229166655095</v>
      </c>
      <c r="H48" s="3">
        <f ca="1"/>
        <v>3076006652.0015674</v>
      </c>
      <c r="I48" s="3">
        <f ca="1"/>
        <v>7074546</v>
      </c>
      <c r="J48" s="3">
        <f ca="1"/>
        <v>12847.08574</v>
      </c>
      <c r="K48" s="3">
        <f ca="1"/>
        <v>1377869106.6681776</v>
      </c>
    </row>
    <row r="49" spans="1:11" x14ac:dyDescent="0.3">
      <c r="A49" s="10">
        <f ca="1"/>
        <v>45963.229166666664</v>
      </c>
      <c r="B49" s="12">
        <f ca="1"/>
        <v>110098.1</v>
      </c>
      <c r="C49" s="12">
        <f ca="1"/>
        <v>111250.01</v>
      </c>
      <c r="D49" s="12">
        <f ca="1"/>
        <v>109471.34</v>
      </c>
      <c r="E49" s="12">
        <f ca="1"/>
        <v>110540.68</v>
      </c>
      <c r="F49" s="3">
        <f ca="1"/>
        <v>12107.00087</v>
      </c>
      <c r="G49" s="10">
        <f ca="1"/>
        <v>45964.229166655095</v>
      </c>
      <c r="H49" s="3">
        <f ca="1"/>
        <v>1336870531.1415012</v>
      </c>
      <c r="I49" s="3">
        <f ca="1"/>
        <v>2652188</v>
      </c>
      <c r="J49" s="3">
        <f ca="1"/>
        <v>5921.8645299999998</v>
      </c>
      <c r="K49" s="3">
        <f ca="1"/>
        <v>654016950.2549777</v>
      </c>
    </row>
    <row r="50" spans="1:11" x14ac:dyDescent="0.3">
      <c r="A50" s="10">
        <f ca="1"/>
        <v>45962.229166666664</v>
      </c>
      <c r="B50" s="12">
        <f ca="1"/>
        <v>109608.01</v>
      </c>
      <c r="C50" s="12">
        <f ca="1"/>
        <v>110564.49</v>
      </c>
      <c r="D50" s="12">
        <f ca="1"/>
        <v>109394.81</v>
      </c>
      <c r="E50" s="12">
        <f ca="1"/>
        <v>110098.1</v>
      </c>
      <c r="F50" s="3">
        <f ca="1"/>
        <v>7378.5043100000003</v>
      </c>
      <c r="G50" s="10">
        <f ca="1"/>
        <v>45963.229166655095</v>
      </c>
      <c r="H50" s="3">
        <f ca="1"/>
        <v>812389216.43467975</v>
      </c>
      <c r="I50" s="3">
        <f ca="1"/>
        <v>1994214</v>
      </c>
      <c r="J50" s="3">
        <f ca="1"/>
        <v>3406.6840099999999</v>
      </c>
      <c r="K50" s="3">
        <f ca="1"/>
        <v>375126956.08097219</v>
      </c>
    </row>
    <row r="51" spans="1:11" x14ac:dyDescent="0.3">
      <c r="A51" s="10">
        <f ca="1"/>
        <v>45961.229166666664</v>
      </c>
      <c r="B51" s="12">
        <f ca="1"/>
        <v>108322.87</v>
      </c>
      <c r="C51" s="12">
        <f ca="1"/>
        <v>111190</v>
      </c>
      <c r="D51" s="12">
        <f ca="1"/>
        <v>108275.28</v>
      </c>
      <c r="E51" s="12">
        <f ca="1"/>
        <v>109608.01</v>
      </c>
      <c r="F51" s="3">
        <f ca="1"/>
        <v>21518.204389999999</v>
      </c>
      <c r="G51" s="10">
        <f ca="1"/>
        <v>45962.229166655095</v>
      </c>
      <c r="H51" s="3">
        <f ca="1"/>
        <v>2361590437.9414105</v>
      </c>
      <c r="I51" s="3">
        <f ca="1"/>
        <v>5256872</v>
      </c>
      <c r="J51" s="3">
        <f ca="1"/>
        <v>10798.53938</v>
      </c>
      <c r="K51" s="3">
        <f ca="1"/>
        <v>1185034290.9237797</v>
      </c>
    </row>
    <row r="52" spans="1:11" x14ac:dyDescent="0.3">
      <c r="A52" s="10">
        <f ca="1"/>
        <v>45960.229166666664</v>
      </c>
      <c r="B52" s="12">
        <f ca="1"/>
        <v>110021.3</v>
      </c>
      <c r="C52" s="12">
        <f ca="1"/>
        <v>111592</v>
      </c>
      <c r="D52" s="12">
        <f ca="1"/>
        <v>106304.34</v>
      </c>
      <c r="E52" s="12">
        <f ca="1"/>
        <v>108322.88</v>
      </c>
      <c r="F52" s="3">
        <f ca="1"/>
        <v>25988.828379999999</v>
      </c>
      <c r="G52" s="10">
        <f ca="1"/>
        <v>45961.229166655095</v>
      </c>
      <c r="H52" s="3">
        <f ca="1"/>
        <v>2827221287.4227977</v>
      </c>
      <c r="I52" s="3">
        <f ca="1"/>
        <v>6373451</v>
      </c>
      <c r="J52" s="3">
        <f ca="1"/>
        <v>12551.131439999999</v>
      </c>
      <c r="K52" s="3">
        <f ca="1"/>
        <v>1365671836.7455924</v>
      </c>
    </row>
    <row r="53" spans="1:11" x14ac:dyDescent="0.3">
      <c r="A53" s="10">
        <f ca="1"/>
        <v>45959.229166666664</v>
      </c>
      <c r="B53" s="12">
        <f ca="1"/>
        <v>112898.44</v>
      </c>
      <c r="C53" s="12">
        <f ca="1"/>
        <v>113643.73</v>
      </c>
      <c r="D53" s="12">
        <f ca="1"/>
        <v>109200</v>
      </c>
      <c r="E53" s="12">
        <f ca="1"/>
        <v>110021.29</v>
      </c>
      <c r="F53" s="3">
        <f ca="1"/>
        <v>21079.713759999999</v>
      </c>
      <c r="G53" s="10">
        <f ca="1"/>
        <v>45960.229166655095</v>
      </c>
      <c r="H53" s="3">
        <f ca="1"/>
        <v>2356715986.5335455</v>
      </c>
      <c r="I53" s="3">
        <f ca="1"/>
        <v>4481480</v>
      </c>
      <c r="J53" s="3">
        <f ca="1"/>
        <v>10407.072330000001</v>
      </c>
      <c r="K53" s="3">
        <f ca="1"/>
        <v>1163985607.3569086</v>
      </c>
    </row>
    <row r="54" spans="1:11" x14ac:dyDescent="0.3">
      <c r="A54" s="10">
        <f ca="1"/>
        <v>45958.229166666664</v>
      </c>
      <c r="B54" s="12">
        <f ca="1"/>
        <v>114107.65</v>
      </c>
      <c r="C54" s="12">
        <f ca="1"/>
        <v>116086</v>
      </c>
      <c r="D54" s="12">
        <f ca="1"/>
        <v>112211</v>
      </c>
      <c r="E54" s="12">
        <f ca="1"/>
        <v>112898.45</v>
      </c>
      <c r="F54" s="3">
        <f ca="1"/>
        <v>15523.422570000001</v>
      </c>
      <c r="G54" s="10">
        <f ca="1"/>
        <v>45959.229166655095</v>
      </c>
      <c r="H54" s="3">
        <f ca="1"/>
        <v>1772753529.8642743</v>
      </c>
      <c r="I54" s="3">
        <f ca="1"/>
        <v>3829845</v>
      </c>
      <c r="J54" s="3">
        <f ca="1"/>
        <v>7765.31574</v>
      </c>
      <c r="K54" s="3">
        <f ca="1"/>
        <v>887031686.01637244</v>
      </c>
    </row>
    <row r="55" spans="1:11" x14ac:dyDescent="0.3">
      <c r="A55" s="10">
        <f ca="1"/>
        <v>45957.229166666664</v>
      </c>
      <c r="B55" s="12">
        <f ca="1"/>
        <v>114559.41</v>
      </c>
      <c r="C55" s="12">
        <f ca="1"/>
        <v>116400</v>
      </c>
      <c r="D55" s="12">
        <f ca="1"/>
        <v>113830.01</v>
      </c>
      <c r="E55" s="12">
        <f ca="1"/>
        <v>114107.65</v>
      </c>
      <c r="F55" s="3">
        <f ca="1"/>
        <v>21450.232410000001</v>
      </c>
      <c r="G55" s="10">
        <f ca="1"/>
        <v>45958.229166655095</v>
      </c>
      <c r="H55" s="3">
        <f ca="1"/>
        <v>2470872744.5489683</v>
      </c>
      <c r="I55" s="3">
        <f ca="1"/>
        <v>3660488</v>
      </c>
      <c r="J55" s="3">
        <f ca="1"/>
        <v>10969.70182</v>
      </c>
      <c r="K55" s="3">
        <f ca="1"/>
        <v>1263753536.9973898</v>
      </c>
    </row>
    <row r="56" spans="1:11" x14ac:dyDescent="0.3">
      <c r="A56" s="10">
        <f ca="1"/>
        <v>45956.229166666664</v>
      </c>
      <c r="B56" s="12">
        <f ca="1"/>
        <v>111646.27</v>
      </c>
      <c r="C56" s="12">
        <f ca="1"/>
        <v>115466.8</v>
      </c>
      <c r="D56" s="12">
        <f ca="1"/>
        <v>111260.45</v>
      </c>
      <c r="E56" s="12">
        <f ca="1"/>
        <v>114559.4</v>
      </c>
      <c r="F56" s="3">
        <f ca="1"/>
        <v>13454.477370000001</v>
      </c>
      <c r="G56" s="10">
        <f ca="1"/>
        <v>45957.229166655095</v>
      </c>
      <c r="H56" s="3">
        <f ca="1"/>
        <v>1525108635.8748291</v>
      </c>
      <c r="I56" s="3">
        <f ca="1"/>
        <v>2463951</v>
      </c>
      <c r="J56" s="3">
        <f ca="1"/>
        <v>6982.1815399999996</v>
      </c>
      <c r="K56" s="3">
        <f ca="1"/>
        <v>791462349.35160565</v>
      </c>
    </row>
    <row r="57" spans="1:11" x14ac:dyDescent="0.3">
      <c r="A57" s="10">
        <f ca="1"/>
        <v>45955.229166666664</v>
      </c>
      <c r="B57" s="12">
        <f ca="1"/>
        <v>111004.9</v>
      </c>
      <c r="C57" s="12">
        <f ca="1"/>
        <v>111943.19</v>
      </c>
      <c r="D57" s="12">
        <f ca="1"/>
        <v>110672.86</v>
      </c>
      <c r="E57" s="12">
        <f ca="1"/>
        <v>111646.27</v>
      </c>
      <c r="F57" s="3">
        <f ca="1"/>
        <v>6407.9686400000001</v>
      </c>
      <c r="G57" s="10">
        <f ca="1"/>
        <v>45956.229166655095</v>
      </c>
      <c r="H57" s="3">
        <f ca="1"/>
        <v>714201332.97512245</v>
      </c>
      <c r="I57" s="3">
        <f ca="1"/>
        <v>1238199</v>
      </c>
      <c r="J57" s="3">
        <f ca="1"/>
        <v>3087.0866000000001</v>
      </c>
      <c r="K57" s="3">
        <f ca="1"/>
        <v>344113931.79994518</v>
      </c>
    </row>
    <row r="58" spans="1:11" x14ac:dyDescent="0.3">
      <c r="A58" s="10">
        <f ca="1"/>
        <v>45954.229166666664</v>
      </c>
      <c r="B58" s="12">
        <f ca="1"/>
        <v>110078.19</v>
      </c>
      <c r="C58" s="12">
        <f ca="1"/>
        <v>112104.98</v>
      </c>
      <c r="D58" s="12">
        <f ca="1"/>
        <v>109700.01</v>
      </c>
      <c r="E58" s="12">
        <f ca="1"/>
        <v>111004.89</v>
      </c>
      <c r="F58" s="3">
        <f ca="1"/>
        <v>15005.16913</v>
      </c>
      <c r="G58" s="10">
        <f ca="1"/>
        <v>45955.229166655095</v>
      </c>
      <c r="H58" s="3">
        <f ca="1"/>
        <v>1662806764.9533324</v>
      </c>
      <c r="I58" s="3">
        <f ca="1"/>
        <v>3241022</v>
      </c>
      <c r="J58" s="3">
        <f ca="1"/>
        <v>7511.2434000000003</v>
      </c>
      <c r="K58" s="3">
        <f ca="1"/>
        <v>832390454.80762255</v>
      </c>
    </row>
    <row r="59" spans="1:11" x14ac:dyDescent="0.3">
      <c r="A59" s="10">
        <f ca="1"/>
        <v>45953.229166666664</v>
      </c>
      <c r="B59" s="12">
        <f ca="1"/>
        <v>107567.45</v>
      </c>
      <c r="C59" s="12">
        <f ca="1"/>
        <v>111293.61</v>
      </c>
      <c r="D59" s="12">
        <f ca="1"/>
        <v>107500</v>
      </c>
      <c r="E59" s="12">
        <f ca="1"/>
        <v>110078.18</v>
      </c>
      <c r="F59" s="3">
        <f ca="1"/>
        <v>17573.092939999999</v>
      </c>
      <c r="G59" s="10">
        <f ca="1"/>
        <v>45954.229166655095</v>
      </c>
      <c r="H59" s="3">
        <f ca="1"/>
        <v>1924582289.4113939</v>
      </c>
      <c r="I59" s="3">
        <f ca="1"/>
        <v>3721614</v>
      </c>
      <c r="J59" s="3">
        <f ca="1"/>
        <v>8575.3371599999991</v>
      </c>
      <c r="K59" s="3">
        <f ca="1"/>
        <v>938905317.70341074</v>
      </c>
    </row>
    <row r="60" spans="1:11" x14ac:dyDescent="0.3">
      <c r="A60" s="10">
        <f ca="1"/>
        <v>45952.229166666664</v>
      </c>
      <c r="B60" s="12">
        <f ca="1"/>
        <v>108297.66</v>
      </c>
      <c r="C60" s="12">
        <f ca="1"/>
        <v>109163.88</v>
      </c>
      <c r="D60" s="12">
        <f ca="1"/>
        <v>106666.69</v>
      </c>
      <c r="E60" s="12">
        <f ca="1"/>
        <v>107567.44</v>
      </c>
      <c r="F60" s="3">
        <f ca="1"/>
        <v>28610.784510000001</v>
      </c>
      <c r="G60" s="10">
        <f ca="1"/>
        <v>45953.229166655095</v>
      </c>
      <c r="H60" s="3">
        <f ca="1"/>
        <v>3090291706.4439816</v>
      </c>
      <c r="I60" s="3">
        <f ca="1"/>
        <v>5547903</v>
      </c>
      <c r="J60" s="3">
        <f ca="1"/>
        <v>13766.588610000001</v>
      </c>
      <c r="K60" s="3">
        <f ca="1"/>
        <v>1487179903.5999787</v>
      </c>
    </row>
    <row r="61" spans="1:11" x14ac:dyDescent="0.3">
      <c r="A61" s="10">
        <f ca="1"/>
        <v>45951.229166666664</v>
      </c>
      <c r="B61" s="12">
        <f ca="1"/>
        <v>110532.09</v>
      </c>
      <c r="C61" s="12">
        <f ca="1"/>
        <v>114000</v>
      </c>
      <c r="D61" s="12">
        <f ca="1"/>
        <v>107473.72</v>
      </c>
      <c r="E61" s="12">
        <f ca="1"/>
        <v>108297.67</v>
      </c>
      <c r="F61" s="3">
        <f ca="1"/>
        <v>37228.016589999999</v>
      </c>
      <c r="G61" s="10">
        <f ca="1"/>
        <v>45952.229166655095</v>
      </c>
      <c r="H61" s="3">
        <f ca="1"/>
        <v>4114477849.932054</v>
      </c>
      <c r="I61" s="3">
        <f ca="1"/>
        <v>6004063</v>
      </c>
      <c r="J61" s="3">
        <f ca="1"/>
        <v>17034.071550000001</v>
      </c>
      <c r="K61" s="3">
        <f ca="1"/>
        <v>1881327751.3346128</v>
      </c>
    </row>
    <row r="62" spans="1:11" x14ac:dyDescent="0.3">
      <c r="A62" s="10">
        <f ca="1"/>
        <v>45950.229166666664</v>
      </c>
      <c r="B62" s="12">
        <f ca="1"/>
        <v>108642.77</v>
      </c>
      <c r="C62" s="12">
        <f ca="1"/>
        <v>111705.56</v>
      </c>
      <c r="D62" s="12">
        <f ca="1"/>
        <v>107402.52</v>
      </c>
      <c r="E62" s="12">
        <f ca="1"/>
        <v>110532.09</v>
      </c>
      <c r="F62" s="3">
        <f ca="1"/>
        <v>19193.441599999998</v>
      </c>
      <c r="G62" s="10">
        <f ca="1"/>
        <v>45951.229166655095</v>
      </c>
      <c r="H62" s="3">
        <f ca="1"/>
        <v>2119912185.5934682</v>
      </c>
      <c r="I62" s="3">
        <f ca="1"/>
        <v>4283542</v>
      </c>
      <c r="J62" s="3">
        <f ca="1"/>
        <v>9280.5007499999992</v>
      </c>
      <c r="K62" s="3">
        <f ca="1"/>
        <v>1024925788.7216991</v>
      </c>
    </row>
    <row r="63" spans="1:11" x14ac:dyDescent="0.3">
      <c r="A63" s="10">
        <f ca="1"/>
        <v>45949.229166666664</v>
      </c>
      <c r="B63" s="12">
        <f ca="1"/>
        <v>107185</v>
      </c>
      <c r="C63" s="12">
        <f ca="1"/>
        <v>109450.07</v>
      </c>
      <c r="D63" s="12">
        <f ca="1"/>
        <v>106103.36</v>
      </c>
      <c r="E63" s="12">
        <f ca="1"/>
        <v>108642.78</v>
      </c>
      <c r="F63" s="3">
        <f ca="1"/>
        <v>15480.66423</v>
      </c>
      <c r="G63" s="10">
        <f ca="1"/>
        <v>45950.229166655095</v>
      </c>
      <c r="H63" s="3">
        <f ca="1"/>
        <v>1670074079.5802343</v>
      </c>
      <c r="I63" s="3">
        <f ca="1"/>
        <v>3205640</v>
      </c>
      <c r="J63" s="3">
        <f ca="1"/>
        <v>7100.3101299999998</v>
      </c>
      <c r="K63" s="3">
        <f ca="1"/>
        <v>766423535.81773782</v>
      </c>
    </row>
    <row r="64" spans="1:11" x14ac:dyDescent="0.3">
      <c r="A64" s="10">
        <f ca="1"/>
        <v>45948.229166666664</v>
      </c>
      <c r="B64" s="12">
        <f ca="1"/>
        <v>106431.67999999999</v>
      </c>
      <c r="C64" s="12">
        <f ca="1"/>
        <v>107499</v>
      </c>
      <c r="D64" s="12">
        <f ca="1"/>
        <v>106322.2</v>
      </c>
      <c r="E64" s="12">
        <f ca="1"/>
        <v>107185.01</v>
      </c>
      <c r="F64" s="3">
        <f ca="1"/>
        <v>11123.18766</v>
      </c>
      <c r="G64" s="10">
        <f ca="1"/>
        <v>45949.229166655095</v>
      </c>
      <c r="H64" s="3">
        <f ca="1"/>
        <v>1189002999.1431129</v>
      </c>
      <c r="I64" s="3">
        <f ca="1"/>
        <v>2105450</v>
      </c>
      <c r="J64" s="3">
        <f ca="1"/>
        <v>4845.8564100000003</v>
      </c>
      <c r="K64" s="3">
        <f ca="1"/>
        <v>518065716.6618129</v>
      </c>
    </row>
    <row r="65" spans="1:11" x14ac:dyDescent="0.3">
      <c r="A65" s="10">
        <f ca="1"/>
        <v>45947.229166666664</v>
      </c>
      <c r="B65" s="12">
        <f ca="1"/>
        <v>108194.27</v>
      </c>
      <c r="C65" s="12">
        <f ca="1"/>
        <v>109240</v>
      </c>
      <c r="D65" s="12">
        <f ca="1"/>
        <v>103528.23</v>
      </c>
      <c r="E65" s="12">
        <f ca="1"/>
        <v>106431.67999999999</v>
      </c>
      <c r="F65" s="3">
        <f ca="1"/>
        <v>37920.668380000003</v>
      </c>
      <c r="G65" s="10">
        <f ca="1"/>
        <v>45948.229166655095</v>
      </c>
      <c r="H65" s="3">
        <f ca="1"/>
        <v>4022645635.2212019</v>
      </c>
      <c r="I65" s="3">
        <f ca="1"/>
        <v>7570685</v>
      </c>
      <c r="J65" s="3">
        <f ca="1"/>
        <v>17996.999459999999</v>
      </c>
      <c r="K65" s="3">
        <f ca="1"/>
        <v>1909654487.4562209</v>
      </c>
    </row>
    <row r="66" spans="1:11" x14ac:dyDescent="0.3">
      <c r="A66" s="10">
        <f ca="1"/>
        <v>45946.229166666664</v>
      </c>
      <c r="B66" s="12">
        <f ca="1"/>
        <v>110763.28</v>
      </c>
      <c r="C66" s="12">
        <f ca="1"/>
        <v>111982.45</v>
      </c>
      <c r="D66" s="12">
        <f ca="1"/>
        <v>107427</v>
      </c>
      <c r="E66" s="12">
        <f ca="1"/>
        <v>108194.28</v>
      </c>
      <c r="F66" s="3">
        <f ca="1"/>
        <v>29857.17252</v>
      </c>
      <c r="G66" s="10">
        <f ca="1"/>
        <v>45947.229166655095</v>
      </c>
      <c r="H66" s="3">
        <f ca="1"/>
        <v>3277596494.7619195</v>
      </c>
      <c r="I66" s="3">
        <f ca="1"/>
        <v>6127094</v>
      </c>
      <c r="J66" s="3">
        <f ca="1"/>
        <v>13126.95119</v>
      </c>
      <c r="K66" s="3">
        <f ca="1"/>
        <v>1441416875.1263771</v>
      </c>
    </row>
    <row r="67" spans="1:11" x14ac:dyDescent="0.3">
      <c r="A67" s="10">
        <f ca="1"/>
        <v>45945.229166666664</v>
      </c>
      <c r="B67" s="12">
        <f ca="1"/>
        <v>113028.13</v>
      </c>
      <c r="C67" s="12">
        <f ca="1"/>
        <v>113612.35</v>
      </c>
      <c r="D67" s="12">
        <f ca="1"/>
        <v>110164</v>
      </c>
      <c r="E67" s="12">
        <f ca="1"/>
        <v>110763.28</v>
      </c>
      <c r="F67" s="3">
        <f ca="1"/>
        <v>22986.488109999998</v>
      </c>
      <c r="G67" s="10">
        <f ca="1"/>
        <v>45946.229166655095</v>
      </c>
      <c r="H67" s="3">
        <f ca="1"/>
        <v>2569639641.3527684</v>
      </c>
      <c r="I67" s="3">
        <f ca="1"/>
        <v>5243141</v>
      </c>
      <c r="J67" s="3">
        <f ca="1"/>
        <v>10499.318310000001</v>
      </c>
      <c r="K67" s="3">
        <f ca="1"/>
        <v>1173678794.920774</v>
      </c>
    </row>
    <row r="68" spans="1:11" x14ac:dyDescent="0.3">
      <c r="A68" s="10">
        <f ca="1"/>
        <v>45944.229166666664</v>
      </c>
      <c r="B68" s="12">
        <f ca="1"/>
        <v>115166</v>
      </c>
      <c r="C68" s="12">
        <f ca="1"/>
        <v>115409.96</v>
      </c>
      <c r="D68" s="12">
        <f ca="1"/>
        <v>109866</v>
      </c>
      <c r="E68" s="12">
        <f ca="1"/>
        <v>113028.14</v>
      </c>
      <c r="F68" s="3">
        <f ca="1"/>
        <v>31870.329740000001</v>
      </c>
      <c r="G68" s="10">
        <f ca="1"/>
        <v>45945.229166655095</v>
      </c>
      <c r="H68" s="3">
        <f ca="1"/>
        <v>3578140778.8084989</v>
      </c>
      <c r="I68" s="3">
        <f ca="1"/>
        <v>7425642</v>
      </c>
      <c r="J68" s="3">
        <f ca="1"/>
        <v>14944.19197</v>
      </c>
      <c r="K68" s="3">
        <f ca="1"/>
        <v>1677011392.6343808</v>
      </c>
    </row>
    <row r="69" spans="1:11" x14ac:dyDescent="0.3">
      <c r="A69" s="10">
        <f ca="1"/>
        <v>45943.229166666664</v>
      </c>
      <c r="B69" s="12">
        <f ca="1"/>
        <v>114958.81</v>
      </c>
      <c r="C69" s="12">
        <f ca="1"/>
        <v>115963.81</v>
      </c>
      <c r="D69" s="12">
        <f ca="1"/>
        <v>113616.5</v>
      </c>
      <c r="E69" s="12">
        <f ca="1"/>
        <v>115166</v>
      </c>
      <c r="F69" s="3">
        <f ca="1"/>
        <v>22557.240330000001</v>
      </c>
      <c r="G69" s="10">
        <f ca="1"/>
        <v>45944.229166655095</v>
      </c>
      <c r="H69" s="3">
        <f ca="1"/>
        <v>2591831660.9857492</v>
      </c>
      <c r="I69" s="3">
        <f ca="1"/>
        <v>5739352</v>
      </c>
      <c r="J69" s="3">
        <f ca="1"/>
        <v>10710.89723</v>
      </c>
      <c r="K69" s="3">
        <f ca="1"/>
        <v>1230950583.8424666</v>
      </c>
    </row>
    <row r="70" spans="1:11" x14ac:dyDescent="0.3">
      <c r="A70" s="10">
        <f ca="1"/>
        <v>45942.229166666664</v>
      </c>
      <c r="B70" s="12">
        <f ca="1"/>
        <v>110644.4</v>
      </c>
      <c r="C70" s="12">
        <f ca="1"/>
        <v>115770</v>
      </c>
      <c r="D70" s="12">
        <f ca="1"/>
        <v>109565.06</v>
      </c>
      <c r="E70" s="12">
        <f ca="1"/>
        <v>114958.8</v>
      </c>
      <c r="F70" s="3">
        <f ca="1"/>
        <v>32255.30272</v>
      </c>
      <c r="G70" s="10">
        <f ca="1"/>
        <v>45943.229166655095</v>
      </c>
      <c r="H70" s="3">
        <f ca="1"/>
        <v>3638546528.7401557</v>
      </c>
      <c r="I70" s="3">
        <f ca="1"/>
        <v>6048575</v>
      </c>
      <c r="J70" s="3">
        <f ca="1"/>
        <v>16915.445329999999</v>
      </c>
      <c r="K70" s="3">
        <f ca="1"/>
        <v>1907676479.1772509</v>
      </c>
    </row>
    <row r="71" spans="1:11" x14ac:dyDescent="0.3">
      <c r="A71" s="10">
        <f ca="1"/>
        <v>45941.229166666664</v>
      </c>
      <c r="B71" s="12">
        <f ca="1"/>
        <v>112774.49</v>
      </c>
      <c r="C71" s="12">
        <f ca="1"/>
        <v>113322.39</v>
      </c>
      <c r="D71" s="12">
        <f ca="1"/>
        <v>109561.59</v>
      </c>
      <c r="E71" s="12">
        <f ca="1"/>
        <v>110644.4</v>
      </c>
      <c r="F71" s="3">
        <f ca="1"/>
        <v>35448.516519999997</v>
      </c>
      <c r="G71" s="10">
        <f ca="1"/>
        <v>45942.229166655095</v>
      </c>
      <c r="H71" s="3">
        <f ca="1"/>
        <v>3961069473.2311363</v>
      </c>
      <c r="I71" s="3">
        <f ca="1"/>
        <v>6661929</v>
      </c>
      <c r="J71" s="3">
        <f ca="1"/>
        <v>15375.94796</v>
      </c>
      <c r="K71" s="3">
        <f ca="1"/>
        <v>1718429599.5669522</v>
      </c>
    </row>
    <row r="72" spans="1:11" x14ac:dyDescent="0.3">
      <c r="A72" s="10">
        <f ca="1"/>
        <v>45940.229166666664</v>
      </c>
      <c r="B72" s="12">
        <f ca="1"/>
        <v>121662.41</v>
      </c>
      <c r="C72" s="12">
        <f ca="1"/>
        <v>122550</v>
      </c>
      <c r="D72" s="12">
        <f ca="1"/>
        <v>102000</v>
      </c>
      <c r="E72" s="12">
        <f ca="1"/>
        <v>112774.5</v>
      </c>
      <c r="F72" s="3">
        <f ca="1"/>
        <v>64171.939270000003</v>
      </c>
      <c r="G72" s="10">
        <f ca="1"/>
        <v>45941.229166655095</v>
      </c>
      <c r="H72" s="3">
        <f ca="1"/>
        <v>7349750905.0411577</v>
      </c>
      <c r="I72" s="3">
        <f ca="1"/>
        <v>11404522</v>
      </c>
      <c r="J72" s="3">
        <f ca="1"/>
        <v>30502.142970000001</v>
      </c>
      <c r="K72" s="3">
        <f ca="1"/>
        <v>3493298452.8460078</v>
      </c>
    </row>
    <row r="73" spans="1:11" x14ac:dyDescent="0.3">
      <c r="A73" s="10">
        <f ca="1"/>
        <v>45939.229166666664</v>
      </c>
      <c r="B73" s="12">
        <f ca="1"/>
        <v>123306.01</v>
      </c>
      <c r="C73" s="12">
        <f ca="1"/>
        <v>123762.94</v>
      </c>
      <c r="D73" s="12">
        <f ca="1"/>
        <v>119651.47</v>
      </c>
      <c r="E73" s="12">
        <f ca="1"/>
        <v>121662.39999999999</v>
      </c>
      <c r="F73" s="3">
        <f ca="1"/>
        <v>21559.360069999999</v>
      </c>
      <c r="G73" s="10">
        <f ca="1"/>
        <v>45940.229166655095</v>
      </c>
      <c r="H73" s="3">
        <f ca="1"/>
        <v>2621438087.5667329</v>
      </c>
      <c r="I73" s="3">
        <f ca="1"/>
        <v>4231167</v>
      </c>
      <c r="J73" s="3">
        <f ca="1"/>
        <v>10144.15364</v>
      </c>
      <c r="K73" s="3">
        <f ca="1"/>
        <v>1233882833.5642388</v>
      </c>
    </row>
    <row r="74" spans="1:11" x14ac:dyDescent="0.3">
      <c r="A74" s="10">
        <f ca="1"/>
        <v>45938.229166666664</v>
      </c>
      <c r="B74" s="12">
        <f ca="1"/>
        <v>121332.96</v>
      </c>
      <c r="C74" s="12">
        <f ca="1"/>
        <v>124197.25</v>
      </c>
      <c r="D74" s="12">
        <f ca="1"/>
        <v>121066.14</v>
      </c>
      <c r="E74" s="12">
        <f ca="1"/>
        <v>123306</v>
      </c>
      <c r="F74" s="3">
        <f ca="1"/>
        <v>17012.617999999999</v>
      </c>
      <c r="G74" s="10">
        <f ca="1"/>
        <v>45939.229166655095</v>
      </c>
      <c r="H74" s="3">
        <f ca="1"/>
        <v>2084842842.441617</v>
      </c>
      <c r="I74" s="3">
        <f ca="1"/>
        <v>4184997</v>
      </c>
      <c r="J74" s="3">
        <f ca="1"/>
        <v>9039.0622199999998</v>
      </c>
      <c r="K74" s="3">
        <f ca="1"/>
        <v>1107976264.6948595</v>
      </c>
    </row>
    <row r="75" spans="1:11" x14ac:dyDescent="0.3">
      <c r="A75" s="10">
        <f ca="1"/>
        <v>45937.229166666664</v>
      </c>
      <c r="B75" s="12">
        <f ca="1"/>
        <v>124658.54</v>
      </c>
      <c r="C75" s="12">
        <f ca="1"/>
        <v>125126</v>
      </c>
      <c r="D75" s="12">
        <f ca="1"/>
        <v>120574.94</v>
      </c>
      <c r="E75" s="12">
        <f ca="1"/>
        <v>121332.95</v>
      </c>
      <c r="F75" s="3">
        <f ca="1"/>
        <v>21633.993849999999</v>
      </c>
      <c r="G75" s="10">
        <f ca="1"/>
        <v>45938.229166655095</v>
      </c>
      <c r="H75" s="3">
        <f ca="1"/>
        <v>2657405799.8705487</v>
      </c>
      <c r="I75" s="3">
        <f ca="1"/>
        <v>4390785</v>
      </c>
      <c r="J75" s="3">
        <f ca="1"/>
        <v>9699.3509900000008</v>
      </c>
      <c r="K75" s="3">
        <f ca="1"/>
        <v>1191947741.6989057</v>
      </c>
    </row>
    <row r="76" spans="1:11" x14ac:dyDescent="0.3">
      <c r="A76" s="10">
        <f ca="1"/>
        <v>45936.229166666664</v>
      </c>
      <c r="B76" s="12">
        <f ca="1"/>
        <v>123482.32</v>
      </c>
      <c r="C76" s="12">
        <f ca="1"/>
        <v>126199.63</v>
      </c>
      <c r="D76" s="12">
        <f ca="1"/>
        <v>123084</v>
      </c>
      <c r="E76" s="12">
        <f ca="1"/>
        <v>124658.54</v>
      </c>
      <c r="F76" s="3">
        <f ca="1"/>
        <v>19494.628793</v>
      </c>
      <c r="G76" s="10">
        <f ca="1"/>
        <v>45937.229166655095</v>
      </c>
      <c r="H76" s="3">
        <f ca="1"/>
        <v>2428828952.2653184</v>
      </c>
      <c r="I76" s="3">
        <f ca="1"/>
        <v>4206167</v>
      </c>
      <c r="J76" s="3">
        <f ca="1"/>
        <v>9963.0081530000007</v>
      </c>
      <c r="K76" s="3">
        <f ca="1"/>
        <v>1241625129.7177184</v>
      </c>
    </row>
    <row r="77" spans="1:11" x14ac:dyDescent="0.3">
      <c r="A77" s="10">
        <f ca="1"/>
        <v>45935.229166666664</v>
      </c>
      <c r="B77" s="12">
        <f ca="1"/>
        <v>122390.99</v>
      </c>
      <c r="C77" s="12">
        <f ca="1"/>
        <v>125708.42</v>
      </c>
      <c r="D77" s="12">
        <f ca="1"/>
        <v>122136</v>
      </c>
      <c r="E77" s="12">
        <f ca="1"/>
        <v>123482.31</v>
      </c>
      <c r="F77" s="3">
        <f ca="1"/>
        <v>22043.097553</v>
      </c>
      <c r="G77" s="10">
        <f ca="1"/>
        <v>45936.229166655095</v>
      </c>
      <c r="H77" s="3">
        <f ca="1"/>
        <v>2730817470.9395642</v>
      </c>
      <c r="I77" s="3">
        <f ca="1"/>
        <v>3690670</v>
      </c>
      <c r="J77" s="3">
        <f ca="1"/>
        <v>11780.672403</v>
      </c>
      <c r="K77" s="3">
        <f ca="1"/>
        <v>1459478400.9109962</v>
      </c>
    </row>
    <row r="78" spans="1:11" x14ac:dyDescent="0.3">
      <c r="A78" s="10">
        <f ca="1"/>
        <v>45934.229166666664</v>
      </c>
      <c r="B78" s="12">
        <f ca="1"/>
        <v>122232.21</v>
      </c>
      <c r="C78" s="12">
        <f ca="1"/>
        <v>122800</v>
      </c>
      <c r="D78" s="12">
        <f ca="1"/>
        <v>121510</v>
      </c>
      <c r="E78" s="12">
        <f ca="1"/>
        <v>122391</v>
      </c>
      <c r="F78" s="3">
        <f ca="1"/>
        <v>8208.1667799999996</v>
      </c>
      <c r="G78" s="10">
        <f ca="1"/>
        <v>45935.229166655095</v>
      </c>
      <c r="H78" s="3">
        <f ca="1"/>
        <v>1002272903.3446472</v>
      </c>
      <c r="I78" s="3">
        <f ca="1"/>
        <v>1703590</v>
      </c>
      <c r="J78" s="3">
        <f ca="1"/>
        <v>3767.8033500000001</v>
      </c>
      <c r="K78" s="3">
        <f ca="1"/>
        <v>460154433.12366188</v>
      </c>
    </row>
    <row r="79" spans="1:11" x14ac:dyDescent="0.3">
      <c r="A79" s="10">
        <f ca="1"/>
        <v>45933.229166666664</v>
      </c>
      <c r="B79" s="12">
        <f ca="1"/>
        <v>120529.35</v>
      </c>
      <c r="C79" s="12">
        <f ca="1"/>
        <v>123894.99</v>
      </c>
      <c r="D79" s="12">
        <f ca="1"/>
        <v>119248.3</v>
      </c>
      <c r="E79" s="12">
        <f ca="1"/>
        <v>122232</v>
      </c>
      <c r="F79" s="3">
        <f ca="1"/>
        <v>23936.328000000001</v>
      </c>
      <c r="G79" s="10">
        <f ca="1"/>
        <v>45934.229166655095</v>
      </c>
      <c r="H79" s="3">
        <f ca="1"/>
        <v>2907381076.6813188</v>
      </c>
      <c r="I79" s="3">
        <f ca="1"/>
        <v>4246820</v>
      </c>
      <c r="J79" s="3">
        <f ca="1"/>
        <v>11288.62355</v>
      </c>
      <c r="K79" s="3">
        <f ca="1"/>
        <v>1372792607.6136215</v>
      </c>
    </row>
    <row r="80" spans="1:11" x14ac:dyDescent="0.3">
      <c r="A80" s="10">
        <f ca="1"/>
        <v>45932.229166666664</v>
      </c>
      <c r="B80" s="12">
        <f ca="1"/>
        <v>118594.99</v>
      </c>
      <c r="C80" s="12">
        <f ca="1"/>
        <v>121022.07</v>
      </c>
      <c r="D80" s="12">
        <f ca="1"/>
        <v>118279.31</v>
      </c>
      <c r="E80" s="12">
        <f ca="1"/>
        <v>120529.35</v>
      </c>
      <c r="F80" s="3">
        <f ca="1"/>
        <v>19670.835029999998</v>
      </c>
      <c r="G80" s="10">
        <f ca="1"/>
        <v>45933.229166655095</v>
      </c>
      <c r="H80" s="3">
        <f ca="1"/>
        <v>2349861127.3445807</v>
      </c>
      <c r="I80" s="3">
        <f ca="1"/>
        <v>3472073</v>
      </c>
      <c r="J80" s="3">
        <f ca="1"/>
        <v>9753.0784800000001</v>
      </c>
      <c r="K80" s="3">
        <f ca="1"/>
        <v>1164986423.9898076</v>
      </c>
    </row>
    <row r="81" spans="1:11" x14ac:dyDescent="0.3">
      <c r="A81" s="10">
        <f ca="1"/>
        <v>45931.229166666664</v>
      </c>
      <c r="B81" s="12">
        <f ca="1"/>
        <v>114048.94</v>
      </c>
      <c r="C81" s="12">
        <f ca="1"/>
        <v>118649.1</v>
      </c>
      <c r="D81" s="12">
        <f ca="1"/>
        <v>113966.67</v>
      </c>
      <c r="E81" s="12">
        <f ca="1"/>
        <v>118594.99</v>
      </c>
      <c r="F81" s="3">
        <f ca="1"/>
        <v>20036.39516</v>
      </c>
      <c r="G81" s="10">
        <f ca="1"/>
        <v>45932.229166655095</v>
      </c>
      <c r="H81" s="3">
        <f ca="1"/>
        <v>2332096981.2659335</v>
      </c>
      <c r="I81" s="3">
        <f ca="1"/>
        <v>3430343</v>
      </c>
      <c r="J81" s="3">
        <f ca="1"/>
        <v>10071.040919999999</v>
      </c>
      <c r="K81" s="3">
        <f ca="1"/>
        <v>1172422657.4065175</v>
      </c>
    </row>
    <row r="82" spans="1:11" x14ac:dyDescent="0.3">
      <c r="A82" s="10">
        <f ca="1"/>
        <v>45930.229166666664</v>
      </c>
      <c r="B82" s="12">
        <f ca="1"/>
        <v>114311.97</v>
      </c>
      <c r="C82" s="12">
        <f ca="1"/>
        <v>114792</v>
      </c>
      <c r="D82" s="12">
        <f ca="1"/>
        <v>112656.27</v>
      </c>
      <c r="E82" s="12">
        <f ca="1"/>
        <v>114048.93</v>
      </c>
      <c r="F82" s="3">
        <f ca="1"/>
        <v>15044.15633</v>
      </c>
      <c r="G82" s="10">
        <f ca="1"/>
        <v>45931.229166655095</v>
      </c>
      <c r="H82" s="3">
        <f ca="1"/>
        <v>1710713267.1300955</v>
      </c>
      <c r="I82" s="3">
        <f ca="1"/>
        <v>3018331</v>
      </c>
      <c r="J82" s="3">
        <f ca="1"/>
        <v>7185.7215399999995</v>
      </c>
      <c r="K82" s="3">
        <f ca="1"/>
        <v>817044461.27018154</v>
      </c>
    </row>
    <row r="83" spans="1:11" x14ac:dyDescent="0.3">
      <c r="A83" s="10">
        <f ca="1"/>
        <v>45929.229166666664</v>
      </c>
      <c r="B83" s="12">
        <f ca="1"/>
        <v>112163.96</v>
      </c>
      <c r="C83" s="12">
        <f ca="1"/>
        <v>114400</v>
      </c>
      <c r="D83" s="12">
        <f ca="1"/>
        <v>111560.65</v>
      </c>
      <c r="E83" s="12">
        <f ca="1"/>
        <v>114311.96</v>
      </c>
      <c r="F83" s="3">
        <f ca="1"/>
        <v>15541.12005</v>
      </c>
      <c r="G83" s="10">
        <f ca="1"/>
        <v>45930.229166655095</v>
      </c>
      <c r="H83" s="3">
        <f ca="1"/>
        <v>1755247635.871136</v>
      </c>
      <c r="I83" s="3">
        <f ca="1"/>
        <v>2442653</v>
      </c>
      <c r="J83" s="3">
        <f ca="1"/>
        <v>7836.68768</v>
      </c>
      <c r="K83" s="3">
        <f ca="1"/>
        <v>884934987.568753</v>
      </c>
    </row>
    <row r="84" spans="1:11" x14ac:dyDescent="0.3">
      <c r="A84" s="10">
        <f ca="1"/>
        <v>45928.229166666664</v>
      </c>
      <c r="B84" s="12">
        <f ca="1"/>
        <v>109635.85</v>
      </c>
      <c r="C84" s="12">
        <f ca="1"/>
        <v>112350</v>
      </c>
      <c r="D84" s="12">
        <f ca="1"/>
        <v>109189.99</v>
      </c>
      <c r="E84" s="12">
        <f ca="1"/>
        <v>112163.95</v>
      </c>
      <c r="F84" s="3">
        <f ca="1"/>
        <v>7542.3316000000004</v>
      </c>
      <c r="G84" s="10">
        <f ca="1"/>
        <v>45929.229166655095</v>
      </c>
      <c r="H84" s="3">
        <f ca="1"/>
        <v>832254944.32033527</v>
      </c>
      <c r="I84" s="3">
        <f ca="1"/>
        <v>1484866</v>
      </c>
      <c r="J84" s="3">
        <f ca="1"/>
        <v>3781.8760600000001</v>
      </c>
      <c r="K84" s="3">
        <f ca="1"/>
        <v>417495757.16935003</v>
      </c>
    </row>
    <row r="85" spans="1:11" x14ac:dyDescent="0.3">
      <c r="A85" s="10">
        <f ca="1"/>
        <v>45927.229166666664</v>
      </c>
      <c r="B85" s="12">
        <f ca="1"/>
        <v>109643.46</v>
      </c>
      <c r="C85" s="12">
        <f ca="1"/>
        <v>109743.91</v>
      </c>
      <c r="D85" s="12">
        <f ca="1"/>
        <v>109064.4</v>
      </c>
      <c r="E85" s="12">
        <f ca="1"/>
        <v>109635.85</v>
      </c>
      <c r="F85" s="3">
        <f ca="1"/>
        <v>5501.7864300000001</v>
      </c>
      <c r="G85" s="10">
        <f ca="1"/>
        <v>45928.229166655095</v>
      </c>
      <c r="H85" s="3">
        <f ca="1"/>
        <v>601947588.99707651</v>
      </c>
      <c r="I85" s="3">
        <f ca="1"/>
        <v>919594</v>
      </c>
      <c r="J85" s="3">
        <f ca="1"/>
        <v>2523.2588599999999</v>
      </c>
      <c r="K85" s="3">
        <f ca="1"/>
        <v>276080500.9941954</v>
      </c>
    </row>
    <row r="86" spans="1:11" x14ac:dyDescent="0.3">
      <c r="A86" s="10">
        <f ca="1"/>
        <v>45926.229166666664</v>
      </c>
      <c r="B86" s="12">
        <f ca="1"/>
        <v>108994.49</v>
      </c>
      <c r="C86" s="12">
        <f ca="1"/>
        <v>110300</v>
      </c>
      <c r="D86" s="12">
        <f ca="1"/>
        <v>108620.07</v>
      </c>
      <c r="E86" s="12">
        <f ca="1"/>
        <v>109643.46</v>
      </c>
      <c r="F86" s="3">
        <f ca="1"/>
        <v>14243.01591</v>
      </c>
      <c r="G86" s="10">
        <f ca="1"/>
        <v>45927.229166655095</v>
      </c>
      <c r="H86" s="3">
        <f ca="1"/>
        <v>1557098915.9392595</v>
      </c>
      <c r="I86" s="3">
        <f ca="1"/>
        <v>3257155</v>
      </c>
      <c r="J86" s="3">
        <f ca="1"/>
        <v>6978.2903299999998</v>
      </c>
      <c r="K86" s="3">
        <f ca="1"/>
        <v>762955442.75240004</v>
      </c>
    </row>
    <row r="87" spans="1:11" x14ac:dyDescent="0.3">
      <c r="A87" s="10">
        <f ca="1"/>
        <v>45925.229166666664</v>
      </c>
      <c r="B87" s="12">
        <f ca="1"/>
        <v>113307.01</v>
      </c>
      <c r="C87" s="12">
        <f ca="1"/>
        <v>113510.23</v>
      </c>
      <c r="D87" s="12">
        <f ca="1"/>
        <v>108631.51</v>
      </c>
      <c r="E87" s="12">
        <f ca="1"/>
        <v>108994.49</v>
      </c>
      <c r="F87" s="3">
        <f ca="1"/>
        <v>21231.149570000001</v>
      </c>
      <c r="G87" s="10">
        <f ca="1"/>
        <v>45926.229166655095</v>
      </c>
      <c r="H87" s="3">
        <f ca="1"/>
        <v>2356639689.9252148</v>
      </c>
      <c r="I87" s="3">
        <f ca="1"/>
        <v>4409953</v>
      </c>
      <c r="J87" s="3">
        <f ca="1"/>
        <v>9511.0793699999995</v>
      </c>
      <c r="K87" s="3">
        <f ca="1"/>
        <v>1055527535.7684447</v>
      </c>
    </row>
    <row r="88" spans="1:11" x14ac:dyDescent="0.3">
      <c r="A88" s="10">
        <f ca="1"/>
        <v>45924.229166666664</v>
      </c>
      <c r="B88" s="12">
        <f ca="1"/>
        <v>111998.8</v>
      </c>
      <c r="C88" s="12">
        <f ca="1"/>
        <v>113940</v>
      </c>
      <c r="D88" s="12">
        <f ca="1"/>
        <v>111042.66</v>
      </c>
      <c r="E88" s="12">
        <f ca="1"/>
        <v>113307</v>
      </c>
      <c r="F88" s="3">
        <f ca="1"/>
        <v>12369.259669999999</v>
      </c>
      <c r="G88" s="10">
        <f ca="1"/>
        <v>45925.229166655095</v>
      </c>
      <c r="H88" s="3">
        <f ca="1"/>
        <v>1394470628.5025821</v>
      </c>
      <c r="I88" s="3">
        <f ca="1"/>
        <v>2229837</v>
      </c>
      <c r="J88" s="3">
        <f ca="1"/>
        <v>6100.6948700000003</v>
      </c>
      <c r="K88" s="3">
        <f ca="1"/>
        <v>687826281.22047698</v>
      </c>
    </row>
    <row r="89" spans="1:11" x14ac:dyDescent="0.3">
      <c r="A89" s="10">
        <f ca="1"/>
        <v>45923.229166666664</v>
      </c>
      <c r="B89" s="12">
        <f ca="1"/>
        <v>112650.99</v>
      </c>
      <c r="C89" s="12">
        <f ca="1"/>
        <v>113290.5</v>
      </c>
      <c r="D89" s="12">
        <f ca="1"/>
        <v>111458.73</v>
      </c>
      <c r="E89" s="12">
        <f ca="1"/>
        <v>111998.8</v>
      </c>
      <c r="F89" s="3">
        <f ca="1"/>
        <v>12301.320299999999</v>
      </c>
      <c r="G89" s="10">
        <f ca="1"/>
        <v>45924.229166655095</v>
      </c>
      <c r="H89" s="3">
        <f ca="1"/>
        <v>1383869800.2737031</v>
      </c>
      <c r="I89" s="3">
        <f ca="1"/>
        <v>2455729</v>
      </c>
      <c r="J89" s="3">
        <f ca="1"/>
        <v>5543.3608999999997</v>
      </c>
      <c r="K89" s="3">
        <f ca="1"/>
        <v>623665658.72003281</v>
      </c>
    </row>
    <row r="90" spans="1:11" x14ac:dyDescent="0.3">
      <c r="A90" s="10">
        <f ca="1"/>
        <v>45922.229166666664</v>
      </c>
      <c r="B90" s="12">
        <f ca="1"/>
        <v>115232.29</v>
      </c>
      <c r="C90" s="12">
        <f ca="1"/>
        <v>115379.25</v>
      </c>
      <c r="D90" s="12">
        <f ca="1"/>
        <v>111800</v>
      </c>
      <c r="E90" s="12">
        <f ca="1"/>
        <v>112650.99</v>
      </c>
      <c r="F90" s="3">
        <f ca="1"/>
        <v>20781.71356</v>
      </c>
      <c r="G90" s="10">
        <f ca="1"/>
        <v>45923.229166655095</v>
      </c>
      <c r="H90" s="3">
        <f ca="1"/>
        <v>2348872511.698875</v>
      </c>
      <c r="I90" s="3">
        <f ca="1"/>
        <v>3045876</v>
      </c>
      <c r="J90" s="3">
        <f ca="1"/>
        <v>9312.3577700000005</v>
      </c>
      <c r="K90" s="3">
        <f ca="1"/>
        <v>1052684266.8981876</v>
      </c>
    </row>
    <row r="91" spans="1:11" x14ac:dyDescent="0.3">
      <c r="A91" s="10">
        <f ca="1"/>
        <v>45921.229166666664</v>
      </c>
      <c r="B91" s="12">
        <f ca="1"/>
        <v>115685.63</v>
      </c>
      <c r="C91" s="12">
        <f ca="1"/>
        <v>115819.06</v>
      </c>
      <c r="D91" s="12">
        <f ca="1"/>
        <v>115188</v>
      </c>
      <c r="E91" s="12">
        <f ca="1"/>
        <v>115232.29</v>
      </c>
      <c r="F91" s="3">
        <f ca="1"/>
        <v>4511.5221899999997</v>
      </c>
      <c r="G91" s="10">
        <f ca="1"/>
        <v>45922.229166655095</v>
      </c>
      <c r="H91" s="3">
        <f ca="1"/>
        <v>521299751.15040958</v>
      </c>
      <c r="I91" s="3">
        <f ca="1"/>
        <v>945965</v>
      </c>
      <c r="J91" s="3">
        <f ca="1"/>
        <v>2016.72489</v>
      </c>
      <c r="K91" s="3">
        <f ca="1"/>
        <v>233031538.74699309</v>
      </c>
    </row>
    <row r="92" spans="1:11" x14ac:dyDescent="0.3">
      <c r="A92" s="10">
        <f ca="1"/>
        <v>45920.229166666664</v>
      </c>
      <c r="B92" s="12">
        <f ca="1"/>
        <v>115632.39</v>
      </c>
      <c r="C92" s="12">
        <f ca="1"/>
        <v>116121.81</v>
      </c>
      <c r="D92" s="12">
        <f ca="1"/>
        <v>115408.47</v>
      </c>
      <c r="E92" s="12">
        <f ca="1"/>
        <v>115685.63</v>
      </c>
      <c r="F92" s="3">
        <f ca="1"/>
        <v>4674.9275200000002</v>
      </c>
      <c r="G92" s="10">
        <f ca="1"/>
        <v>45921.229166655095</v>
      </c>
      <c r="H92" s="3">
        <f ca="1"/>
        <v>541264273.24168944</v>
      </c>
      <c r="I92" s="3">
        <f ca="1"/>
        <v>740451</v>
      </c>
      <c r="J92" s="3">
        <f ca="1"/>
        <v>2276.1648300000002</v>
      </c>
      <c r="K92" s="3">
        <f ca="1"/>
        <v>263511469.8432588</v>
      </c>
    </row>
    <row r="93" spans="1:11" x14ac:dyDescent="0.3">
      <c r="A93" s="10">
        <f ca="1"/>
        <v>45919.229166666664</v>
      </c>
      <c r="B93" s="12">
        <f ca="1"/>
        <v>117073.53</v>
      </c>
      <c r="C93" s="12">
        <f ca="1"/>
        <v>117459.99</v>
      </c>
      <c r="D93" s="12">
        <f ca="1"/>
        <v>115100</v>
      </c>
      <c r="E93" s="12">
        <f ca="1"/>
        <v>115632.38</v>
      </c>
      <c r="F93" s="3">
        <f ca="1"/>
        <v>8992.0906500000001</v>
      </c>
      <c r="G93" s="10">
        <f ca="1"/>
        <v>45920.229166655095</v>
      </c>
      <c r="H93" s="3">
        <f ca="1"/>
        <v>1045792401.4532388</v>
      </c>
      <c r="I93" s="3">
        <f ca="1"/>
        <v>1732471</v>
      </c>
      <c r="J93" s="3">
        <f ca="1"/>
        <v>4020.8148299999998</v>
      </c>
      <c r="K93" s="3">
        <f ca="1"/>
        <v>467345983.07867992</v>
      </c>
    </row>
    <row r="94" spans="1:11" x14ac:dyDescent="0.3">
      <c r="A94" s="10">
        <f ca="1"/>
        <v>45918.229166666664</v>
      </c>
      <c r="B94" s="12">
        <f ca="1"/>
        <v>116447.6</v>
      </c>
      <c r="C94" s="12">
        <f ca="1"/>
        <v>117900</v>
      </c>
      <c r="D94" s="12">
        <f ca="1"/>
        <v>116092.76</v>
      </c>
      <c r="E94" s="12">
        <f ca="1"/>
        <v>117073.53</v>
      </c>
      <c r="F94" s="3">
        <f ca="1"/>
        <v>11657.23365</v>
      </c>
      <c r="G94" s="10">
        <f ca="1"/>
        <v>45919.229166655095</v>
      </c>
      <c r="H94" s="3">
        <f ca="1"/>
        <v>1367513347.4865093</v>
      </c>
      <c r="I94" s="3">
        <f ca="1"/>
        <v>2252654</v>
      </c>
      <c r="J94" s="3">
        <f ca="1"/>
        <v>5717.3453799999997</v>
      </c>
      <c r="K94" s="3">
        <f ca="1"/>
        <v>670700552.93472767</v>
      </c>
    </row>
    <row r="95" spans="1:11" x14ac:dyDescent="0.3">
      <c r="A95" s="10">
        <f ca="1"/>
        <v>45917.229166666664</v>
      </c>
      <c r="B95" s="12">
        <f ca="1"/>
        <v>116788.96</v>
      </c>
      <c r="C95" s="12">
        <f ca="1"/>
        <v>117286.73</v>
      </c>
      <c r="D95" s="12">
        <f ca="1"/>
        <v>114720.81</v>
      </c>
      <c r="E95" s="12">
        <f ca="1"/>
        <v>116447.59</v>
      </c>
      <c r="F95" s="3">
        <f ca="1"/>
        <v>16754.2454</v>
      </c>
      <c r="G95" s="10">
        <f ca="1"/>
        <v>45918.229166655095</v>
      </c>
      <c r="H95" s="3">
        <f ca="1"/>
        <v>1946083704.6217456</v>
      </c>
      <c r="I95" s="3">
        <f ca="1"/>
        <v>3227418</v>
      </c>
      <c r="J95" s="3">
        <f ca="1"/>
        <v>7975.0019000000002</v>
      </c>
      <c r="K95" s="3">
        <f ca="1"/>
        <v>926282110.83307898</v>
      </c>
    </row>
    <row r="96" spans="1:11" x14ac:dyDescent="0.3">
      <c r="A96" s="10">
        <f ca="1"/>
        <v>45916.229166666664</v>
      </c>
      <c r="B96" s="12">
        <f ca="1"/>
        <v>115349.71</v>
      </c>
      <c r="C96" s="12">
        <f ca="1"/>
        <v>116964.27</v>
      </c>
      <c r="D96" s="12">
        <f ca="1"/>
        <v>114737.11</v>
      </c>
      <c r="E96" s="12">
        <f ca="1"/>
        <v>116788.96</v>
      </c>
      <c r="F96" s="3">
        <f ca="1"/>
        <v>10926.9094</v>
      </c>
      <c r="G96" s="10">
        <f ca="1"/>
        <v>45917.229166655095</v>
      </c>
      <c r="H96" s="3">
        <f ca="1"/>
        <v>1265779287.5169268</v>
      </c>
      <c r="I96" s="3">
        <f ca="1"/>
        <v>2047058</v>
      </c>
      <c r="J96" s="3">
        <f ca="1"/>
        <v>5292.1836499999999</v>
      </c>
      <c r="K96" s="3">
        <f ca="1"/>
        <v>613182568.99191844</v>
      </c>
    </row>
    <row r="97" spans="1:11" x14ac:dyDescent="0.3">
      <c r="A97" s="10">
        <f ca="1"/>
        <v>45915.229166666664</v>
      </c>
      <c r="B97" s="12">
        <f ca="1"/>
        <v>115268.01</v>
      </c>
      <c r="C97" s="12">
        <f ca="1"/>
        <v>116757.99</v>
      </c>
      <c r="D97" s="12">
        <f ca="1"/>
        <v>114384</v>
      </c>
      <c r="E97" s="12">
        <f ca="1"/>
        <v>115349.71</v>
      </c>
      <c r="F97" s="3">
        <f ca="1"/>
        <v>13212.511490000001</v>
      </c>
      <c r="G97" s="10">
        <f ca="1"/>
        <v>45916.229166655095</v>
      </c>
      <c r="H97" s="3">
        <f ca="1"/>
        <v>1522648235.2235153</v>
      </c>
      <c r="I97" s="3">
        <f ca="1"/>
        <v>2857989</v>
      </c>
      <c r="J97" s="3">
        <f ca="1"/>
        <v>6621.3635999999997</v>
      </c>
      <c r="K97" s="3">
        <f ca="1"/>
        <v>763138585.68502486</v>
      </c>
    </row>
    <row r="98" spans="1:11" x14ac:dyDescent="0.3">
      <c r="A98" s="10">
        <f ca="1"/>
        <v>45914.229166666664</v>
      </c>
      <c r="B98" s="12">
        <f ca="1"/>
        <v>115918.29</v>
      </c>
      <c r="C98" s="12">
        <f ca="1"/>
        <v>116165.19</v>
      </c>
      <c r="D98" s="12">
        <f ca="1"/>
        <v>115135</v>
      </c>
      <c r="E98" s="12">
        <f ca="1"/>
        <v>115268.01</v>
      </c>
      <c r="F98" s="3">
        <f ca="1"/>
        <v>6707.6019699999997</v>
      </c>
      <c r="G98" s="10">
        <f ca="1"/>
        <v>45915.229166655095</v>
      </c>
      <c r="H98" s="3">
        <f ca="1"/>
        <v>775762364.96859908</v>
      </c>
      <c r="I98" s="3">
        <f ca="1"/>
        <v>1237218</v>
      </c>
      <c r="J98" s="3">
        <f ca="1"/>
        <v>3406.9077699999998</v>
      </c>
      <c r="K98" s="3">
        <f ca="1"/>
        <v>393977059.30354208</v>
      </c>
    </row>
    <row r="99" spans="1:11" x14ac:dyDescent="0.3">
      <c r="A99" s="10">
        <f ca="1"/>
        <v>45913.229166666664</v>
      </c>
      <c r="B99" s="12">
        <f ca="1"/>
        <v>116029.41</v>
      </c>
      <c r="C99" s="12">
        <f ca="1"/>
        <v>116298.78</v>
      </c>
      <c r="D99" s="12">
        <f ca="1"/>
        <v>115127.27</v>
      </c>
      <c r="E99" s="12">
        <f ca="1"/>
        <v>115918.29</v>
      </c>
      <c r="F99" s="3">
        <f ca="1"/>
        <v>8269.4039400000001</v>
      </c>
      <c r="G99" s="10">
        <f ca="1"/>
        <v>45914.229166655095</v>
      </c>
      <c r="H99" s="3">
        <f ca="1"/>
        <v>957724220.64976108</v>
      </c>
      <c r="I99" s="3">
        <f ca="1"/>
        <v>1223635</v>
      </c>
      <c r="J99" s="3">
        <f ca="1"/>
        <v>3590.0935899999999</v>
      </c>
      <c r="K99" s="3">
        <f ca="1"/>
        <v>415773029.43935269</v>
      </c>
    </row>
    <row r="100" spans="1:11" x14ac:dyDescent="0.3">
      <c r="A100" s="10">
        <f ca="1"/>
        <v>45912.229166666664</v>
      </c>
      <c r="B100" s="12">
        <f ca="1"/>
        <v>115482.69</v>
      </c>
      <c r="C100" s="12">
        <f ca="1"/>
        <v>116665.63</v>
      </c>
      <c r="D100" s="12">
        <f ca="1"/>
        <v>114740.99</v>
      </c>
      <c r="E100" s="12">
        <f ca="1"/>
        <v>116029.42</v>
      </c>
      <c r="F100" s="3">
        <f ca="1"/>
        <v>15324.107190000001</v>
      </c>
      <c r="G100" s="10">
        <f ca="1"/>
        <v>45913.229166655095</v>
      </c>
      <c r="H100" s="3">
        <f ca="1"/>
        <v>1772122269.5018635</v>
      </c>
      <c r="I100" s="3">
        <f ca="1"/>
        <v>2481491</v>
      </c>
      <c r="J100" s="3">
        <f ca="1"/>
        <v>7995.57276</v>
      </c>
      <c r="K100" s="3">
        <f ca="1"/>
        <v>924775389.85693955</v>
      </c>
    </row>
    <row r="101" spans="1:11" x14ac:dyDescent="0.3">
      <c r="A101" s="10">
        <f ca="1"/>
        <v>45911.229166666664</v>
      </c>
      <c r="B101" s="12">
        <f ca="1"/>
        <v>113960</v>
      </c>
      <c r="C101" s="12">
        <f ca="1"/>
        <v>115488.09</v>
      </c>
      <c r="D101" s="12">
        <f ca="1"/>
        <v>113430</v>
      </c>
      <c r="E101" s="12">
        <f ca="1"/>
        <v>115482.69</v>
      </c>
      <c r="F101" s="3">
        <f ca="1"/>
        <v>13676.73119</v>
      </c>
      <c r="G101" s="10">
        <f ca="1"/>
        <v>45912.229166655095</v>
      </c>
      <c r="H101" s="3">
        <f ca="1"/>
        <v>1562241144.9565411</v>
      </c>
      <c r="I101" s="3">
        <f ca="1"/>
        <v>2166359</v>
      </c>
      <c r="J101" s="3">
        <f ca="1"/>
        <v>6744.2999300000001</v>
      </c>
      <c r="K101" s="3">
        <f ca="1"/>
        <v>770595422.69052136</v>
      </c>
    </row>
    <row r="102" spans="1:11" x14ac:dyDescent="0.3">
      <c r="A102" s="10">
        <f ca="1"/>
        <v>45910.229166666664</v>
      </c>
      <c r="B102" s="12">
        <f ca="1"/>
        <v>111546.38</v>
      </c>
      <c r="C102" s="12">
        <f ca="1"/>
        <v>114313.13</v>
      </c>
      <c r="D102" s="12">
        <f ca="1"/>
        <v>110917.45</v>
      </c>
      <c r="E102" s="12">
        <f ca="1"/>
        <v>113960</v>
      </c>
      <c r="F102" s="3">
        <f ca="1"/>
        <v>17517.418229999999</v>
      </c>
      <c r="G102" s="10">
        <f ca="1"/>
        <v>45911.229166655095</v>
      </c>
      <c r="H102" s="3">
        <f ca="1"/>
        <v>1978834750.2223115</v>
      </c>
      <c r="I102" s="3">
        <f ca="1"/>
        <v>2182534</v>
      </c>
      <c r="J102" s="3">
        <f ca="1"/>
        <v>8274.6399799999999</v>
      </c>
      <c r="K102" s="3">
        <f ca="1"/>
        <v>934646697.48233235</v>
      </c>
    </row>
    <row r="103" spans="1:11" x14ac:dyDescent="0.3">
      <c r="A103" s="10">
        <f ca="1"/>
        <v>45909.229166666664</v>
      </c>
      <c r="B103" s="12">
        <f ca="1"/>
        <v>112065.23</v>
      </c>
      <c r="C103" s="12">
        <f ca="1"/>
        <v>113293.29</v>
      </c>
      <c r="D103" s="12">
        <f ca="1"/>
        <v>110766.66</v>
      </c>
      <c r="E103" s="12">
        <f ca="1"/>
        <v>111546.39</v>
      </c>
      <c r="F103" s="3">
        <f ca="1"/>
        <v>15379.28248</v>
      </c>
      <c r="G103" s="10">
        <f ca="1"/>
        <v>45910.229166655095</v>
      </c>
      <c r="H103" s="3">
        <f ca="1"/>
        <v>1721465997.9063661</v>
      </c>
      <c r="I103" s="3">
        <f ca="1"/>
        <v>2143242</v>
      </c>
      <c r="J103" s="3">
        <f ca="1"/>
        <v>7597.3803799999996</v>
      </c>
      <c r="K103" s="3">
        <f ca="1"/>
        <v>849973176.17756844</v>
      </c>
    </row>
    <row r="104" spans="1:11" x14ac:dyDescent="0.3">
      <c r="A104" s="10">
        <f ca="1"/>
        <v>45908.229166666664</v>
      </c>
      <c r="B104" s="12">
        <f ca="1"/>
        <v>111137.35</v>
      </c>
      <c r="C104" s="12">
        <f ca="1"/>
        <v>112924.37</v>
      </c>
      <c r="D104" s="12">
        <f ca="1"/>
        <v>110621.78</v>
      </c>
      <c r="E104" s="12">
        <f ca="1"/>
        <v>112065.23</v>
      </c>
      <c r="F104" s="3">
        <f ca="1"/>
        <v>11582.402110000001</v>
      </c>
      <c r="G104" s="10">
        <f ca="1"/>
        <v>45909.229166655095</v>
      </c>
      <c r="H104" s="3">
        <f ca="1"/>
        <v>1295903862.4649603</v>
      </c>
      <c r="I104" s="3">
        <f ca="1"/>
        <v>1744598</v>
      </c>
      <c r="J104" s="3">
        <f ca="1"/>
        <v>5531.6596900000004</v>
      </c>
      <c r="K104" s="3">
        <f ca="1"/>
        <v>618773275.35763073</v>
      </c>
    </row>
    <row r="105" spans="1:11" x14ac:dyDescent="0.3">
      <c r="A105" s="10">
        <f ca="1"/>
        <v>45907.229166666664</v>
      </c>
      <c r="B105" s="12">
        <f ca="1"/>
        <v>110187.98</v>
      </c>
      <c r="C105" s="12">
        <f ca="1"/>
        <v>111600</v>
      </c>
      <c r="D105" s="12">
        <f ca="1"/>
        <v>110180</v>
      </c>
      <c r="E105" s="12">
        <f ca="1"/>
        <v>111137.34</v>
      </c>
      <c r="F105" s="3">
        <f ca="1"/>
        <v>5681.2994399999998</v>
      </c>
      <c r="G105" s="10">
        <f ca="1"/>
        <v>45908.229166655095</v>
      </c>
      <c r="H105" s="3">
        <f ca="1"/>
        <v>630447950.15886891</v>
      </c>
      <c r="I105" s="3">
        <f ca="1"/>
        <v>874961</v>
      </c>
      <c r="J105" s="3">
        <f ca="1"/>
        <v>2570.8519900000001</v>
      </c>
      <c r="K105" s="3">
        <f ca="1"/>
        <v>285303923.54046232</v>
      </c>
    </row>
    <row r="106" spans="1:11" x14ac:dyDescent="0.3">
      <c r="A106" s="10">
        <f ca="1"/>
        <v>45906.229166666664</v>
      </c>
      <c r="B106" s="12">
        <f ca="1"/>
        <v>110660</v>
      </c>
      <c r="C106" s="12">
        <f ca="1"/>
        <v>111307.7</v>
      </c>
      <c r="D106" s="12">
        <f ca="1"/>
        <v>109977</v>
      </c>
      <c r="E106" s="12">
        <f ca="1"/>
        <v>110187.97</v>
      </c>
      <c r="F106" s="3">
        <f ca="1"/>
        <v>5000.2989699999998</v>
      </c>
      <c r="G106" s="10">
        <f ca="1"/>
        <v>45907.229166655095</v>
      </c>
      <c r="H106" s="3">
        <f ca="1"/>
        <v>552785936.54346991</v>
      </c>
      <c r="I106" s="3">
        <f ca="1"/>
        <v>795201</v>
      </c>
      <c r="J106" s="3">
        <f ca="1"/>
        <v>2308.8329699999999</v>
      </c>
      <c r="K106" s="3">
        <f ca="1"/>
        <v>255237426.94601101</v>
      </c>
    </row>
    <row r="107" spans="1:11" x14ac:dyDescent="0.3">
      <c r="A107" s="10">
        <f ca="1"/>
        <v>45905.229166666664</v>
      </c>
      <c r="B107" s="12">
        <f ca="1"/>
        <v>110730.87</v>
      </c>
      <c r="C107" s="12">
        <f ca="1"/>
        <v>113384.62</v>
      </c>
      <c r="D107" s="12">
        <f ca="1"/>
        <v>110206.96</v>
      </c>
      <c r="E107" s="12">
        <f ca="1"/>
        <v>110659.99</v>
      </c>
      <c r="F107" s="3">
        <f ca="1"/>
        <v>21587.408879999999</v>
      </c>
      <c r="G107" s="10">
        <f ca="1"/>
        <v>45906.229166655095</v>
      </c>
      <c r="H107" s="3">
        <f ca="1"/>
        <v>2413132200.6233249</v>
      </c>
      <c r="I107" s="3">
        <f ca="1"/>
        <v>2970419</v>
      </c>
      <c r="J107" s="3">
        <f ca="1"/>
        <v>10787.81127</v>
      </c>
      <c r="K107" s="3">
        <f ca="1"/>
        <v>1206066261.227201</v>
      </c>
    </row>
    <row r="108" spans="1:11" x14ac:dyDescent="0.3">
      <c r="A108" s="10">
        <f ca="1"/>
        <v>45904.229166666664</v>
      </c>
      <c r="B108" s="12">
        <f ca="1"/>
        <v>111705.72</v>
      </c>
      <c r="C108" s="12">
        <f ca="1"/>
        <v>112180</v>
      </c>
      <c r="D108" s="12">
        <f ca="1"/>
        <v>109329.12</v>
      </c>
      <c r="E108" s="12">
        <f ca="1"/>
        <v>110730.87</v>
      </c>
      <c r="F108" s="3">
        <f ca="1"/>
        <v>12203.13536</v>
      </c>
      <c r="G108" s="10">
        <f ca="1"/>
        <v>45905.229166655095</v>
      </c>
      <c r="H108" s="3">
        <f ca="1"/>
        <v>1349031325.5320847</v>
      </c>
      <c r="I108" s="3">
        <f ca="1"/>
        <v>2230255</v>
      </c>
      <c r="J108" s="3">
        <f ca="1"/>
        <v>6070.7815099999998</v>
      </c>
      <c r="K108" s="3">
        <f ca="1"/>
        <v>670681185.82571006</v>
      </c>
    </row>
    <row r="109" spans="1:11" x14ac:dyDescent="0.3">
      <c r="A109" s="10">
        <f ca="1"/>
        <v>45903.229166666664</v>
      </c>
      <c r="B109" s="12">
        <f ca="1"/>
        <v>111240.01</v>
      </c>
      <c r="C109" s="12">
        <f ca="1"/>
        <v>112575.27</v>
      </c>
      <c r="D109" s="12">
        <f ca="1"/>
        <v>110528.71</v>
      </c>
      <c r="E109" s="12">
        <f ca="1"/>
        <v>111705.71</v>
      </c>
      <c r="F109" s="3">
        <f ca="1"/>
        <v>11773.72084</v>
      </c>
      <c r="G109" s="10">
        <f ca="1"/>
        <v>45904.229166655095</v>
      </c>
      <c r="H109" s="3">
        <f ca="1"/>
        <v>1313762617.3436644</v>
      </c>
      <c r="I109" s="3">
        <f ca="1"/>
        <v>2214249</v>
      </c>
      <c r="J109" s="3">
        <f ca="1"/>
        <v>5539.2946199999997</v>
      </c>
      <c r="K109" s="3">
        <f ca="1"/>
        <v>618293676.50751793</v>
      </c>
    </row>
    <row r="110" spans="1:11" x14ac:dyDescent="0.3">
      <c r="A110" s="10">
        <f ca="1"/>
        <v>45902.229166666664</v>
      </c>
      <c r="B110" s="12">
        <f ca="1"/>
        <v>109237.43</v>
      </c>
      <c r="C110" s="12">
        <f ca="1"/>
        <v>111771.52</v>
      </c>
      <c r="D110" s="12">
        <f ca="1"/>
        <v>108393.39</v>
      </c>
      <c r="E110" s="12">
        <f ca="1"/>
        <v>111240.01</v>
      </c>
      <c r="F110" s="3">
        <f ca="1"/>
        <v>18510.287560000001</v>
      </c>
      <c r="G110" s="10">
        <f ca="1"/>
        <v>45903.229166655095</v>
      </c>
      <c r="H110" s="3">
        <f ca="1"/>
        <v>2042681451.9016385</v>
      </c>
      <c r="I110" s="3">
        <f ca="1"/>
        <v>2596328</v>
      </c>
      <c r="J110" s="3">
        <f ca="1"/>
        <v>9088.7172699999992</v>
      </c>
      <c r="K110" s="3">
        <f ca="1"/>
        <v>1003032805.5367996</v>
      </c>
    </row>
    <row r="111" spans="1:11" x14ac:dyDescent="0.3">
      <c r="A111" s="10">
        <f ca="1"/>
        <v>45901.229166666664</v>
      </c>
      <c r="B111" s="12">
        <f ca="1"/>
        <v>108246.36</v>
      </c>
      <c r="C111" s="12">
        <f ca="1"/>
        <v>109912.4</v>
      </c>
      <c r="D111" s="12">
        <f ca="1"/>
        <v>107255</v>
      </c>
      <c r="E111" s="12">
        <f ca="1"/>
        <v>109237.42</v>
      </c>
      <c r="F111" s="3">
        <f ca="1"/>
        <v>16053.60219</v>
      </c>
      <c r="G111" s="10">
        <f ca="1"/>
        <v>45902.229166655095</v>
      </c>
      <c r="H111" s="3">
        <f ca="1"/>
        <v>1742516638.7811351</v>
      </c>
      <c r="I111" s="3">
        <f ca="1"/>
        <v>2729384</v>
      </c>
      <c r="J111" s="3">
        <f ca="1"/>
        <v>7532.9910099999997</v>
      </c>
      <c r="K111" s="3">
        <f ca="1"/>
        <v>817730948.98443341</v>
      </c>
    </row>
    <row r="112" spans="1:11" x14ac:dyDescent="0.3">
      <c r="A112" s="10">
        <f ca="1"/>
        <v>45900.229166666664</v>
      </c>
      <c r="B112" s="12">
        <f ca="1"/>
        <v>108816.33</v>
      </c>
      <c r="C112" s="12">
        <f ca="1"/>
        <v>109480.02</v>
      </c>
      <c r="D112" s="12">
        <f ca="1"/>
        <v>108076.93</v>
      </c>
      <c r="E112" s="12">
        <f ca="1"/>
        <v>108246.35</v>
      </c>
      <c r="F112" s="3">
        <f ca="1"/>
        <v>9489.5159600000006</v>
      </c>
      <c r="G112" s="10">
        <f ca="1"/>
        <v>45901.229166655095</v>
      </c>
      <c r="H112" s="3">
        <f ca="1"/>
        <v>1031806894.3513318</v>
      </c>
      <c r="I112" s="3">
        <f ca="1"/>
        <v>1366633</v>
      </c>
      <c r="J112" s="3">
        <f ca="1"/>
        <v>4573.6105799999996</v>
      </c>
      <c r="K112" s="3">
        <f ca="1"/>
        <v>497406888.16918832</v>
      </c>
    </row>
    <row r="113" spans="1:11" x14ac:dyDescent="0.3">
      <c r="A113" s="10">
        <f ca="1"/>
        <v>45899.229166666664</v>
      </c>
      <c r="B113" s="12">
        <f ca="1"/>
        <v>108377.4</v>
      </c>
      <c r="C113" s="12">
        <f ca="1"/>
        <v>108926.15</v>
      </c>
      <c r="D113" s="12">
        <f ca="1"/>
        <v>107350.1</v>
      </c>
      <c r="E113" s="12">
        <f ca="1"/>
        <v>108816.33</v>
      </c>
      <c r="F113" s="3">
        <f ca="1"/>
        <v>10708.391589999999</v>
      </c>
      <c r="G113" s="10">
        <f ca="1"/>
        <v>45900.229166655095</v>
      </c>
      <c r="H113" s="3">
        <f ca="1"/>
        <v>1160666772.7387524</v>
      </c>
      <c r="I113" s="3">
        <f ca="1"/>
        <v>1411040</v>
      </c>
      <c r="J113" s="3">
        <f ca="1"/>
        <v>5797.1778299999996</v>
      </c>
      <c r="K113" s="3">
        <f ca="1"/>
        <v>628457794.84340096</v>
      </c>
    </row>
    <row r="114" spans="1:11" x14ac:dyDescent="0.3">
      <c r="A114" s="10">
        <f ca="1"/>
        <v>45898.229166666664</v>
      </c>
      <c r="B114" s="12">
        <f ca="1"/>
        <v>112566.9</v>
      </c>
      <c r="C114" s="12">
        <f ca="1"/>
        <v>112638.64</v>
      </c>
      <c r="D114" s="12">
        <f ca="1"/>
        <v>107463.9</v>
      </c>
      <c r="E114" s="12">
        <f ca="1"/>
        <v>108377.4</v>
      </c>
      <c r="F114" s="3">
        <f ca="1"/>
        <v>22580.310450000001</v>
      </c>
      <c r="G114" s="10">
        <f ca="1"/>
        <v>45899.229166655095</v>
      </c>
      <c r="H114" s="3">
        <f ca="1"/>
        <v>2475492492.5775299</v>
      </c>
      <c r="I114" s="3">
        <f ca="1"/>
        <v>3606959</v>
      </c>
      <c r="J114" s="3">
        <f ca="1"/>
        <v>10616.35644</v>
      </c>
      <c r="K114" s="3">
        <f ca="1"/>
        <v>1164321513.1044571</v>
      </c>
    </row>
    <row r="115" spans="1:11" x14ac:dyDescent="0.3">
      <c r="A115" s="10">
        <f ca="1"/>
        <v>45897.229166666664</v>
      </c>
      <c r="B115" s="12">
        <f ca="1"/>
        <v>111262.01</v>
      </c>
      <c r="C115" s="12">
        <f ca="1"/>
        <v>113485.9</v>
      </c>
      <c r="D115" s="12">
        <f ca="1"/>
        <v>110862.42</v>
      </c>
      <c r="E115" s="12">
        <f ca="1"/>
        <v>112566.9</v>
      </c>
      <c r="F115" s="3">
        <f ca="1"/>
        <v>11104.27744</v>
      </c>
      <c r="G115" s="10">
        <f ca="1"/>
        <v>45898.229166655095</v>
      </c>
      <c r="H115" s="3">
        <f ca="1"/>
        <v>1250788481.9453218</v>
      </c>
      <c r="I115" s="3">
        <f ca="1"/>
        <v>2066780</v>
      </c>
      <c r="J115" s="3">
        <f ca="1"/>
        <v>5139.4650899999997</v>
      </c>
      <c r="K115" s="3">
        <f ca="1"/>
        <v>578866003.68381476</v>
      </c>
    </row>
    <row r="116" spans="1:11" x14ac:dyDescent="0.3">
      <c r="A116" s="10">
        <f ca="1"/>
        <v>45896.229166666664</v>
      </c>
      <c r="B116" s="12">
        <f ca="1"/>
        <v>111763.22</v>
      </c>
      <c r="C116" s="12">
        <f ca="1"/>
        <v>112625</v>
      </c>
      <c r="D116" s="12">
        <f ca="1"/>
        <v>110345.42</v>
      </c>
      <c r="E116" s="12">
        <f ca="1"/>
        <v>111262.01</v>
      </c>
      <c r="F116" s="3">
        <f ca="1"/>
        <v>13392.608749999999</v>
      </c>
      <c r="G116" s="10">
        <f ca="1"/>
        <v>45897.229166655095</v>
      </c>
      <c r="H116" s="3">
        <f ca="1"/>
        <v>1493774927.1908319</v>
      </c>
      <c r="I116" s="3">
        <f ca="1"/>
        <v>3111496</v>
      </c>
      <c r="J116" s="3">
        <f ca="1"/>
        <v>6261.8455000000004</v>
      </c>
      <c r="K116" s="3">
        <f ca="1"/>
        <v>698586344.17747962</v>
      </c>
    </row>
    <row r="117" spans="1:11" x14ac:dyDescent="0.3">
      <c r="A117" s="10">
        <f ca="1"/>
        <v>45895.229166666664</v>
      </c>
      <c r="B117" s="12">
        <f ca="1"/>
        <v>110111.98</v>
      </c>
      <c r="C117" s="12">
        <f ca="1"/>
        <v>112371</v>
      </c>
      <c r="D117" s="12">
        <f ca="1"/>
        <v>108666.66</v>
      </c>
      <c r="E117" s="12">
        <f ca="1"/>
        <v>111763.22</v>
      </c>
      <c r="F117" s="3">
        <f ca="1"/>
        <v>18452.438770000001</v>
      </c>
      <c r="G117" s="10">
        <f ca="1"/>
        <v>45896.229166655095</v>
      </c>
      <c r="H117" s="3">
        <f ca="1"/>
        <v>2033437347.4999392</v>
      </c>
      <c r="I117" s="3">
        <f ca="1"/>
        <v>4077474</v>
      </c>
      <c r="J117" s="3">
        <f ca="1"/>
        <v>9863.4315700000006</v>
      </c>
      <c r="K117" s="3">
        <f ca="1"/>
        <v>1087468493.5969639</v>
      </c>
    </row>
    <row r="118" spans="1:11" x14ac:dyDescent="0.3">
      <c r="A118" s="10">
        <f ca="1"/>
        <v>45894.229166666664</v>
      </c>
      <c r="B118" s="12">
        <f ca="1"/>
        <v>113493.59</v>
      </c>
      <c r="C118" s="12">
        <f ca="1"/>
        <v>113667.28</v>
      </c>
      <c r="D118" s="12">
        <f ca="1"/>
        <v>109274.1</v>
      </c>
      <c r="E118" s="12">
        <f ca="1"/>
        <v>110111.98</v>
      </c>
      <c r="F118" s="3">
        <f ca="1"/>
        <v>25182.79379</v>
      </c>
      <c r="G118" s="10">
        <f ca="1"/>
        <v>45895.229166655095</v>
      </c>
      <c r="H118" s="3">
        <f ca="1"/>
        <v>2805570653.6310229</v>
      </c>
      <c r="I118" s="3">
        <f ca="1"/>
        <v>4695718</v>
      </c>
      <c r="J118" s="3">
        <f ca="1"/>
        <v>11387.581700000001</v>
      </c>
      <c r="K118" s="3">
        <f ca="1"/>
        <v>1269662985.3441799</v>
      </c>
    </row>
    <row r="119" spans="1:11" x14ac:dyDescent="0.3">
      <c r="A119" s="10">
        <f ca="1"/>
        <v>45893.229166666664</v>
      </c>
      <c r="B119" s="12">
        <f ca="1"/>
        <v>115438.06</v>
      </c>
      <c r="C119" s="12">
        <f ca="1"/>
        <v>115666.68</v>
      </c>
      <c r="D119" s="12">
        <f ca="1"/>
        <v>110680</v>
      </c>
      <c r="E119" s="12">
        <f ca="1"/>
        <v>113493.59</v>
      </c>
      <c r="F119" s="3">
        <f ca="1"/>
        <v>21175.984619999999</v>
      </c>
      <c r="G119" s="10">
        <f ca="1"/>
        <v>45894.229166655095</v>
      </c>
      <c r="H119" s="3">
        <f ca="1"/>
        <v>2411284606.1891766</v>
      </c>
      <c r="I119" s="3">
        <f ca="1"/>
        <v>2573906</v>
      </c>
      <c r="J119" s="3">
        <f ca="1"/>
        <v>9325.0671000000002</v>
      </c>
      <c r="K119" s="3">
        <f ca="1"/>
        <v>1061855201.3343123</v>
      </c>
    </row>
    <row r="120" spans="1:11" x14ac:dyDescent="0.3">
      <c r="A120" s="10">
        <f ca="1"/>
        <v>45892.229166666664</v>
      </c>
      <c r="B120" s="12">
        <f ca="1"/>
        <v>116936</v>
      </c>
      <c r="C120" s="12">
        <f ca="1"/>
        <v>117030</v>
      </c>
      <c r="D120" s="12">
        <f ca="1"/>
        <v>114560</v>
      </c>
      <c r="E120" s="12">
        <f ca="1"/>
        <v>115438.05</v>
      </c>
      <c r="F120" s="3">
        <f ca="1"/>
        <v>11329.36197</v>
      </c>
      <c r="G120" s="10">
        <f ca="1"/>
        <v>45893.229166655095</v>
      </c>
      <c r="H120" s="3">
        <f ca="1"/>
        <v>1308825428.0143585</v>
      </c>
      <c r="I120" s="3">
        <f ca="1"/>
        <v>1559569</v>
      </c>
      <c r="J120" s="3">
        <f ca="1"/>
        <v>5083.3501399999996</v>
      </c>
      <c r="K120" s="3">
        <f ca="1"/>
        <v>587273893.13144326</v>
      </c>
    </row>
    <row r="121" spans="1:11" x14ac:dyDescent="0.3">
      <c r="A121" s="10">
        <f ca="1"/>
        <v>45891.229166666664</v>
      </c>
      <c r="B121" s="12">
        <f ca="1"/>
        <v>112500</v>
      </c>
      <c r="C121" s="12">
        <f ca="1"/>
        <v>117429.05</v>
      </c>
      <c r="D121" s="12">
        <f ca="1"/>
        <v>111684.79</v>
      </c>
      <c r="E121" s="12">
        <f ca="1"/>
        <v>116935.99</v>
      </c>
      <c r="F121" s="3">
        <f ca="1"/>
        <v>23128.090370000002</v>
      </c>
      <c r="G121" s="10">
        <f ca="1"/>
        <v>45892.229166655095</v>
      </c>
      <c r="H121" s="3">
        <f ca="1"/>
        <v>2656625122.2777867</v>
      </c>
      <c r="I121" s="3">
        <f ca="1"/>
        <v>3438518</v>
      </c>
      <c r="J121" s="3">
        <f ca="1"/>
        <v>11843.597110000001</v>
      </c>
      <c r="K121" s="3">
        <f ca="1"/>
        <v>1359907711.8726692</v>
      </c>
    </row>
    <row r="122" spans="1:11" x14ac:dyDescent="0.3">
      <c r="A122" s="10">
        <f ca="1"/>
        <v>45890.229166666664</v>
      </c>
      <c r="B122" s="12">
        <f ca="1"/>
        <v>114271.23</v>
      </c>
      <c r="C122" s="12">
        <f ca="1"/>
        <v>114821.75999999999</v>
      </c>
      <c r="D122" s="12">
        <f ca="1"/>
        <v>112015.67</v>
      </c>
      <c r="E122" s="12">
        <f ca="1"/>
        <v>112500</v>
      </c>
      <c r="F122" s="3">
        <f ca="1"/>
        <v>10839.692349999999</v>
      </c>
      <c r="G122" s="10">
        <f ca="1"/>
        <v>45891.229166655095</v>
      </c>
      <c r="H122" s="3">
        <f ca="1"/>
        <v>1227373788.6155629</v>
      </c>
      <c r="I122" s="3">
        <f ca="1"/>
        <v>2357380</v>
      </c>
      <c r="J122" s="3">
        <f ca="1"/>
        <v>5346.4800699999996</v>
      </c>
      <c r="K122" s="3">
        <f ca="1"/>
        <v>605400341.45449281</v>
      </c>
    </row>
    <row r="123" spans="1:11" x14ac:dyDescent="0.3">
      <c r="A123" s="10">
        <f ca="1"/>
        <v>45889.229166666664</v>
      </c>
      <c r="B123" s="12">
        <f ca="1"/>
        <v>112872.95</v>
      </c>
      <c r="C123" s="12">
        <f ca="1"/>
        <v>114615.38</v>
      </c>
      <c r="D123" s="12">
        <f ca="1"/>
        <v>112380</v>
      </c>
      <c r="E123" s="12">
        <f ca="1"/>
        <v>114271.24</v>
      </c>
      <c r="F123" s="3">
        <f ca="1"/>
        <v>15636.34194</v>
      </c>
      <c r="G123" s="10">
        <f ca="1"/>
        <v>45890.229166655095</v>
      </c>
      <c r="H123" s="3">
        <f ca="1"/>
        <v>1776149566.1247735</v>
      </c>
      <c r="I123" s="3">
        <f ca="1"/>
        <v>2998370</v>
      </c>
      <c r="J123" s="3">
        <f ca="1"/>
        <v>7209.5857500000002</v>
      </c>
      <c r="K123" s="3">
        <f ca="1"/>
        <v>819330970.21586192</v>
      </c>
    </row>
    <row r="124" spans="1:11" x14ac:dyDescent="0.3">
      <c r="A124" s="10">
        <f ca="1"/>
        <v>45888.229166666664</v>
      </c>
      <c r="B124" s="12">
        <f ca="1"/>
        <v>116227.05</v>
      </c>
      <c r="C124" s="12">
        <f ca="1"/>
        <v>116725.69</v>
      </c>
      <c r="D124" s="12">
        <f ca="1"/>
        <v>112732.58</v>
      </c>
      <c r="E124" s="12">
        <f ca="1"/>
        <v>112872.94</v>
      </c>
      <c r="F124" s="3">
        <f ca="1"/>
        <v>18065.47424</v>
      </c>
      <c r="G124" s="10">
        <f ca="1"/>
        <v>45889.229166655095</v>
      </c>
      <c r="H124" s="3">
        <f ca="1"/>
        <v>2065010895.8584664</v>
      </c>
      <c r="I124" s="3">
        <f ca="1"/>
        <v>3291182</v>
      </c>
      <c r="J124" s="3">
        <f ca="1"/>
        <v>8609.4136999999992</v>
      </c>
      <c r="K124" s="3">
        <f ca="1"/>
        <v>984093545.5944221</v>
      </c>
    </row>
    <row r="125" spans="1:11" x14ac:dyDescent="0.3">
      <c r="A125" s="10">
        <f ca="1"/>
        <v>45887.229166666664</v>
      </c>
      <c r="B125" s="12">
        <f ca="1"/>
        <v>117405.01</v>
      </c>
      <c r="C125" s="12">
        <f ca="1"/>
        <v>117543.75</v>
      </c>
      <c r="D125" s="12">
        <f ca="1"/>
        <v>114640.14</v>
      </c>
      <c r="E125" s="12">
        <f ca="1"/>
        <v>116227.05</v>
      </c>
      <c r="F125" s="3">
        <f ca="1"/>
        <v>17745.939539999999</v>
      </c>
      <c r="G125" s="10">
        <f ca="1"/>
        <v>45888.229166655095</v>
      </c>
      <c r="H125" s="3">
        <f ca="1"/>
        <v>2053814085.4717774</v>
      </c>
      <c r="I125" s="3">
        <f ca="1"/>
        <v>3346280</v>
      </c>
      <c r="J125" s="3">
        <f ca="1"/>
        <v>7647.7066699999996</v>
      </c>
      <c r="K125" s="3">
        <f ca="1"/>
        <v>885108979.48874855</v>
      </c>
    </row>
    <row r="126" spans="1:11" x14ac:dyDescent="0.3">
      <c r="A126" s="10">
        <f ca="1"/>
        <v>45886.229166666664</v>
      </c>
      <c r="B126" s="12">
        <f ca="1"/>
        <v>117380.66</v>
      </c>
      <c r="C126" s="12">
        <f ca="1"/>
        <v>118575</v>
      </c>
      <c r="D126" s="12">
        <f ca="1"/>
        <v>117172.21</v>
      </c>
      <c r="E126" s="12">
        <f ca="1"/>
        <v>117405.01</v>
      </c>
      <c r="F126" s="3">
        <f ca="1"/>
        <v>5898.64192</v>
      </c>
      <c r="G126" s="10">
        <f ca="1"/>
        <v>45887.229166655095</v>
      </c>
      <c r="H126" s="3">
        <f ca="1"/>
        <v>695629197.90380728</v>
      </c>
      <c r="I126" s="3">
        <f ca="1"/>
        <v>1177563</v>
      </c>
      <c r="J126" s="3">
        <f ca="1"/>
        <v>2804.7311300000001</v>
      </c>
      <c r="K126" s="3">
        <f ca="1"/>
        <v>330799448.09036541</v>
      </c>
    </row>
    <row r="127" spans="1:11" x14ac:dyDescent="0.3">
      <c r="A127" s="10">
        <f ca="1"/>
        <v>45885.229166666664</v>
      </c>
      <c r="B127" s="12">
        <f ca="1"/>
        <v>117342.04</v>
      </c>
      <c r="C127" s="12">
        <f ca="1"/>
        <v>117898.99</v>
      </c>
      <c r="D127" s="12">
        <f ca="1"/>
        <v>117143.98</v>
      </c>
      <c r="E127" s="12">
        <f ca="1"/>
        <v>117380.66</v>
      </c>
      <c r="F127" s="3">
        <f ca="1"/>
        <v>6393.6811699999998</v>
      </c>
      <c r="G127" s="10">
        <f ca="1"/>
        <v>45886.229166655095</v>
      </c>
      <c r="H127" s="3">
        <f ca="1"/>
        <v>751719391.77236378</v>
      </c>
      <c r="I127" s="3">
        <f ca="1"/>
        <v>1179842</v>
      </c>
      <c r="J127" s="3">
        <f ca="1"/>
        <v>2995.22865</v>
      </c>
      <c r="K127" s="3">
        <f ca="1"/>
        <v>352158781.0964551</v>
      </c>
    </row>
    <row r="128" spans="1:11" x14ac:dyDescent="0.3">
      <c r="A128" s="10">
        <f ca="1"/>
        <v>45884.229166666664</v>
      </c>
      <c r="B128" s="12">
        <f ca="1"/>
        <v>118295.09</v>
      </c>
      <c r="C128" s="12">
        <f ca="1"/>
        <v>119216.82</v>
      </c>
      <c r="D128" s="12">
        <f ca="1"/>
        <v>116803.99</v>
      </c>
      <c r="E128" s="12">
        <f ca="1"/>
        <v>117342.05</v>
      </c>
      <c r="F128" s="3">
        <f ca="1"/>
        <v>13623.338739999999</v>
      </c>
      <c r="G128" s="10">
        <f ca="1"/>
        <v>45885.229166655095</v>
      </c>
      <c r="H128" s="3">
        <f ca="1"/>
        <v>1607609329.685101</v>
      </c>
      <c r="I128" s="3">
        <f ca="1"/>
        <v>2895016</v>
      </c>
      <c r="J128" s="3">
        <f ca="1"/>
        <v>6141.4170800000002</v>
      </c>
      <c r="K128" s="3">
        <f ca="1"/>
        <v>724799635.81724668</v>
      </c>
    </row>
    <row r="129" spans="1:11" x14ac:dyDescent="0.3">
      <c r="A129" s="10">
        <f ca="1"/>
        <v>45883.229166666664</v>
      </c>
      <c r="B129" s="12">
        <f ca="1"/>
        <v>123306.44</v>
      </c>
      <c r="C129" s="12">
        <f ca="1"/>
        <v>124474</v>
      </c>
      <c r="D129" s="12">
        <f ca="1"/>
        <v>117180</v>
      </c>
      <c r="E129" s="12">
        <f ca="1"/>
        <v>118295.09</v>
      </c>
      <c r="F129" s="3">
        <f ca="1"/>
        <v>27980.947585999998</v>
      </c>
      <c r="G129" s="10">
        <f ca="1"/>
        <v>45884.229166655095</v>
      </c>
      <c r="H129" s="3">
        <f ca="1"/>
        <v>3359128391.1085238</v>
      </c>
      <c r="I129" s="3">
        <f ca="1"/>
        <v>4350449</v>
      </c>
      <c r="J129" s="3">
        <f ca="1"/>
        <v>13402.078476000001</v>
      </c>
      <c r="K129" s="3">
        <f ca="1"/>
        <v>1608719584.8697336</v>
      </c>
    </row>
    <row r="130" spans="1:11" x14ac:dyDescent="0.3">
      <c r="A130" s="10">
        <f ca="1"/>
        <v>45882.229166666664</v>
      </c>
      <c r="B130" s="12">
        <f ca="1"/>
        <v>120134.09</v>
      </c>
      <c r="C130" s="12">
        <f ca="1"/>
        <v>123667.79</v>
      </c>
      <c r="D130" s="12">
        <f ca="1"/>
        <v>118920.92</v>
      </c>
      <c r="E130" s="12">
        <f ca="1"/>
        <v>123306.43</v>
      </c>
      <c r="F130" s="3">
        <f ca="1"/>
        <v>23210.071019999999</v>
      </c>
      <c r="G130" s="10">
        <f ca="1"/>
        <v>45883.229166655095</v>
      </c>
      <c r="H130" s="3">
        <f ca="1"/>
        <v>2811581348.3874574</v>
      </c>
      <c r="I130" s="3">
        <f ca="1"/>
        <v>3712817</v>
      </c>
      <c r="J130" s="3">
        <f ca="1"/>
        <v>11931.268249999999</v>
      </c>
      <c r="K130" s="3">
        <f ca="1"/>
        <v>1446045988.0483146</v>
      </c>
    </row>
    <row r="131" spans="1:11" x14ac:dyDescent="0.3">
      <c r="A131" s="10">
        <f ca="1"/>
        <v>45881.229166666664</v>
      </c>
      <c r="B131" s="12">
        <f ca="1"/>
        <v>118686</v>
      </c>
      <c r="C131" s="12">
        <f ca="1"/>
        <v>120324.43</v>
      </c>
      <c r="D131" s="12">
        <f ca="1"/>
        <v>118207.47</v>
      </c>
      <c r="E131" s="12">
        <f ca="1"/>
        <v>120134.08</v>
      </c>
      <c r="F131" s="3">
        <f ca="1"/>
        <v>16720.108929999999</v>
      </c>
      <c r="G131" s="10">
        <f ca="1"/>
        <v>45882.229166655095</v>
      </c>
      <c r="H131" s="3">
        <f ca="1"/>
        <v>1992762473.5852578</v>
      </c>
      <c r="I131" s="3">
        <f ca="1"/>
        <v>2737841</v>
      </c>
      <c r="J131" s="3">
        <f ca="1"/>
        <v>9265.05962</v>
      </c>
      <c r="K131" s="3">
        <f ca="1"/>
        <v>1104367998.1961715</v>
      </c>
    </row>
    <row r="132" spans="1:11" x14ac:dyDescent="0.3">
      <c r="A132" s="10">
        <f ca="1"/>
        <v>45880.229166666664</v>
      </c>
      <c r="B132" s="12">
        <f ca="1"/>
        <v>119294.27</v>
      </c>
      <c r="C132" s="12">
        <f ca="1"/>
        <v>122335.16</v>
      </c>
      <c r="D132" s="12">
        <f ca="1"/>
        <v>118050.11</v>
      </c>
      <c r="E132" s="12">
        <f ca="1"/>
        <v>118686</v>
      </c>
      <c r="F132" s="3">
        <f ca="1"/>
        <v>26494.334289999999</v>
      </c>
      <c r="G132" s="10">
        <f ca="1"/>
        <v>45881.229166655095</v>
      </c>
      <c r="H132" s="3">
        <f ca="1"/>
        <v>3194611530.5410695</v>
      </c>
      <c r="I132" s="3">
        <f ca="1"/>
        <v>4021743</v>
      </c>
      <c r="J132" s="3">
        <f ca="1"/>
        <v>13243.429459999999</v>
      </c>
      <c r="K132" s="3">
        <f ca="1"/>
        <v>1596640461.6430769</v>
      </c>
    </row>
    <row r="133" spans="1:11" x14ac:dyDescent="0.3">
      <c r="A133" s="10">
        <f ca="1"/>
        <v>45879.229166666664</v>
      </c>
      <c r="B133" s="12">
        <f ca="1"/>
        <v>116462.25</v>
      </c>
      <c r="C133" s="12">
        <f ca="1"/>
        <v>119311.11</v>
      </c>
      <c r="D133" s="12">
        <f ca="1"/>
        <v>116460.63</v>
      </c>
      <c r="E133" s="12">
        <f ca="1"/>
        <v>119294.01</v>
      </c>
      <c r="F133" s="3">
        <f ca="1"/>
        <v>14322.77073</v>
      </c>
      <c r="G133" s="10">
        <f ca="1"/>
        <v>45880.229166655095</v>
      </c>
      <c r="H133" s="3">
        <f ca="1"/>
        <v>1694198747.8718708</v>
      </c>
      <c r="I133" s="3">
        <f ca="1"/>
        <v>2317065</v>
      </c>
      <c r="J133" s="3">
        <f ca="1"/>
        <v>8023.4351299999998</v>
      </c>
      <c r="K133" s="3">
        <f ca="1"/>
        <v>949082473.72132194</v>
      </c>
    </row>
    <row r="134" spans="1:11" x14ac:dyDescent="0.3">
      <c r="A134" s="10">
        <f ca="1"/>
        <v>45878.229166666664</v>
      </c>
      <c r="B134" s="12">
        <f ca="1"/>
        <v>116674.74</v>
      </c>
      <c r="C134" s="12">
        <f ca="1"/>
        <v>117944.05</v>
      </c>
      <c r="D134" s="12">
        <f ca="1"/>
        <v>116299.13</v>
      </c>
      <c r="E134" s="12">
        <f ca="1"/>
        <v>116462.25</v>
      </c>
      <c r="F134" s="3">
        <f ca="1"/>
        <v>9514.1314399999992</v>
      </c>
      <c r="G134" s="10">
        <f ca="1"/>
        <v>45879.229166655095</v>
      </c>
      <c r="H134" s="3">
        <f ca="1"/>
        <v>1111837601.7023723</v>
      </c>
      <c r="I134" s="3">
        <f ca="1"/>
        <v>1390951</v>
      </c>
      <c r="J134" s="3">
        <f ca="1"/>
        <v>4869.8541599999999</v>
      </c>
      <c r="K134" s="3">
        <f ca="1"/>
        <v>569228301.11699462</v>
      </c>
    </row>
    <row r="135" spans="1:11" x14ac:dyDescent="0.3">
      <c r="A135" s="10">
        <f ca="1"/>
        <v>45877.229166666664</v>
      </c>
      <c r="B135" s="12">
        <f ca="1"/>
        <v>117472.02</v>
      </c>
      <c r="C135" s="12">
        <f ca="1"/>
        <v>117630</v>
      </c>
      <c r="D135" s="12">
        <f ca="1"/>
        <v>115878.71</v>
      </c>
      <c r="E135" s="12">
        <f ca="1"/>
        <v>116674.74</v>
      </c>
      <c r="F135" s="3">
        <f ca="1"/>
        <v>10045.31278</v>
      </c>
      <c r="G135" s="10">
        <f ca="1"/>
        <v>45878.229166655095</v>
      </c>
      <c r="H135" s="3">
        <f ca="1"/>
        <v>1172199778.7242546</v>
      </c>
      <c r="I135" s="3">
        <f ca="1"/>
        <v>2095304</v>
      </c>
      <c r="J135" s="3">
        <f ca="1"/>
        <v>4584.9057400000002</v>
      </c>
      <c r="K135" s="3">
        <f ca="1"/>
        <v>534970598.46875018</v>
      </c>
    </row>
    <row r="136" spans="1:11" x14ac:dyDescent="0.3">
      <c r="A136" s="10">
        <f ca="1"/>
        <v>45876.229166666664</v>
      </c>
      <c r="B136" s="12">
        <f ca="1"/>
        <v>114992.27</v>
      </c>
      <c r="C136" s="12">
        <f ca="1"/>
        <v>117621</v>
      </c>
      <c r="D136" s="12">
        <f ca="1"/>
        <v>114259</v>
      </c>
      <c r="E136" s="12">
        <f ca="1"/>
        <v>117472.01</v>
      </c>
      <c r="F136" s="3">
        <f ca="1"/>
        <v>13468.56263</v>
      </c>
      <c r="G136" s="10">
        <f ca="1"/>
        <v>45877.229166655095</v>
      </c>
      <c r="H136" s="3">
        <f ca="1"/>
        <v>1564454297.8369269</v>
      </c>
      <c r="I136" s="3">
        <f ca="1"/>
        <v>2314671</v>
      </c>
      <c r="J136" s="3">
        <f ca="1"/>
        <v>7008.7375300000003</v>
      </c>
      <c r="K136" s="3">
        <f ca="1"/>
        <v>814088870.44463205</v>
      </c>
    </row>
    <row r="137" spans="1:11" x14ac:dyDescent="0.3">
      <c r="A137" s="10">
        <f ca="1"/>
        <v>45875.229166666664</v>
      </c>
      <c r="B137" s="12">
        <f ca="1"/>
        <v>114129.75</v>
      </c>
      <c r="C137" s="12">
        <f ca="1"/>
        <v>115716</v>
      </c>
      <c r="D137" s="12">
        <f ca="1"/>
        <v>113355.13</v>
      </c>
      <c r="E137" s="12">
        <f ca="1"/>
        <v>114992.27</v>
      </c>
      <c r="F137" s="3">
        <f ca="1"/>
        <v>9761.1531799999993</v>
      </c>
      <c r="G137" s="10">
        <f ca="1"/>
        <v>45876.229166655095</v>
      </c>
      <c r="H137" s="3">
        <f ca="1"/>
        <v>1118028732.8589184</v>
      </c>
      <c r="I137" s="3">
        <f ca="1"/>
        <v>2026500</v>
      </c>
      <c r="J137" s="3">
        <f ca="1"/>
        <v>4872.24748</v>
      </c>
      <c r="K137" s="3">
        <f ca="1"/>
        <v>558193207.67707205</v>
      </c>
    </row>
    <row r="138" spans="1:11" x14ac:dyDescent="0.3">
      <c r="A138" s="10">
        <f ca="1"/>
        <v>45874.229166666664</v>
      </c>
      <c r="B138" s="12">
        <f ca="1"/>
        <v>115055.03</v>
      </c>
      <c r="C138" s="12">
        <f ca="1"/>
        <v>115127.81</v>
      </c>
      <c r="D138" s="12">
        <f ca="1"/>
        <v>112650</v>
      </c>
      <c r="E138" s="12">
        <f ca="1"/>
        <v>114129.75</v>
      </c>
      <c r="F138" s="3">
        <f ca="1"/>
        <v>12042.790779999999</v>
      </c>
      <c r="G138" s="10">
        <f ca="1"/>
        <v>45875.229166655095</v>
      </c>
      <c r="H138" s="3">
        <f ca="1"/>
        <v>1371861747.1466167</v>
      </c>
      <c r="I138" s="3">
        <f ca="1"/>
        <v>2581052</v>
      </c>
      <c r="J138" s="3">
        <f ca="1"/>
        <v>5622.6675400000004</v>
      </c>
      <c r="K138" s="3">
        <f ca="1"/>
        <v>640570774.10106838</v>
      </c>
    </row>
    <row r="139" spans="1:11" x14ac:dyDescent="0.3">
      <c r="A139" s="10">
        <f ca="1"/>
        <v>45873.229166666664</v>
      </c>
      <c r="B139" s="12">
        <f ca="1"/>
        <v>114208.81</v>
      </c>
      <c r="C139" s="12">
        <f ca="1"/>
        <v>115720</v>
      </c>
      <c r="D139" s="12">
        <f ca="1"/>
        <v>114107.6</v>
      </c>
      <c r="E139" s="12">
        <f ca="1"/>
        <v>115055.03</v>
      </c>
      <c r="F139" s="3">
        <f ca="1"/>
        <v>9667.6791599999997</v>
      </c>
      <c r="G139" s="10">
        <f ca="1"/>
        <v>45874.229166655095</v>
      </c>
      <c r="H139" s="3">
        <f ca="1"/>
        <v>1109938874.0629709</v>
      </c>
      <c r="I139" s="3">
        <f ca="1"/>
        <v>1954230</v>
      </c>
      <c r="J139" s="3">
        <f ca="1"/>
        <v>4715.2935100000004</v>
      </c>
      <c r="K139" s="3">
        <f ca="1"/>
        <v>541443274.80937469</v>
      </c>
    </row>
    <row r="140" spans="1:11" x14ac:dyDescent="0.3">
      <c r="A140" s="10">
        <f ca="1"/>
        <v>45872.229166666664</v>
      </c>
      <c r="B140" s="12">
        <f ca="1"/>
        <v>112546.35</v>
      </c>
      <c r="C140" s="12">
        <f ca="1"/>
        <v>114799.97</v>
      </c>
      <c r="D140" s="12">
        <f ca="1"/>
        <v>111920</v>
      </c>
      <c r="E140" s="12">
        <f ca="1"/>
        <v>114208.8</v>
      </c>
      <c r="F140" s="3">
        <f ca="1"/>
        <v>7397.7604600000004</v>
      </c>
      <c r="G140" s="10">
        <f ca="1"/>
        <v>45873.229166655095</v>
      </c>
      <c r="H140" s="3">
        <f ca="1"/>
        <v>841090034.15425408</v>
      </c>
      <c r="I140" s="3">
        <f ca="1"/>
        <v>1419281</v>
      </c>
      <c r="J140" s="3">
        <f ca="1"/>
        <v>3738.1833099999999</v>
      </c>
      <c r="K140" s="3">
        <f ca="1"/>
        <v>425246221.29553038</v>
      </c>
    </row>
    <row r="141" spans="1:11" x14ac:dyDescent="0.3">
      <c r="A141" s="10">
        <f ca="1"/>
        <v>45871.229166666664</v>
      </c>
      <c r="B141" s="12">
        <f ca="1"/>
        <v>113297.92</v>
      </c>
      <c r="C141" s="12">
        <f ca="1"/>
        <v>114063.49</v>
      </c>
      <c r="D141" s="12">
        <f ca="1"/>
        <v>112003</v>
      </c>
      <c r="E141" s="12">
        <f ca="1"/>
        <v>112546.35</v>
      </c>
      <c r="F141" s="3">
        <f ca="1"/>
        <v>11507.334279999999</v>
      </c>
      <c r="G141" s="10">
        <f ca="1"/>
        <v>45872.229166655095</v>
      </c>
      <c r="H141" s="3">
        <f ca="1"/>
        <v>1301882737.3267219</v>
      </c>
      <c r="I141" s="3">
        <f ca="1"/>
        <v>2165714</v>
      </c>
      <c r="J141" s="3">
        <f ca="1"/>
        <v>5060.0083500000001</v>
      </c>
      <c r="K141" s="3">
        <f ca="1"/>
        <v>572586383.07173133</v>
      </c>
    </row>
    <row r="142" spans="1:11" x14ac:dyDescent="0.3">
      <c r="A142" s="10">
        <f ca="1"/>
        <v>45870.229166666664</v>
      </c>
      <c r="B142" s="12">
        <f ca="1"/>
        <v>115764.07</v>
      </c>
      <c r="C142" s="12">
        <f ca="1"/>
        <v>116052</v>
      </c>
      <c r="D142" s="12">
        <f ca="1"/>
        <v>112722.58</v>
      </c>
      <c r="E142" s="12">
        <f ca="1"/>
        <v>113297.93</v>
      </c>
      <c r="F142" s="3">
        <f ca="1"/>
        <v>24487.102060000001</v>
      </c>
      <c r="G142" s="10">
        <f ca="1"/>
        <v>45871.229166655095</v>
      </c>
      <c r="H142" s="3">
        <f ca="1"/>
        <v>2810268577.15137</v>
      </c>
      <c r="I142" s="3">
        <f ca="1"/>
        <v>4160829</v>
      </c>
      <c r="J142" s="3">
        <f ca="1"/>
        <v>11487.2212</v>
      </c>
      <c r="K142" s="3">
        <f ca="1"/>
        <v>1318593418.0612547</v>
      </c>
    </row>
    <row r="143" spans="1:11" x14ac:dyDescent="0.3">
      <c r="A143" s="10">
        <f ca="1"/>
        <v>45869.229166666664</v>
      </c>
      <c r="B143" s="12">
        <f ca="1"/>
        <v>117840.29</v>
      </c>
      <c r="C143" s="12">
        <f ca="1"/>
        <v>118922.45</v>
      </c>
      <c r="D143" s="12">
        <f ca="1"/>
        <v>115500</v>
      </c>
      <c r="E143" s="12">
        <f ca="1"/>
        <v>115764.08</v>
      </c>
      <c r="F143" s="3">
        <f ca="1"/>
        <v>17010.007300000001</v>
      </c>
      <c r="G143" s="10">
        <f ca="1"/>
        <v>45870.229166655095</v>
      </c>
      <c r="H143" s="3">
        <f ca="1"/>
        <v>2002870016.7022426</v>
      </c>
      <c r="I143" s="3">
        <f ca="1"/>
        <v>1859532</v>
      </c>
      <c r="J143" s="3">
        <f ca="1"/>
        <v>8313.5161599999992</v>
      </c>
      <c r="K143" s="3">
        <f ca="1"/>
        <v>979519362.06854236</v>
      </c>
    </row>
    <row r="144" spans="1:11" x14ac:dyDescent="0.3">
      <c r="A144" s="10">
        <f ca="1"/>
        <v>45868.229166666664</v>
      </c>
      <c r="B144" s="12">
        <f ca="1"/>
        <v>117950.75</v>
      </c>
      <c r="C144" s="12">
        <f ca="1"/>
        <v>118792</v>
      </c>
      <c r="D144" s="12">
        <f ca="1"/>
        <v>115796.23</v>
      </c>
      <c r="E144" s="12">
        <f ca="1"/>
        <v>117840.3</v>
      </c>
      <c r="F144" s="3">
        <f ca="1"/>
        <v>15586.73631</v>
      </c>
      <c r="G144" s="10">
        <f ca="1"/>
        <v>45869.229166655095</v>
      </c>
      <c r="H144" s="3">
        <f ca="1"/>
        <v>1832696878.222986</v>
      </c>
      <c r="I144" s="3">
        <f ca="1"/>
        <v>1997369</v>
      </c>
      <c r="J144" s="3">
        <f ca="1"/>
        <v>7803.6143400000001</v>
      </c>
      <c r="K144" s="3">
        <f ca="1"/>
        <v>917632890.23365259</v>
      </c>
    </row>
    <row r="145" spans="1:11" x14ac:dyDescent="0.3">
      <c r="A145" s="10">
        <f ca="1"/>
        <v>45867.229166666664</v>
      </c>
      <c r="B145" s="12">
        <f ca="1"/>
        <v>118062.32</v>
      </c>
      <c r="C145" s="12">
        <f ca="1"/>
        <v>119273.36</v>
      </c>
      <c r="D145" s="12">
        <f ca="1"/>
        <v>116950.75</v>
      </c>
      <c r="E145" s="12">
        <f ca="1"/>
        <v>117950.76</v>
      </c>
      <c r="F145" s="3">
        <f ca="1"/>
        <v>15137.934450000001</v>
      </c>
      <c r="G145" s="10">
        <f ca="1"/>
        <v>45868.229166655095</v>
      </c>
      <c r="H145" s="3">
        <f ca="1"/>
        <v>1788682083.6856463</v>
      </c>
      <c r="I145" s="3">
        <f ca="1"/>
        <v>1956694</v>
      </c>
      <c r="J145" s="3">
        <f ca="1"/>
        <v>7988.9373599999999</v>
      </c>
      <c r="K145" s="3">
        <f ca="1"/>
        <v>944162800.07458735</v>
      </c>
    </row>
    <row r="146" spans="1:11" x14ac:dyDescent="0.3">
      <c r="A146" s="10">
        <f ca="1"/>
        <v>45866.229166666664</v>
      </c>
      <c r="B146" s="12">
        <f ca="1"/>
        <v>119415.56</v>
      </c>
      <c r="C146" s="12">
        <f ca="1"/>
        <v>119800</v>
      </c>
      <c r="D146" s="12">
        <f ca="1"/>
        <v>117427.5</v>
      </c>
      <c r="E146" s="12">
        <f ca="1"/>
        <v>118062.32</v>
      </c>
      <c r="F146" s="3">
        <f ca="1"/>
        <v>13961.74754</v>
      </c>
      <c r="G146" s="10">
        <f ca="1"/>
        <v>45867.229166655095</v>
      </c>
      <c r="H146" s="3">
        <f ca="1"/>
        <v>1655882235.896518</v>
      </c>
      <c r="I146" s="3">
        <f ca="1"/>
        <v>1824777</v>
      </c>
      <c r="J146" s="3">
        <f ca="1"/>
        <v>7224.9177399999999</v>
      </c>
      <c r="K146" s="3">
        <f ca="1"/>
        <v>857128354.22340882</v>
      </c>
    </row>
    <row r="147" spans="1:11" x14ac:dyDescent="0.3">
      <c r="A147" s="10">
        <f ca="1"/>
        <v>45865.229166666664</v>
      </c>
      <c r="B147" s="12">
        <f ca="1"/>
        <v>117919.99</v>
      </c>
      <c r="C147" s="12">
        <f ca="1"/>
        <v>119766.65</v>
      </c>
      <c r="D147" s="12">
        <f ca="1"/>
        <v>117825.5</v>
      </c>
      <c r="E147" s="12">
        <f ca="1"/>
        <v>119415.55</v>
      </c>
      <c r="F147" s="3">
        <f ca="1"/>
        <v>9328.3091899999999</v>
      </c>
      <c r="G147" s="10">
        <f ca="1"/>
        <v>45866.229166655095</v>
      </c>
      <c r="H147" s="3">
        <f ca="1"/>
        <v>1107883542.1607983</v>
      </c>
      <c r="I147" s="3">
        <f ca="1"/>
        <v>1095080</v>
      </c>
      <c r="J147" s="3">
        <f ca="1"/>
        <v>5238.3035799999998</v>
      </c>
      <c r="K147" s="3">
        <f ca="1"/>
        <v>622261561.25072765</v>
      </c>
    </row>
    <row r="148" spans="1:11" x14ac:dyDescent="0.3">
      <c r="A148" s="10">
        <f ca="1"/>
        <v>45864.229166666664</v>
      </c>
      <c r="B148" s="12">
        <f ca="1"/>
        <v>117614.31</v>
      </c>
      <c r="C148" s="12">
        <f ca="1"/>
        <v>118297.35</v>
      </c>
      <c r="D148" s="12">
        <f ca="1"/>
        <v>117138.38</v>
      </c>
      <c r="E148" s="12">
        <f ca="1"/>
        <v>117919.99</v>
      </c>
      <c r="F148" s="3">
        <f ca="1"/>
        <v>6991.6720599999999</v>
      </c>
      <c r="G148" s="10">
        <f ca="1"/>
        <v>45865.229166655095</v>
      </c>
      <c r="H148" s="3">
        <f ca="1"/>
        <v>823629079.74931026</v>
      </c>
      <c r="I148" s="3">
        <f ca="1"/>
        <v>790372</v>
      </c>
      <c r="J148" s="3">
        <f ca="1"/>
        <v>3167.88355</v>
      </c>
      <c r="K148" s="3">
        <f ca="1"/>
        <v>373290310.21643519</v>
      </c>
    </row>
    <row r="149" spans="1:11" x14ac:dyDescent="0.3">
      <c r="A149" s="10">
        <f ca="1"/>
        <v>45863.229166666664</v>
      </c>
      <c r="B149" s="12">
        <f ca="1"/>
        <v>118340.98</v>
      </c>
      <c r="C149" s="12">
        <f ca="1"/>
        <v>118451.57</v>
      </c>
      <c r="D149" s="12">
        <f ca="1"/>
        <v>114723.16</v>
      </c>
      <c r="E149" s="12">
        <f ca="1"/>
        <v>117614.31</v>
      </c>
      <c r="F149" s="3">
        <f ca="1"/>
        <v>38406.348729999998</v>
      </c>
      <c r="G149" s="10">
        <f ca="1"/>
        <v>45864.229166655095</v>
      </c>
      <c r="H149" s="3">
        <f ca="1"/>
        <v>4456778786.6204939</v>
      </c>
      <c r="I149" s="3">
        <f ca="1"/>
        <v>3282355</v>
      </c>
      <c r="J149" s="3">
        <f ca="1"/>
        <v>17042.773550000002</v>
      </c>
      <c r="K149" s="3">
        <f ca="1"/>
        <v>1977873720.8964725</v>
      </c>
    </row>
    <row r="150" spans="1:11" x14ac:dyDescent="0.3">
      <c r="A150" s="10">
        <f ca="1"/>
        <v>45862.229166666664</v>
      </c>
      <c r="B150" s="12">
        <f ca="1"/>
        <v>118756</v>
      </c>
      <c r="C150" s="12">
        <f ca="1"/>
        <v>119450</v>
      </c>
      <c r="D150" s="12">
        <f ca="1"/>
        <v>117103.1</v>
      </c>
      <c r="E150" s="12">
        <f ca="1"/>
        <v>118340.99</v>
      </c>
      <c r="F150" s="3">
        <f ca="1"/>
        <v>15806.890429999999</v>
      </c>
      <c r="G150" s="10">
        <f ca="1"/>
        <v>45863.229166655095</v>
      </c>
      <c r="H150" s="3">
        <f ca="1"/>
        <v>1873181653.2018075</v>
      </c>
      <c r="I150" s="3">
        <f ca="1"/>
        <v>2081435</v>
      </c>
      <c r="J150" s="3">
        <f ca="1"/>
        <v>7651.73992</v>
      </c>
      <c r="K150" s="3">
        <f ca="1"/>
        <v>906619084.60359311</v>
      </c>
    </row>
    <row r="151" spans="1:11" x14ac:dyDescent="0.3">
      <c r="A151" s="10">
        <f ca="1"/>
        <v>45861.229166666664</v>
      </c>
      <c r="B151" s="12">
        <f ca="1"/>
        <v>119954.43</v>
      </c>
      <c r="C151" s="12">
        <f ca="1"/>
        <v>120090</v>
      </c>
      <c r="D151" s="12">
        <f ca="1"/>
        <v>117301</v>
      </c>
      <c r="E151" s="12">
        <f ca="1"/>
        <v>118755.99</v>
      </c>
      <c r="F151" s="3">
        <f ca="1"/>
        <v>14558.750830000001</v>
      </c>
      <c r="G151" s="10">
        <f ca="1"/>
        <v>45862.229166655095</v>
      </c>
      <c r="H151" s="3">
        <f ca="1"/>
        <v>1722126986.8866611</v>
      </c>
      <c r="I151" s="3">
        <f ca="1"/>
        <v>2101404</v>
      </c>
      <c r="J151" s="3">
        <f ca="1"/>
        <v>7070.0870100000002</v>
      </c>
      <c r="K151" s="3">
        <f ca="1"/>
        <v>836266328.74468315</v>
      </c>
    </row>
    <row r="152" spans="1:11" x14ac:dyDescent="0.3">
      <c r="A152" s="10">
        <f ca="1"/>
        <v>45860.229166666664</v>
      </c>
      <c r="B152" s="12">
        <f ca="1"/>
        <v>117380.36</v>
      </c>
      <c r="C152" s="12">
        <f ca="1"/>
        <v>120247.8</v>
      </c>
      <c r="D152" s="12">
        <f ca="1"/>
        <v>116128</v>
      </c>
      <c r="E152" s="12">
        <f ca="1"/>
        <v>119954.42</v>
      </c>
      <c r="F152" s="3">
        <f ca="1"/>
        <v>20959.129730000001</v>
      </c>
      <c r="G152" s="10">
        <f ca="1"/>
        <v>45861.229166655095</v>
      </c>
      <c r="H152" s="3">
        <f ca="1"/>
        <v>2481252763.6519108</v>
      </c>
      <c r="I152" s="3">
        <f ca="1"/>
        <v>2778733</v>
      </c>
      <c r="J152" s="3">
        <f ca="1"/>
        <v>10811.45507</v>
      </c>
      <c r="K152" s="3">
        <f ca="1"/>
        <v>1280627214.6285224</v>
      </c>
    </row>
    <row r="153" spans="1:11" x14ac:dyDescent="0.3">
      <c r="A153" s="10">
        <f ca="1"/>
        <v>45859.229166666664</v>
      </c>
      <c r="B153" s="12">
        <f ca="1"/>
        <v>117265.11</v>
      </c>
      <c r="C153" s="12">
        <f ca="1"/>
        <v>119676.73</v>
      </c>
      <c r="D153" s="12">
        <f ca="1"/>
        <v>116515</v>
      </c>
      <c r="E153" s="12">
        <f ca="1"/>
        <v>117380.36</v>
      </c>
      <c r="F153" s="3">
        <f ca="1"/>
        <v>17107.331279999999</v>
      </c>
      <c r="G153" s="10">
        <f ca="1"/>
        <v>45860.229166655095</v>
      </c>
      <c r="H153" s="3">
        <f ca="1"/>
        <v>2020783266.9633648</v>
      </c>
      <c r="I153" s="3">
        <f ca="1"/>
        <v>2509543</v>
      </c>
      <c r="J153" s="3">
        <f ca="1"/>
        <v>8426.3181199999999</v>
      </c>
      <c r="K153" s="3">
        <f ca="1"/>
        <v>995117241.66790938</v>
      </c>
    </row>
    <row r="154" spans="1:11" x14ac:dyDescent="0.3">
      <c r="A154" s="10">
        <f ca="1"/>
        <v>45858.229166666664</v>
      </c>
      <c r="B154" s="12">
        <f ca="1"/>
        <v>117840.01</v>
      </c>
      <c r="C154" s="12">
        <f ca="1"/>
        <v>118856.8</v>
      </c>
      <c r="D154" s="12">
        <f ca="1"/>
        <v>116467.02</v>
      </c>
      <c r="E154" s="12">
        <f ca="1"/>
        <v>117265.12</v>
      </c>
      <c r="F154" s="3">
        <f ca="1"/>
        <v>12962.928889999999</v>
      </c>
      <c r="G154" s="10">
        <f ca="1"/>
        <v>45859.229166655095</v>
      </c>
      <c r="H154" s="3">
        <f ca="1"/>
        <v>1528864683.816082</v>
      </c>
      <c r="I154" s="3">
        <f ca="1"/>
        <v>1615935</v>
      </c>
      <c r="J154" s="3">
        <f ca="1"/>
        <v>6581.3337099999999</v>
      </c>
      <c r="K154" s="3">
        <f ca="1"/>
        <v>776457462.98182535</v>
      </c>
    </row>
    <row r="155" spans="1:11" x14ac:dyDescent="0.3">
      <c r="A155" s="10">
        <f ca="1"/>
        <v>45857.229166666664</v>
      </c>
      <c r="B155" s="12">
        <f ca="1"/>
        <v>117924.84</v>
      </c>
      <c r="C155" s="12">
        <f ca="1"/>
        <v>118499.9</v>
      </c>
      <c r="D155" s="12">
        <f ca="1"/>
        <v>117277.34</v>
      </c>
      <c r="E155" s="12">
        <f ca="1"/>
        <v>117840</v>
      </c>
      <c r="F155" s="3">
        <f ca="1"/>
        <v>6635.8030600000002</v>
      </c>
      <c r="G155" s="10">
        <f ca="1"/>
        <v>45858.229166655095</v>
      </c>
      <c r="H155" s="3">
        <f ca="1"/>
        <v>783327898.49696958</v>
      </c>
      <c r="I155" s="3">
        <f ca="1"/>
        <v>1133382</v>
      </c>
      <c r="J155" s="3">
        <f ca="1"/>
        <v>2978.3832000000002</v>
      </c>
      <c r="K155" s="3">
        <f ca="1"/>
        <v>351626384.05029029</v>
      </c>
    </row>
    <row r="156" spans="1:11" x14ac:dyDescent="0.3">
      <c r="A156" s="10">
        <f ca="1"/>
        <v>45856.229166666664</v>
      </c>
      <c r="B156" s="12">
        <f ca="1"/>
        <v>119177.56</v>
      </c>
      <c r="C156" s="12">
        <f ca="1"/>
        <v>120820.71</v>
      </c>
      <c r="D156" s="12">
        <f ca="1"/>
        <v>116812.76</v>
      </c>
      <c r="E156" s="12">
        <f ca="1"/>
        <v>117924.84</v>
      </c>
      <c r="F156" s="3">
        <f ca="1"/>
        <v>19924.662660000002</v>
      </c>
      <c r="G156" s="10">
        <f ca="1"/>
        <v>45857.229166655095</v>
      </c>
      <c r="H156" s="3">
        <f ca="1"/>
        <v>2367355518.4703078</v>
      </c>
      <c r="I156" s="3">
        <f ca="1"/>
        <v>2805236</v>
      </c>
      <c r="J156" s="3">
        <f ca="1"/>
        <v>8951.3786299999992</v>
      </c>
      <c r="K156" s="3">
        <f ca="1"/>
        <v>1063782057.4785626</v>
      </c>
    </row>
    <row r="157" spans="1:11" x14ac:dyDescent="0.3">
      <c r="A157" s="10">
        <f ca="1"/>
        <v>45855.229166666664</v>
      </c>
      <c r="B157" s="12">
        <f ca="1"/>
        <v>118630.44</v>
      </c>
      <c r="C157" s="12">
        <f ca="1"/>
        <v>120998.71</v>
      </c>
      <c r="D157" s="12">
        <f ca="1"/>
        <v>117453.57</v>
      </c>
      <c r="E157" s="12">
        <f ca="1"/>
        <v>119177.56</v>
      </c>
      <c r="F157" s="3">
        <f ca="1"/>
        <v>15728.576510000001</v>
      </c>
      <c r="G157" s="10">
        <f ca="1"/>
        <v>45856.229166655095</v>
      </c>
      <c r="H157" s="3">
        <f ca="1"/>
        <v>1869114355.1231644</v>
      </c>
      <c r="I157" s="3">
        <f ca="1"/>
        <v>2347985</v>
      </c>
      <c r="J157" s="3">
        <f ca="1"/>
        <v>7696.1792699999996</v>
      </c>
      <c r="K157" s="3">
        <f ca="1"/>
        <v>914659207.57442784</v>
      </c>
    </row>
    <row r="158" spans="1:11" x14ac:dyDescent="0.3">
      <c r="A158" s="10">
        <f ca="1"/>
        <v>45854.229166666664</v>
      </c>
      <c r="B158" s="12">
        <f ca="1"/>
        <v>117758.08</v>
      </c>
      <c r="C158" s="12">
        <f ca="1"/>
        <v>120063.84</v>
      </c>
      <c r="D158" s="12">
        <f ca="1"/>
        <v>117017.29</v>
      </c>
      <c r="E158" s="12">
        <f ca="1"/>
        <v>118630.43</v>
      </c>
      <c r="F158" s="3">
        <f ca="1"/>
        <v>17039.908510000001</v>
      </c>
      <c r="G158" s="10">
        <f ca="1"/>
        <v>45855.229166655095</v>
      </c>
      <c r="H158" s="3">
        <f ca="1"/>
        <v>2023850383.7234874</v>
      </c>
      <c r="I158" s="3">
        <f ca="1"/>
        <v>2429625</v>
      </c>
      <c r="J158" s="3">
        <f ca="1"/>
        <v>8355.9688100000003</v>
      </c>
      <c r="K158" s="3">
        <f ca="1"/>
        <v>992430971.36759031</v>
      </c>
    </row>
    <row r="159" spans="1:11" x14ac:dyDescent="0.3">
      <c r="A159" s="10">
        <f ca="1"/>
        <v>45853.229166666664</v>
      </c>
      <c r="B159" s="12">
        <f ca="1"/>
        <v>119841.17</v>
      </c>
      <c r="C159" s="12">
        <f ca="1"/>
        <v>119940.83</v>
      </c>
      <c r="D159" s="12">
        <f ca="1"/>
        <v>115736.92</v>
      </c>
      <c r="E159" s="12">
        <f ca="1"/>
        <v>117758.09</v>
      </c>
      <c r="F159" s="3">
        <f ca="1"/>
        <v>32018.46083</v>
      </c>
      <c r="G159" s="10">
        <f ca="1"/>
        <v>45854.229166655095</v>
      </c>
      <c r="H159" s="3">
        <f ca="1"/>
        <v>3755258445.5532718</v>
      </c>
      <c r="I159" s="3">
        <f ca="1"/>
        <v>3805374</v>
      </c>
      <c r="J159" s="3">
        <f ca="1"/>
        <v>15667.30508</v>
      </c>
      <c r="K159" s="3">
        <f ca="1"/>
        <v>1837578524.9238648</v>
      </c>
    </row>
    <row r="160" spans="1:11" x14ac:dyDescent="0.3">
      <c r="A160" s="10">
        <f ca="1"/>
        <v>45852.229166666664</v>
      </c>
      <c r="B160" s="12">
        <f ca="1"/>
        <v>119086.65</v>
      </c>
      <c r="C160" s="12">
        <f ca="1"/>
        <v>123218</v>
      </c>
      <c r="D160" s="12">
        <f ca="1"/>
        <v>118905.18</v>
      </c>
      <c r="E160" s="12">
        <f ca="1"/>
        <v>119841.18</v>
      </c>
      <c r="F160" s="3">
        <f ca="1"/>
        <v>27269.348877</v>
      </c>
      <c r="G160" s="10">
        <f ca="1"/>
        <v>45853.229166655095</v>
      </c>
      <c r="H160" s="3">
        <f ca="1"/>
        <v>3299746181.0770736</v>
      </c>
      <c r="I160" s="3">
        <f ca="1"/>
        <v>4076133</v>
      </c>
      <c r="J160" s="3">
        <f ca="1"/>
        <v>14099.580747</v>
      </c>
      <c r="K160" s="3">
        <f ca="1"/>
        <v>1705505292.6647241</v>
      </c>
    </row>
    <row r="161" spans="1:11" x14ac:dyDescent="0.3">
      <c r="A161" s="10">
        <f ca="1"/>
        <v>45851.229166666664</v>
      </c>
      <c r="B161" s="12">
        <f ca="1"/>
        <v>117420</v>
      </c>
      <c r="C161" s="12">
        <f ca="1"/>
        <v>119488</v>
      </c>
      <c r="D161" s="12">
        <f ca="1"/>
        <v>117224.79</v>
      </c>
      <c r="E161" s="12">
        <f ca="1"/>
        <v>119086.64</v>
      </c>
      <c r="F161" s="3">
        <f ca="1"/>
        <v>9550.7929469999999</v>
      </c>
      <c r="G161" s="10">
        <f ca="1"/>
        <v>45852.229166655095</v>
      </c>
      <c r="H161" s="3">
        <f ca="1"/>
        <v>1132096857.0116916</v>
      </c>
      <c r="I161" s="3">
        <f ca="1"/>
        <v>1650283</v>
      </c>
      <c r="J161" s="3">
        <f ca="1"/>
        <v>4766.4743070000004</v>
      </c>
      <c r="K161" s="3">
        <f ca="1"/>
        <v>565024389.37239194</v>
      </c>
    </row>
    <row r="162" spans="1:11" x14ac:dyDescent="0.3">
      <c r="A162" s="10">
        <f ca="1"/>
        <v>45850.229166666664</v>
      </c>
      <c r="B162" s="12">
        <f ca="1"/>
        <v>117527.66</v>
      </c>
      <c r="C162" s="12">
        <f ca="1"/>
        <v>118200</v>
      </c>
      <c r="D162" s="12">
        <f ca="1"/>
        <v>116900.05</v>
      </c>
      <c r="E162" s="12">
        <f ca="1"/>
        <v>117420</v>
      </c>
      <c r="F162" s="3">
        <f ca="1"/>
        <v>8446.6043699999991</v>
      </c>
      <c r="G162" s="10">
        <f ca="1"/>
        <v>45851.229166655095</v>
      </c>
      <c r="H162" s="3">
        <f ca="1"/>
        <v>993093353.40689039</v>
      </c>
      <c r="I162" s="3">
        <f ca="1"/>
        <v>1441851</v>
      </c>
      <c r="J162" s="3">
        <f ca="1"/>
        <v>3784.5521899999999</v>
      </c>
      <c r="K162" s="3">
        <f ca="1"/>
        <v>444996040.90597868</v>
      </c>
    </row>
    <row r="163" spans="1:11" x14ac:dyDescent="0.3">
      <c r="A163" s="10">
        <f ca="1"/>
        <v>45849.229166666664</v>
      </c>
      <c r="B163" s="12">
        <f ca="1"/>
        <v>116010.01</v>
      </c>
      <c r="C163" s="12">
        <f ca="1"/>
        <v>118869.98</v>
      </c>
      <c r="D163" s="12">
        <f ca="1"/>
        <v>115222.22</v>
      </c>
      <c r="E163" s="12">
        <f ca="1"/>
        <v>117527.66</v>
      </c>
      <c r="F163" s="3">
        <f ca="1"/>
        <v>25873.521148</v>
      </c>
      <c r="G163" s="10">
        <f ca="1"/>
        <v>45850.229166655095</v>
      </c>
      <c r="H163" s="3">
        <f ca="1"/>
        <v>3039521803.027247</v>
      </c>
      <c r="I163" s="3">
        <f ca="1"/>
        <v>3708194</v>
      </c>
      <c r="J163" s="3">
        <f ca="1"/>
        <v>12502.931167999999</v>
      </c>
      <c r="K163" s="3">
        <f ca="1"/>
        <v>1468374333.9502122</v>
      </c>
    </row>
    <row r="164" spans="1:11" x14ac:dyDescent="0.3">
      <c r="A164" s="10">
        <f ca="1"/>
        <v>45848.229166666664</v>
      </c>
      <c r="B164" s="12">
        <f ca="1"/>
        <v>111234</v>
      </c>
      <c r="C164" s="12">
        <f ca="1"/>
        <v>116868</v>
      </c>
      <c r="D164" s="12">
        <f ca="1"/>
        <v>110500</v>
      </c>
      <c r="E164" s="12">
        <f ca="1"/>
        <v>116010</v>
      </c>
      <c r="F164" s="3">
        <f ca="1"/>
        <v>24883.450665</v>
      </c>
      <c r="G164" s="10">
        <f ca="1"/>
        <v>45849.229166655095</v>
      </c>
      <c r="H164" s="3">
        <f ca="1"/>
        <v>2826460280.4452233</v>
      </c>
      <c r="I164" s="3">
        <f ca="1"/>
        <v>3227017</v>
      </c>
      <c r="J164" s="3">
        <f ca="1"/>
        <v>12900.135467</v>
      </c>
      <c r="K164" s="3">
        <f ca="1"/>
        <v>1465777460.9410756</v>
      </c>
    </row>
    <row r="165" spans="1:11" x14ac:dyDescent="0.3">
      <c r="A165" s="10">
        <f ca="1"/>
        <v>45847.229166666664</v>
      </c>
      <c r="B165" s="12">
        <f ca="1"/>
        <v>108922.99</v>
      </c>
      <c r="C165" s="12">
        <f ca="1"/>
        <v>111999.79</v>
      </c>
      <c r="D165" s="12">
        <f ca="1"/>
        <v>108324.53</v>
      </c>
      <c r="E165" s="12">
        <f ca="1"/>
        <v>111233.99</v>
      </c>
      <c r="F165" s="3">
        <f ca="1"/>
        <v>17282.286499999998</v>
      </c>
      <c r="G165" s="10">
        <f ca="1"/>
        <v>45848.229166655095</v>
      </c>
      <c r="H165" s="3">
        <f ca="1"/>
        <v>1902054744.1949241</v>
      </c>
      <c r="I165" s="3">
        <f ca="1"/>
        <v>2328484</v>
      </c>
      <c r="J165" s="3">
        <f ca="1"/>
        <v>8935.70327</v>
      </c>
      <c r="K165" s="3">
        <f ca="1"/>
        <v>983405508.74821377</v>
      </c>
    </row>
    <row r="166" spans="1:11" x14ac:dyDescent="0.3">
      <c r="A166" s="10">
        <f ca="1"/>
        <v>45846.229166666664</v>
      </c>
      <c r="B166" s="12">
        <f ca="1"/>
        <v>108262.94</v>
      </c>
      <c r="C166" s="12">
        <f ca="1"/>
        <v>109216.56</v>
      </c>
      <c r="D166" s="12">
        <f ca="1"/>
        <v>107429.57</v>
      </c>
      <c r="E166" s="12">
        <f ca="1"/>
        <v>108922.98</v>
      </c>
      <c r="F166" s="3">
        <f ca="1"/>
        <v>9216.0208000000002</v>
      </c>
      <c r="G166" s="10">
        <f ca="1"/>
        <v>45847.229166655095</v>
      </c>
      <c r="H166" s="3">
        <f ca="1"/>
        <v>1000112813.4398943</v>
      </c>
      <c r="I166" s="3">
        <f ca="1"/>
        <v>1723244</v>
      </c>
      <c r="J166" s="3">
        <f ca="1"/>
        <v>4371.98866</v>
      </c>
      <c r="K166" s="3">
        <f ca="1"/>
        <v>474674358.99748993</v>
      </c>
    </row>
    <row r="167" spans="1:11" x14ac:dyDescent="0.3">
      <c r="A167" s="10">
        <f ca="1"/>
        <v>45845.229166666664</v>
      </c>
      <c r="B167" s="12">
        <f ca="1"/>
        <v>109203.85</v>
      </c>
      <c r="C167" s="12">
        <f ca="1"/>
        <v>109700</v>
      </c>
      <c r="D167" s="12">
        <f ca="1"/>
        <v>107513.2</v>
      </c>
      <c r="E167" s="12">
        <f ca="1"/>
        <v>108262.94</v>
      </c>
      <c r="F167" s="3">
        <f ca="1"/>
        <v>9405.37601</v>
      </c>
      <c r="G167" s="10">
        <f ca="1"/>
        <v>45846.229166655095</v>
      </c>
      <c r="H167" s="3">
        <f ca="1"/>
        <v>1020848316.0537041</v>
      </c>
      <c r="I167" s="3">
        <f ca="1"/>
        <v>1961940</v>
      </c>
      <c r="J167" s="3">
        <f ca="1"/>
        <v>3920.92229</v>
      </c>
      <c r="K167" s="3">
        <f ca="1"/>
        <v>425664101.8022387</v>
      </c>
    </row>
    <row r="168" spans="1:11" x14ac:dyDescent="0.3">
      <c r="A168" s="10">
        <f ca="1"/>
        <v>45844.229166666664</v>
      </c>
      <c r="B168" s="12">
        <f ca="1"/>
        <v>108198.12</v>
      </c>
      <c r="C168" s="12">
        <f ca="1"/>
        <v>109700</v>
      </c>
      <c r="D168" s="12">
        <f ca="1"/>
        <v>107800.01</v>
      </c>
      <c r="E168" s="12">
        <f ca="1"/>
        <v>109203.84</v>
      </c>
      <c r="F168" s="3">
        <f ca="1"/>
        <v>6447.607</v>
      </c>
      <c r="G168" s="10">
        <f ca="1"/>
        <v>45845.229166655095</v>
      </c>
      <c r="H168" s="3">
        <f ca="1"/>
        <v>700733299.51121986</v>
      </c>
      <c r="I168" s="3">
        <f ca="1"/>
        <v>1256591</v>
      </c>
      <c r="J168" s="3">
        <f ca="1"/>
        <v>3209.3590199999999</v>
      </c>
      <c r="K168" s="3">
        <f ca="1"/>
        <v>348780644.23317403</v>
      </c>
    </row>
    <row r="169" spans="1:11" x14ac:dyDescent="0.3">
      <c r="A169" s="10">
        <f ca="1"/>
        <v>45843.229166666664</v>
      </c>
      <c r="B169" s="12">
        <f ca="1"/>
        <v>107984.25</v>
      </c>
      <c r="C169" s="12">
        <f ca="1"/>
        <v>108420.56</v>
      </c>
      <c r="D169" s="12">
        <f ca="1"/>
        <v>107756.31</v>
      </c>
      <c r="E169" s="12">
        <f ca="1"/>
        <v>108198.12</v>
      </c>
      <c r="F169" s="3">
        <f ca="1"/>
        <v>3736.9757</v>
      </c>
      <c r="G169" s="10">
        <f ca="1"/>
        <v>45844.229166655095</v>
      </c>
      <c r="H169" s="3">
        <f ca="1"/>
        <v>403928702.1967476</v>
      </c>
      <c r="I169" s="3">
        <f ca="1"/>
        <v>710020</v>
      </c>
      <c r="J169" s="3">
        <f ca="1"/>
        <v>1803.6852799999999</v>
      </c>
      <c r="K169" s="3">
        <f ca="1"/>
        <v>194976807.3633011</v>
      </c>
    </row>
    <row r="170" spans="1:11" x14ac:dyDescent="0.3">
      <c r="A170" s="10">
        <f ca="1"/>
        <v>45842.229166666664</v>
      </c>
      <c r="B170" s="12">
        <f ca="1"/>
        <v>109584.77</v>
      </c>
      <c r="C170" s="12">
        <f ca="1"/>
        <v>109767.59</v>
      </c>
      <c r="D170" s="12">
        <f ca="1"/>
        <v>107245</v>
      </c>
      <c r="E170" s="12">
        <f ca="1"/>
        <v>107984.24</v>
      </c>
      <c r="F170" s="3">
        <f ca="1"/>
        <v>11793.86615</v>
      </c>
      <c r="G170" s="10">
        <f ca="1"/>
        <v>45843.229166655095</v>
      </c>
      <c r="H170" s="3">
        <f ca="1"/>
        <v>1276215111.6683652</v>
      </c>
      <c r="I170" s="3">
        <f ca="1"/>
        <v>1975212</v>
      </c>
      <c r="J170" s="3">
        <f ca="1"/>
        <v>4787.7982199999997</v>
      </c>
      <c r="K170" s="3">
        <f ca="1"/>
        <v>518313226.96675599</v>
      </c>
    </row>
    <row r="171" spans="1:11" x14ac:dyDescent="0.3">
      <c r="A171" s="10">
        <f ca="1"/>
        <v>45841.229166666664</v>
      </c>
      <c r="B171" s="12">
        <f ca="1"/>
        <v>108849.59</v>
      </c>
      <c r="C171" s="12">
        <f ca="1"/>
        <v>110529.18</v>
      </c>
      <c r="D171" s="12">
        <f ca="1"/>
        <v>108530.4</v>
      </c>
      <c r="E171" s="12">
        <f ca="1"/>
        <v>109584.78</v>
      </c>
      <c r="F171" s="3">
        <f ca="1"/>
        <v>13047.082249999999</v>
      </c>
      <c r="G171" s="10">
        <f ca="1"/>
        <v>45842.229166655095</v>
      </c>
      <c r="H171" s="3">
        <f ca="1"/>
        <v>1429459048.6383262</v>
      </c>
      <c r="I171" s="3">
        <f ca="1"/>
        <v>2568944</v>
      </c>
      <c r="J171" s="3">
        <f ca="1"/>
        <v>6961.8968599999998</v>
      </c>
      <c r="K171" s="3">
        <f ca="1"/>
        <v>763022147.911677</v>
      </c>
    </row>
    <row r="172" spans="1:11" x14ac:dyDescent="0.3">
      <c r="A172" s="10">
        <f ca="1"/>
        <v>45840.229166666664</v>
      </c>
      <c r="B172" s="12">
        <f ca="1"/>
        <v>105681.13</v>
      </c>
      <c r="C172" s="12">
        <f ca="1"/>
        <v>109730</v>
      </c>
      <c r="D172" s="12">
        <f ca="1"/>
        <v>105100.19</v>
      </c>
      <c r="E172" s="12">
        <f ca="1"/>
        <v>108849.60000000001</v>
      </c>
      <c r="F172" s="3">
        <f ca="1"/>
        <v>17691.895919999999</v>
      </c>
      <c r="G172" s="10">
        <f ca="1"/>
        <v>45841.229166655095</v>
      </c>
      <c r="H172" s="3">
        <f ca="1"/>
        <v>1915699005.8772898</v>
      </c>
      <c r="I172" s="3">
        <f ca="1"/>
        <v>2444708</v>
      </c>
      <c r="J172" s="3">
        <f ca="1"/>
        <v>9248.4302900000002</v>
      </c>
      <c r="K172" s="3">
        <f ca="1"/>
        <v>1002261738.2088752</v>
      </c>
    </row>
    <row r="173" spans="1:11" x14ac:dyDescent="0.3">
      <c r="A173" s="10">
        <f ca="1"/>
        <v>45839.229166666664</v>
      </c>
      <c r="B173" s="12">
        <f ca="1"/>
        <v>107146.51</v>
      </c>
      <c r="C173" s="12">
        <f ca="1"/>
        <v>107540</v>
      </c>
      <c r="D173" s="12">
        <f ca="1"/>
        <v>105250.85</v>
      </c>
      <c r="E173" s="12">
        <f ca="1"/>
        <v>105681.14</v>
      </c>
      <c r="F173" s="3">
        <f ca="1"/>
        <v>10505.62437</v>
      </c>
      <c r="G173" s="10">
        <f ca="1"/>
        <v>45840.229166655095</v>
      </c>
      <c r="H173" s="3">
        <f ca="1"/>
        <v>1117432945.8926365</v>
      </c>
      <c r="I173" s="3">
        <f ca="1"/>
        <v>2013289</v>
      </c>
      <c r="J173" s="3">
        <f ca="1"/>
        <v>4648.9172699999999</v>
      </c>
      <c r="K173" s="3">
        <f ca="1"/>
        <v>494549276.18377852</v>
      </c>
    </row>
    <row r="174" spans="1:11" x14ac:dyDescent="0.3">
      <c r="A174" s="10">
        <f ca="1"/>
        <v>45838.229166666664</v>
      </c>
      <c r="B174" s="12">
        <f ca="1"/>
        <v>108356.93</v>
      </c>
      <c r="C174" s="12">
        <f ca="1"/>
        <v>108789.99</v>
      </c>
      <c r="D174" s="12">
        <f ca="1"/>
        <v>106733.33</v>
      </c>
      <c r="E174" s="12">
        <f ca="1"/>
        <v>107146.5</v>
      </c>
      <c r="F174" s="3">
        <f ca="1"/>
        <v>9754.1249100000005</v>
      </c>
      <c r="G174" s="10">
        <f ca="1"/>
        <v>45839.229166655095</v>
      </c>
      <c r="H174" s="3">
        <f ca="1"/>
        <v>1050407152.345058</v>
      </c>
      <c r="I174" s="3">
        <f ca="1"/>
        <v>1773485</v>
      </c>
      <c r="J174" s="3">
        <f ca="1"/>
        <v>4331.3813</v>
      </c>
      <c r="K174" s="3">
        <f ca="1"/>
        <v>466474537.78821218</v>
      </c>
    </row>
    <row r="175" spans="1:11" x14ac:dyDescent="0.3">
      <c r="A175" s="10">
        <f ca="1"/>
        <v>45837.229166666664</v>
      </c>
      <c r="B175" s="12">
        <f ca="1"/>
        <v>107296.79</v>
      </c>
      <c r="C175" s="12">
        <f ca="1"/>
        <v>108528.5</v>
      </c>
      <c r="D175" s="12">
        <f ca="1"/>
        <v>107172.52</v>
      </c>
      <c r="E175" s="12">
        <f ca="1"/>
        <v>108356.93</v>
      </c>
      <c r="F175" s="3">
        <f ca="1"/>
        <v>6831.7363999999998</v>
      </c>
      <c r="G175" s="10">
        <f ca="1"/>
        <v>45838.229166655095</v>
      </c>
      <c r="H175" s="3">
        <f ca="1"/>
        <v>736708189.94956839</v>
      </c>
      <c r="I175" s="3">
        <f ca="1"/>
        <v>1223202</v>
      </c>
      <c r="J175" s="3">
        <f ca="1"/>
        <v>3771.1089499999998</v>
      </c>
      <c r="K175" s="3">
        <f ca="1"/>
        <v>406653127.09208041</v>
      </c>
    </row>
    <row r="176" spans="1:11" x14ac:dyDescent="0.3">
      <c r="A176" s="10">
        <f ca="1"/>
        <v>45836.229166666664</v>
      </c>
      <c r="B176" s="12">
        <f ca="1"/>
        <v>107047.58</v>
      </c>
      <c r="C176" s="12">
        <f ca="1"/>
        <v>107577.75</v>
      </c>
      <c r="D176" s="12">
        <f ca="1"/>
        <v>106811.51</v>
      </c>
      <c r="E176" s="12">
        <f ca="1"/>
        <v>107296.79</v>
      </c>
      <c r="F176" s="3">
        <f ca="1"/>
        <v>3282.1735199999998</v>
      </c>
      <c r="G176" s="10">
        <f ca="1"/>
        <v>45837.229166655095</v>
      </c>
      <c r="H176" s="3">
        <f ca="1"/>
        <v>352025390.60311347</v>
      </c>
      <c r="I176" s="3">
        <f ca="1"/>
        <v>653305</v>
      </c>
      <c r="J176" s="3">
        <f ca="1"/>
        <v>1514.41959</v>
      </c>
      <c r="K176" s="3">
        <f ca="1"/>
        <v>162441164.01323959</v>
      </c>
    </row>
    <row r="177" spans="1:11" x14ac:dyDescent="0.3">
      <c r="A177" s="10">
        <f ca="1"/>
        <v>45835.229166666664</v>
      </c>
      <c r="B177" s="12">
        <f ca="1"/>
        <v>106947.06</v>
      </c>
      <c r="C177" s="12">
        <f ca="1"/>
        <v>107735.34</v>
      </c>
      <c r="D177" s="12">
        <f ca="1"/>
        <v>106356.76</v>
      </c>
      <c r="E177" s="12">
        <f ca="1"/>
        <v>107047.59</v>
      </c>
      <c r="F177" s="3">
        <f ca="1"/>
        <v>12232.440420000001</v>
      </c>
      <c r="G177" s="10">
        <f ca="1"/>
        <v>45836.229166655095</v>
      </c>
      <c r="H177" s="3">
        <f ca="1"/>
        <v>1308420348.9100094</v>
      </c>
      <c r="I177" s="3">
        <f ca="1"/>
        <v>2304499</v>
      </c>
      <c r="J177" s="3">
        <f ca="1"/>
        <v>4862.2800999999999</v>
      </c>
      <c r="K177" s="3">
        <f ca="1"/>
        <v>520251258.37876642</v>
      </c>
    </row>
    <row r="178" spans="1:11" x14ac:dyDescent="0.3">
      <c r="A178" s="10">
        <f ca="1"/>
        <v>45834.229166666664</v>
      </c>
      <c r="B178" s="12">
        <f ca="1"/>
        <v>107340.59</v>
      </c>
      <c r="C178" s="12">
        <f ca="1"/>
        <v>108272.45</v>
      </c>
      <c r="D178" s="12">
        <f ca="1"/>
        <v>106562.5</v>
      </c>
      <c r="E178" s="12">
        <f ca="1"/>
        <v>106947.06</v>
      </c>
      <c r="F178" s="3">
        <f ca="1"/>
        <v>10573.272790000001</v>
      </c>
      <c r="G178" s="10">
        <f ca="1"/>
        <v>45835.229166655095</v>
      </c>
      <c r="H178" s="3">
        <f ca="1"/>
        <v>1136093974.6816013</v>
      </c>
      <c r="I178" s="3">
        <f ca="1"/>
        <v>2597742</v>
      </c>
      <c r="J178" s="3">
        <f ca="1"/>
        <v>4983.0899799999997</v>
      </c>
      <c r="K178" s="3">
        <f ca="1"/>
        <v>535471528.1944927</v>
      </c>
    </row>
    <row r="179" spans="1:11" x14ac:dyDescent="0.3">
      <c r="A179" s="10">
        <f ca="1"/>
        <v>45833.229166666664</v>
      </c>
      <c r="B179" s="12">
        <f ca="1"/>
        <v>106083</v>
      </c>
      <c r="C179" s="12">
        <f ca="1"/>
        <v>108135.3</v>
      </c>
      <c r="D179" s="12">
        <f ca="1"/>
        <v>105808.03</v>
      </c>
      <c r="E179" s="12">
        <f ca="1"/>
        <v>107340.58</v>
      </c>
      <c r="F179" s="3">
        <f ca="1"/>
        <v>16701.155510000001</v>
      </c>
      <c r="G179" s="10">
        <f ca="1"/>
        <v>45834.229166655095</v>
      </c>
      <c r="H179" s="3">
        <f ca="1"/>
        <v>1789545470.94629</v>
      </c>
      <c r="I179" s="3">
        <f ca="1"/>
        <v>2988892</v>
      </c>
      <c r="J179" s="3">
        <f ca="1"/>
        <v>8576.1370900000002</v>
      </c>
      <c r="K179" s="3">
        <f ca="1"/>
        <v>919352853.80641198</v>
      </c>
    </row>
    <row r="180" spans="1:11" x14ac:dyDescent="0.3">
      <c r="A180" s="10">
        <f ca="1"/>
        <v>45832.229166666664</v>
      </c>
      <c r="B180" s="12">
        <f ca="1"/>
        <v>105333.94</v>
      </c>
      <c r="C180" s="12">
        <f ca="1"/>
        <v>106290</v>
      </c>
      <c r="D180" s="12">
        <f ca="1"/>
        <v>104622.02</v>
      </c>
      <c r="E180" s="12">
        <f ca="1"/>
        <v>106083</v>
      </c>
      <c r="F180" s="3">
        <f ca="1"/>
        <v>14651.69335</v>
      </c>
      <c r="G180" s="10">
        <f ca="1"/>
        <v>45833.229166655095</v>
      </c>
      <c r="H180" s="3">
        <f ca="1"/>
        <v>1543451113.4563613</v>
      </c>
      <c r="I180" s="3">
        <f ca="1"/>
        <v>2973481</v>
      </c>
      <c r="J180" s="3">
        <f ca="1"/>
        <v>6848.3215799999998</v>
      </c>
      <c r="K180" s="3">
        <f ca="1"/>
        <v>721631005.28932643</v>
      </c>
    </row>
    <row r="181" spans="1:11" x14ac:dyDescent="0.3">
      <c r="A181" s="10">
        <f ca="1"/>
        <v>45831.229166666664</v>
      </c>
      <c r="B181" s="12">
        <f ca="1"/>
        <v>100963.87</v>
      </c>
      <c r="C181" s="12">
        <f ca="1"/>
        <v>106074.2</v>
      </c>
      <c r="D181" s="12">
        <f ca="1"/>
        <v>99613.33</v>
      </c>
      <c r="E181" s="12">
        <f ca="1"/>
        <v>105333.93</v>
      </c>
      <c r="F181" s="3">
        <f ca="1"/>
        <v>27666.506089999999</v>
      </c>
      <c r="G181" s="10">
        <f ca="1"/>
        <v>45832.229166655095</v>
      </c>
      <c r="H181" s="3">
        <f ca="1"/>
        <v>2836166831.0444489</v>
      </c>
      <c r="I181" s="3">
        <f ca="1"/>
        <v>4944207</v>
      </c>
      <c r="J181" s="3">
        <f ca="1"/>
        <v>13408.20163</v>
      </c>
      <c r="K181" s="3">
        <f ca="1"/>
        <v>1375654853.258466</v>
      </c>
    </row>
    <row r="182" spans="1:11" x14ac:dyDescent="0.3">
      <c r="A182" s="10">
        <f ca="1"/>
        <v>45830.229166666664</v>
      </c>
      <c r="B182" s="12">
        <f ca="1"/>
        <v>102120.02</v>
      </c>
      <c r="C182" s="12">
        <f ca="1"/>
        <v>103399.62</v>
      </c>
      <c r="D182" s="12">
        <f ca="1"/>
        <v>98200</v>
      </c>
      <c r="E182" s="12">
        <f ca="1"/>
        <v>100963.87</v>
      </c>
      <c r="F182" s="3">
        <f ca="1"/>
        <v>28746.41072</v>
      </c>
      <c r="G182" s="10">
        <f ca="1"/>
        <v>45831.229166655095</v>
      </c>
      <c r="H182" s="3">
        <f ca="1"/>
        <v>2892695407.8086877</v>
      </c>
      <c r="I182" s="3">
        <f ca="1"/>
        <v>5121309</v>
      </c>
      <c r="J182" s="3">
        <f ca="1"/>
        <v>13142.02965</v>
      </c>
      <c r="K182" s="3">
        <f ca="1"/>
        <v>1322387353.3166401</v>
      </c>
    </row>
    <row r="183" spans="1:11" x14ac:dyDescent="0.3">
      <c r="A183" s="10">
        <f ca="1"/>
        <v>45829.229166666664</v>
      </c>
      <c r="B183" s="12">
        <f ca="1"/>
        <v>103297.98</v>
      </c>
      <c r="C183" s="12">
        <f ca="1"/>
        <v>103982.64</v>
      </c>
      <c r="D183" s="12">
        <f ca="1"/>
        <v>100837.9</v>
      </c>
      <c r="E183" s="12">
        <f ca="1"/>
        <v>102120.01</v>
      </c>
      <c r="F183" s="3">
        <f ca="1"/>
        <v>11154.213320000001</v>
      </c>
      <c r="G183" s="10">
        <f ca="1"/>
        <v>45830.229166655095</v>
      </c>
      <c r="H183" s="3">
        <f ca="1"/>
        <v>1144829784.7306418</v>
      </c>
      <c r="I183" s="3">
        <f ca="1"/>
        <v>2172578</v>
      </c>
      <c r="J183" s="3">
        <f ca="1"/>
        <v>4632.93703</v>
      </c>
      <c r="K183" s="3">
        <f ca="1"/>
        <v>475270667.42267621</v>
      </c>
    </row>
    <row r="184" spans="1:11" x14ac:dyDescent="0.3">
      <c r="A184" s="10">
        <f ca="1"/>
        <v>45828.229166666664</v>
      </c>
      <c r="B184" s="12">
        <f ca="1"/>
        <v>104658.59</v>
      </c>
      <c r="C184" s="12">
        <f ca="1"/>
        <v>106524.65</v>
      </c>
      <c r="D184" s="12">
        <f ca="1"/>
        <v>102345</v>
      </c>
      <c r="E184" s="12">
        <f ca="1"/>
        <v>103297.99</v>
      </c>
      <c r="F184" s="3">
        <f ca="1"/>
        <v>16419.062829999999</v>
      </c>
      <c r="G184" s="10">
        <f ca="1"/>
        <v>45829.229166655095</v>
      </c>
      <c r="H184" s="3">
        <f ca="1"/>
        <v>1714411911.0114017</v>
      </c>
      <c r="I184" s="3">
        <f ca="1"/>
        <v>3029404</v>
      </c>
      <c r="J184" s="3">
        <f ca="1"/>
        <v>7113.9703900000004</v>
      </c>
      <c r="K184" s="3">
        <f ca="1"/>
        <v>743649283.08002114</v>
      </c>
    </row>
    <row r="185" spans="1:11" x14ac:dyDescent="0.3">
      <c r="A185" s="10">
        <f ca="1"/>
        <v>45827.229166666664</v>
      </c>
      <c r="B185" s="12">
        <f ca="1"/>
        <v>104886.79</v>
      </c>
      <c r="C185" s="12">
        <f ca="1"/>
        <v>105226.17</v>
      </c>
      <c r="D185" s="12">
        <f ca="1"/>
        <v>103929.27</v>
      </c>
      <c r="E185" s="12">
        <f ca="1"/>
        <v>104658.59</v>
      </c>
      <c r="F185" s="3">
        <f ca="1"/>
        <v>7678.6073699999997</v>
      </c>
      <c r="G185" s="10">
        <f ca="1"/>
        <v>45828.229166655095</v>
      </c>
      <c r="H185" s="3">
        <f ca="1"/>
        <v>803402575.96204495</v>
      </c>
      <c r="I185" s="3">
        <f ca="1"/>
        <v>1718045</v>
      </c>
      <c r="J185" s="3">
        <f ca="1"/>
        <v>3583.1973600000001</v>
      </c>
      <c r="K185" s="3">
        <f ca="1"/>
        <v>374871407.4107334</v>
      </c>
    </row>
    <row r="186" spans="1:11" x14ac:dyDescent="0.3">
      <c r="A186" s="10">
        <f ca="1"/>
        <v>45826.229166666664</v>
      </c>
      <c r="B186" s="12">
        <f ca="1"/>
        <v>104551.17</v>
      </c>
      <c r="C186" s="12">
        <f ca="1"/>
        <v>105550.27</v>
      </c>
      <c r="D186" s="12">
        <f ca="1"/>
        <v>103500</v>
      </c>
      <c r="E186" s="12">
        <f ca="1"/>
        <v>104886.78</v>
      </c>
      <c r="F186" s="3">
        <f ca="1"/>
        <v>13968.641670000001</v>
      </c>
      <c r="G186" s="10">
        <f ca="1"/>
        <v>45827.229166655095</v>
      </c>
      <c r="H186" s="3">
        <f ca="1"/>
        <v>1461383024.3622093</v>
      </c>
      <c r="I186" s="3">
        <f ca="1"/>
        <v>3468170</v>
      </c>
      <c r="J186" s="3">
        <f ca="1"/>
        <v>6656.3147399999998</v>
      </c>
      <c r="K186" s="3">
        <f ca="1"/>
        <v>696386846.69042957</v>
      </c>
    </row>
    <row r="187" spans="1:11" x14ac:dyDescent="0.3">
      <c r="A187" s="10">
        <f ca="1"/>
        <v>45825.229166666664</v>
      </c>
      <c r="B187" s="12">
        <f ca="1"/>
        <v>106794.53</v>
      </c>
      <c r="C187" s="12">
        <f ca="1"/>
        <v>107771.34</v>
      </c>
      <c r="D187" s="12">
        <f ca="1"/>
        <v>103371.02</v>
      </c>
      <c r="E187" s="12">
        <f ca="1"/>
        <v>104551.17</v>
      </c>
      <c r="F187" s="3">
        <f ca="1"/>
        <v>17866.330249999999</v>
      </c>
      <c r="G187" s="10">
        <f ca="1"/>
        <v>45826.229166655095</v>
      </c>
      <c r="H187" s="3">
        <f ca="1"/>
        <v>1883173484.8990998</v>
      </c>
      <c r="I187" s="3">
        <f ca="1"/>
        <v>3723010</v>
      </c>
      <c r="J187" s="3">
        <f ca="1"/>
        <v>8082.6529</v>
      </c>
      <c r="K187" s="3">
        <f ca="1"/>
        <v>852365443.21135604</v>
      </c>
    </row>
    <row r="188" spans="1:11" x14ac:dyDescent="0.3">
      <c r="A188" s="10">
        <f ca="1"/>
        <v>45824.229166666664</v>
      </c>
      <c r="B188" s="12">
        <f ca="1"/>
        <v>105594.02</v>
      </c>
      <c r="C188" s="12">
        <f ca="1"/>
        <v>108952.38</v>
      </c>
      <c r="D188" s="12">
        <f ca="1"/>
        <v>104980.37</v>
      </c>
      <c r="E188" s="12">
        <f ca="1"/>
        <v>106794.53</v>
      </c>
      <c r="F188" s="3">
        <f ca="1"/>
        <v>14922.6654</v>
      </c>
      <c r="G188" s="10">
        <f ca="1"/>
        <v>45825.229166655095</v>
      </c>
      <c r="H188" s="3">
        <f ca="1"/>
        <v>1599849840.7325244</v>
      </c>
      <c r="I188" s="3">
        <f ca="1"/>
        <v>2928998</v>
      </c>
      <c r="J188" s="3">
        <f ca="1"/>
        <v>7442.3492100000003</v>
      </c>
      <c r="K188" s="3">
        <f ca="1"/>
        <v>797865030.13661778</v>
      </c>
    </row>
    <row r="189" spans="1:11" x14ac:dyDescent="0.3">
      <c r="A189" s="10">
        <f ca="1"/>
        <v>45823.229166666664</v>
      </c>
      <c r="B189" s="12">
        <f ca="1"/>
        <v>105414.63</v>
      </c>
      <c r="C189" s="12">
        <f ca="1"/>
        <v>106128.57</v>
      </c>
      <c r="D189" s="12">
        <f ca="1"/>
        <v>104494.53</v>
      </c>
      <c r="E189" s="12">
        <f ca="1"/>
        <v>105594.01</v>
      </c>
      <c r="F189" s="3">
        <f ca="1"/>
        <v>7164.2004699999998</v>
      </c>
      <c r="G189" s="10">
        <f ca="1"/>
        <v>45824.229166655095</v>
      </c>
      <c r="H189" s="3">
        <f ca="1"/>
        <v>754596887.87480044</v>
      </c>
      <c r="I189" s="3">
        <f ca="1"/>
        <v>1564768</v>
      </c>
      <c r="J189" s="3">
        <f ca="1"/>
        <v>3356.4691200000002</v>
      </c>
      <c r="K189" s="3">
        <f ca="1"/>
        <v>353608577.68537742</v>
      </c>
    </row>
    <row r="190" spans="1:11" x14ac:dyDescent="0.3">
      <c r="A190" s="10">
        <f ca="1"/>
        <v>45822.229166666664</v>
      </c>
      <c r="B190" s="12">
        <f ca="1"/>
        <v>106066.59</v>
      </c>
      <c r="C190" s="12">
        <f ca="1"/>
        <v>106252</v>
      </c>
      <c r="D190" s="12">
        <f ca="1"/>
        <v>104300</v>
      </c>
      <c r="E190" s="12">
        <f ca="1"/>
        <v>105414.64</v>
      </c>
      <c r="F190" s="3">
        <f ca="1"/>
        <v>8798.9396899999992</v>
      </c>
      <c r="G190" s="10">
        <f ca="1"/>
        <v>45823.229166655095</v>
      </c>
      <c r="H190" s="3">
        <f ca="1"/>
        <v>925568614.17840648</v>
      </c>
      <c r="I190" s="3">
        <f ca="1"/>
        <v>1521776</v>
      </c>
      <c r="J190" s="3">
        <f ca="1"/>
        <v>3848.5549799999999</v>
      </c>
      <c r="K190" s="3">
        <f ca="1"/>
        <v>405001275.92627162</v>
      </c>
    </row>
    <row r="191" spans="1:11" x14ac:dyDescent="0.3">
      <c r="A191" s="10">
        <f ca="1"/>
        <v>45821.229166666664</v>
      </c>
      <c r="B191" s="12">
        <f ca="1"/>
        <v>105671.74</v>
      </c>
      <c r="C191" s="12">
        <f ca="1"/>
        <v>106179.53</v>
      </c>
      <c r="D191" s="12">
        <f ca="1"/>
        <v>102664.31</v>
      </c>
      <c r="E191" s="12">
        <f ca="1"/>
        <v>106066.59</v>
      </c>
      <c r="F191" s="3">
        <f ca="1"/>
        <v>26180.817340000001</v>
      </c>
      <c r="G191" s="10">
        <f ca="1"/>
        <v>45822.229166655095</v>
      </c>
      <c r="H191" s="3">
        <f ca="1"/>
        <v>2735461890.6929703</v>
      </c>
      <c r="I191" s="3">
        <f ca="1"/>
        <v>5452577</v>
      </c>
      <c r="J191" s="3">
        <f ca="1"/>
        <v>12793.707050000001</v>
      </c>
      <c r="K191" s="3">
        <f ca="1"/>
        <v>1337300355.9952192</v>
      </c>
    </row>
    <row r="192" spans="1:11" x14ac:dyDescent="0.3">
      <c r="A192" s="10">
        <f ca="1"/>
        <v>45820.229166666664</v>
      </c>
      <c r="B192" s="12">
        <f ca="1"/>
        <v>108645.13</v>
      </c>
      <c r="C192" s="12">
        <f ca="1"/>
        <v>108813.55</v>
      </c>
      <c r="D192" s="12">
        <f ca="1"/>
        <v>105671.72</v>
      </c>
      <c r="E192" s="12">
        <f ca="1"/>
        <v>105671.73</v>
      </c>
      <c r="F192" s="3">
        <f ca="1"/>
        <v>17778.672180000001</v>
      </c>
      <c r="G192" s="10">
        <f ca="1"/>
        <v>45821.229166655095</v>
      </c>
      <c r="H192" s="3">
        <f ca="1"/>
        <v>1908309274.0868344</v>
      </c>
      <c r="I192" s="3">
        <f ca="1"/>
        <v>3517420</v>
      </c>
      <c r="J192" s="3">
        <f ca="1"/>
        <v>8291.2264799999994</v>
      </c>
      <c r="K192" s="3">
        <f ca="1"/>
        <v>890420511.47044146</v>
      </c>
    </row>
    <row r="193" spans="1:11" x14ac:dyDescent="0.3">
      <c r="A193" s="10">
        <f ca="1"/>
        <v>45819.229166666664</v>
      </c>
      <c r="B193" s="12">
        <f ca="1"/>
        <v>110274.39</v>
      </c>
      <c r="C193" s="12">
        <f ca="1"/>
        <v>110392.01</v>
      </c>
      <c r="D193" s="12">
        <f ca="1"/>
        <v>108064</v>
      </c>
      <c r="E193" s="12">
        <f ca="1"/>
        <v>108645.12</v>
      </c>
      <c r="F193" s="3">
        <f ca="1"/>
        <v>13115.916380000001</v>
      </c>
      <c r="G193" s="10">
        <f ca="1"/>
        <v>45820.229166655095</v>
      </c>
      <c r="H193" s="3">
        <f ca="1"/>
        <v>1434884639.7506304</v>
      </c>
      <c r="I193" s="3">
        <f ca="1"/>
        <v>2667014</v>
      </c>
      <c r="J193" s="3">
        <f ca="1"/>
        <v>6030.9686700000002</v>
      </c>
      <c r="K193" s="3">
        <f ca="1"/>
        <v>659947218.00338686</v>
      </c>
    </row>
    <row r="194" spans="1:11" x14ac:dyDescent="0.3">
      <c r="A194" s="10">
        <f ca="1"/>
        <v>45818.229166666664</v>
      </c>
      <c r="B194" s="12">
        <f ca="1"/>
        <v>110263.02</v>
      </c>
      <c r="C194" s="12">
        <f ca="1"/>
        <v>110400</v>
      </c>
      <c r="D194" s="12">
        <f ca="1"/>
        <v>108331.03</v>
      </c>
      <c r="E194" s="12">
        <f ca="1"/>
        <v>110274.39</v>
      </c>
      <c r="F194" s="3">
        <f ca="1"/>
        <v>17071.828389999999</v>
      </c>
      <c r="G194" s="10">
        <f ca="1"/>
        <v>45819.229166655095</v>
      </c>
      <c r="H194" s="3">
        <f ca="1"/>
        <v>1867620550.192173</v>
      </c>
      <c r="I194" s="3">
        <f ca="1"/>
        <v>3003420</v>
      </c>
      <c r="J194" s="3">
        <f ca="1"/>
        <v>8009.2958099999996</v>
      </c>
      <c r="K194" s="3">
        <f ca="1"/>
        <v>876411274.39694881</v>
      </c>
    </row>
    <row r="195" spans="1:11" x14ac:dyDescent="0.3">
      <c r="A195" s="10">
        <f ca="1"/>
        <v>45817.229166666664</v>
      </c>
      <c r="B195" s="12">
        <f ca="1"/>
        <v>105734.01</v>
      </c>
      <c r="C195" s="12">
        <f ca="1"/>
        <v>110530.17</v>
      </c>
      <c r="D195" s="12">
        <f ca="1"/>
        <v>105318.37</v>
      </c>
      <c r="E195" s="12">
        <f ca="1"/>
        <v>110263.02</v>
      </c>
      <c r="F195" s="3">
        <f ca="1"/>
        <v>19975.374510000001</v>
      </c>
      <c r="G195" s="10">
        <f ca="1"/>
        <v>45818.229166655095</v>
      </c>
      <c r="H195" s="3">
        <f ca="1"/>
        <v>2154922022.2211728</v>
      </c>
      <c r="I195" s="3">
        <f ca="1"/>
        <v>2839846</v>
      </c>
      <c r="J195" s="3">
        <f ca="1"/>
        <v>10623.882170000001</v>
      </c>
      <c r="K195" s="3">
        <f ca="1"/>
        <v>1146790065.5135615</v>
      </c>
    </row>
    <row r="196" spans="1:11" x14ac:dyDescent="0.3">
      <c r="A196" s="10">
        <f ca="1"/>
        <v>45816.229166666664</v>
      </c>
      <c r="B196" s="12">
        <f ca="1"/>
        <v>105552.15</v>
      </c>
      <c r="C196" s="12">
        <f ca="1"/>
        <v>106488.14</v>
      </c>
      <c r="D196" s="12">
        <f ca="1"/>
        <v>104964.14</v>
      </c>
      <c r="E196" s="12">
        <f ca="1"/>
        <v>105734</v>
      </c>
      <c r="F196" s="3">
        <f ca="1"/>
        <v>8048.0630499999997</v>
      </c>
      <c r="G196" s="10">
        <f ca="1"/>
        <v>45817.229166655095</v>
      </c>
      <c r="H196" s="3">
        <f ca="1"/>
        <v>850887129.42829764</v>
      </c>
      <c r="I196" s="3">
        <f ca="1"/>
        <v>1295154</v>
      </c>
      <c r="J196" s="3">
        <f ca="1"/>
        <v>4361.4226600000002</v>
      </c>
      <c r="K196" s="3">
        <f ca="1"/>
        <v>461098506.08832401</v>
      </c>
    </row>
    <row r="197" spans="1:11" x14ac:dyDescent="0.3">
      <c r="A197" s="10">
        <f ca="1"/>
        <v>45815.229166666664</v>
      </c>
      <c r="B197" s="12">
        <f ca="1"/>
        <v>104288.43</v>
      </c>
      <c r="C197" s="12">
        <f ca="1"/>
        <v>105900</v>
      </c>
      <c r="D197" s="12">
        <f ca="1"/>
        <v>103871.09</v>
      </c>
      <c r="E197" s="12">
        <f ca="1"/>
        <v>105552.15</v>
      </c>
      <c r="F197" s="3">
        <f ca="1"/>
        <v>8344.9320599999992</v>
      </c>
      <c r="G197" s="10">
        <f ca="1"/>
        <v>45816.229166655095</v>
      </c>
      <c r="H197" s="3">
        <f ca="1"/>
        <v>877915380.95482314</v>
      </c>
      <c r="I197" s="3">
        <f ca="1"/>
        <v>1402494</v>
      </c>
      <c r="J197" s="3">
        <f ca="1"/>
        <v>3970.0191199999999</v>
      </c>
      <c r="K197" s="3">
        <f ca="1"/>
        <v>417664199.19127119</v>
      </c>
    </row>
    <row r="198" spans="1:11" x14ac:dyDescent="0.3">
      <c r="A198" s="10">
        <f ca="1"/>
        <v>45814.229166666664</v>
      </c>
      <c r="B198" s="12">
        <f ca="1"/>
        <v>101508.69</v>
      </c>
      <c r="C198" s="12">
        <f ca="1"/>
        <v>105333</v>
      </c>
      <c r="D198" s="12">
        <f ca="1"/>
        <v>101095.8</v>
      </c>
      <c r="E198" s="12">
        <f ca="1"/>
        <v>104288.44</v>
      </c>
      <c r="F198" s="3">
        <f ca="1"/>
        <v>15839.073850000001</v>
      </c>
      <c r="G198" s="10">
        <f ca="1"/>
        <v>45815.229166655095</v>
      </c>
      <c r="H198" s="3">
        <f ca="1"/>
        <v>1642382404.9355752</v>
      </c>
      <c r="I198" s="3">
        <f ca="1"/>
        <v>2709327</v>
      </c>
      <c r="J198" s="3">
        <f ca="1"/>
        <v>7655.6067899999998</v>
      </c>
      <c r="K198" s="3">
        <f ca="1"/>
        <v>793575821.43579316</v>
      </c>
    </row>
    <row r="199" spans="1:11" x14ac:dyDescent="0.3">
      <c r="A199" s="10">
        <f ca="1"/>
        <v>45813.229166666664</v>
      </c>
      <c r="B199" s="12">
        <f ca="1"/>
        <v>104696.86</v>
      </c>
      <c r="C199" s="12">
        <f ca="1"/>
        <v>105909.71</v>
      </c>
      <c r="D199" s="12">
        <f ca="1"/>
        <v>100372.26</v>
      </c>
      <c r="E199" s="12">
        <f ca="1"/>
        <v>101508.68</v>
      </c>
      <c r="F199" s="3">
        <f ca="1"/>
        <v>22321.501540000001</v>
      </c>
      <c r="G199" s="10">
        <f ca="1"/>
        <v>45814.229166655095</v>
      </c>
      <c r="H199" s="3">
        <f ca="1"/>
        <v>2301567892.5305448</v>
      </c>
      <c r="I199" s="3">
        <f ca="1"/>
        <v>3963295</v>
      </c>
      <c r="J199" s="3">
        <f ca="1"/>
        <v>10005.360189999999</v>
      </c>
      <c r="K199" s="3">
        <f ca="1"/>
        <v>1031668517.0427111</v>
      </c>
    </row>
    <row r="200" spans="1:11" x14ac:dyDescent="0.3">
      <c r="A200" s="10">
        <f ca="1"/>
        <v>45812.229166666664</v>
      </c>
      <c r="B200" s="12">
        <f ca="1"/>
        <v>105376.9</v>
      </c>
      <c r="C200" s="12">
        <f ca="1"/>
        <v>106000</v>
      </c>
      <c r="D200" s="12">
        <f ca="1"/>
        <v>104179</v>
      </c>
      <c r="E200" s="12">
        <f ca="1"/>
        <v>104696.86</v>
      </c>
      <c r="F200" s="3">
        <f ca="1"/>
        <v>14034.89482</v>
      </c>
      <c r="G200" s="10">
        <f ca="1"/>
        <v>45813.229166655095</v>
      </c>
      <c r="H200" s="3">
        <f ca="1"/>
        <v>1476928482.3688781</v>
      </c>
      <c r="I200" s="3">
        <f ca="1"/>
        <v>2274464</v>
      </c>
      <c r="J200" s="3">
        <f ca="1"/>
        <v>6979.9490999999998</v>
      </c>
      <c r="K200" s="3">
        <f ca="1"/>
        <v>734803757.41858375</v>
      </c>
    </row>
    <row r="201" spans="1:11" x14ac:dyDescent="0.3">
      <c r="A201" s="10">
        <f ca="1"/>
        <v>45811.229166666664</v>
      </c>
      <c r="B201" s="12">
        <f ca="1"/>
        <v>105858</v>
      </c>
      <c r="C201" s="12">
        <f ca="1"/>
        <v>106794.67</v>
      </c>
      <c r="D201" s="12">
        <f ca="1"/>
        <v>104872.5</v>
      </c>
      <c r="E201" s="12">
        <f ca="1"/>
        <v>105376.89</v>
      </c>
      <c r="F201" s="3">
        <f ca="1"/>
        <v>13259.52634</v>
      </c>
      <c r="G201" s="10">
        <f ca="1"/>
        <v>45812.229166655095</v>
      </c>
      <c r="H201" s="3">
        <f ca="1"/>
        <v>1402493746.5993218</v>
      </c>
      <c r="I201" s="3">
        <f ca="1"/>
        <v>2470698</v>
      </c>
      <c r="J201" s="3">
        <f ca="1"/>
        <v>6260.2243600000002</v>
      </c>
      <c r="K201" s="3">
        <f ca="1"/>
        <v>662160926.82412255</v>
      </c>
    </row>
    <row r="202" spans="1:11" x14ac:dyDescent="0.3">
      <c r="A202" s="10">
        <f ca="1"/>
        <v>45810.229166666664</v>
      </c>
      <c r="B202" s="12">
        <f ca="1"/>
        <v>105642.93</v>
      </c>
      <c r="C202" s="12">
        <f ca="1"/>
        <v>105935.63</v>
      </c>
      <c r="D202" s="12">
        <f ca="1"/>
        <v>103659.88</v>
      </c>
      <c r="E202" s="12">
        <f ca="1"/>
        <v>105857.99</v>
      </c>
      <c r="F202" s="3">
        <f ca="1"/>
        <v>13453.98813</v>
      </c>
      <c r="G202" s="10">
        <f ca="1"/>
        <v>45811.229166655095</v>
      </c>
      <c r="H202" s="3">
        <f ca="1"/>
        <v>1409004206.9863732</v>
      </c>
      <c r="I202" s="3">
        <f ca="1"/>
        <v>2997656</v>
      </c>
      <c r="J202" s="3">
        <f ca="1"/>
        <v>6494.6549699999996</v>
      </c>
      <c r="K202" s="3">
        <f ca="1"/>
        <v>680177826.6144172</v>
      </c>
    </row>
    <row r="203" spans="1:11" x14ac:dyDescent="0.3">
      <c r="A203" s="10">
        <f ca="1"/>
        <v>45809.229166666664</v>
      </c>
      <c r="B203" s="12">
        <f ca="1"/>
        <v>104591.88</v>
      </c>
      <c r="C203" s="12">
        <f ca="1"/>
        <v>105866.91</v>
      </c>
      <c r="D203" s="12">
        <f ca="1"/>
        <v>103752.49</v>
      </c>
      <c r="E203" s="12">
        <f ca="1"/>
        <v>105642.93</v>
      </c>
      <c r="F203" s="3">
        <f ca="1"/>
        <v>9709.7000599999992</v>
      </c>
      <c r="G203" s="10">
        <f ca="1"/>
        <v>45810.229166655095</v>
      </c>
      <c r="H203" s="3">
        <f ca="1"/>
        <v>1016188486.9505996</v>
      </c>
      <c r="I203" s="3">
        <f ca="1"/>
        <v>1939359</v>
      </c>
      <c r="J203" s="3">
        <f ca="1"/>
        <v>4640.3507</v>
      </c>
      <c r="K203" s="3">
        <f ca="1"/>
        <v>485683466.93478429</v>
      </c>
    </row>
    <row r="204" spans="1:11" x14ac:dyDescent="0.3">
      <c r="A204" s="10">
        <f ca="1"/>
        <v>45808.229166666664</v>
      </c>
      <c r="B204" s="12">
        <f ca="1"/>
        <v>103985.47</v>
      </c>
      <c r="C204" s="12">
        <f ca="1"/>
        <v>104900</v>
      </c>
      <c r="D204" s="12">
        <f ca="1"/>
        <v>103068.55</v>
      </c>
      <c r="E204" s="12">
        <f ca="1"/>
        <v>104591.88</v>
      </c>
      <c r="F204" s="3">
        <f ca="1"/>
        <v>11289.35922</v>
      </c>
      <c r="G204" s="10">
        <f ca="1"/>
        <v>45809.229166655095</v>
      </c>
      <c r="H204" s="3">
        <f ca="1"/>
        <v>1174000801.5070379</v>
      </c>
      <c r="I204" s="3">
        <f ca="1"/>
        <v>2343787</v>
      </c>
      <c r="J204" s="3">
        <f ca="1"/>
        <v>5278.9517500000002</v>
      </c>
      <c r="K204" s="3">
        <f ca="1"/>
        <v>548980630.84935784</v>
      </c>
    </row>
    <row r="205" spans="1:11" x14ac:dyDescent="0.3">
      <c r="A205" s="10">
        <f ca="1"/>
        <v>45807.229166666664</v>
      </c>
      <c r="B205" s="12">
        <f ca="1"/>
        <v>105589.75</v>
      </c>
      <c r="C205" s="12">
        <f ca="1"/>
        <v>106313.12</v>
      </c>
      <c r="D205" s="12">
        <f ca="1"/>
        <v>103621</v>
      </c>
      <c r="E205" s="12">
        <f ca="1"/>
        <v>103985.48</v>
      </c>
      <c r="F205" s="3">
        <f ca="1"/>
        <v>23706.49799</v>
      </c>
      <c r="G205" s="10">
        <f ca="1"/>
        <v>45808.229166655095</v>
      </c>
      <c r="H205" s="3">
        <f ca="1"/>
        <v>2493078549.5918608</v>
      </c>
      <c r="I205" s="3">
        <f ca="1"/>
        <v>4307572</v>
      </c>
      <c r="J205" s="3">
        <f ca="1"/>
        <v>11070.98746</v>
      </c>
      <c r="K205" s="3">
        <f ca="1"/>
        <v>1164158558.6435854</v>
      </c>
    </row>
    <row r="206" spans="1:11" x14ac:dyDescent="0.3">
      <c r="A206" s="10">
        <f ca="1"/>
        <v>45806.229166666664</v>
      </c>
      <c r="B206" s="12">
        <f ca="1"/>
        <v>107781.78</v>
      </c>
      <c r="C206" s="12">
        <f ca="1"/>
        <v>108891.91</v>
      </c>
      <c r="D206" s="12">
        <f ca="1"/>
        <v>105322.86</v>
      </c>
      <c r="E206" s="12">
        <f ca="1"/>
        <v>105589.75</v>
      </c>
      <c r="F206" s="3">
        <f ca="1"/>
        <v>19834.701160000001</v>
      </c>
      <c r="G206" s="10">
        <f ca="1"/>
        <v>45807.229166655095</v>
      </c>
      <c r="H206" s="3">
        <f ca="1"/>
        <v>2128639017.5081618</v>
      </c>
      <c r="I206" s="3">
        <f ca="1"/>
        <v>3774926</v>
      </c>
      <c r="J206" s="3">
        <f ca="1"/>
        <v>9457.4935600000008</v>
      </c>
      <c r="K206" s="3">
        <f ca="1"/>
        <v>1015173771.5489898</v>
      </c>
    </row>
    <row r="207" spans="1:11" x14ac:dyDescent="0.3">
      <c r="A207" s="10">
        <f ca="1"/>
        <v>45805.229166666664</v>
      </c>
      <c r="B207" s="12">
        <f ca="1"/>
        <v>108938.17</v>
      </c>
      <c r="C207" s="12">
        <f ca="1"/>
        <v>109284.7</v>
      </c>
      <c r="D207" s="12">
        <f ca="1"/>
        <v>106769.43</v>
      </c>
      <c r="E207" s="12">
        <f ca="1"/>
        <v>107781.78</v>
      </c>
      <c r="F207" s="3">
        <f ca="1"/>
        <v>15633.78829</v>
      </c>
      <c r="G207" s="10">
        <f ca="1"/>
        <v>45806.229166655095</v>
      </c>
      <c r="H207" s="3">
        <f ca="1"/>
        <v>1689136748.5130312</v>
      </c>
      <c r="I207" s="3">
        <f ca="1"/>
        <v>2933262</v>
      </c>
      <c r="J207" s="3">
        <f ca="1"/>
        <v>6877.2734099999998</v>
      </c>
      <c r="K207" s="3">
        <f ca="1"/>
        <v>743282966.72071958</v>
      </c>
    </row>
    <row r="208" spans="1:11" x14ac:dyDescent="0.3">
      <c r="A208" s="10">
        <f ca="1"/>
        <v>45804.229166666664</v>
      </c>
      <c r="B208" s="12">
        <f ca="1"/>
        <v>109434.78</v>
      </c>
      <c r="C208" s="12">
        <f ca="1"/>
        <v>110718</v>
      </c>
      <c r="D208" s="12">
        <f ca="1"/>
        <v>107516.57</v>
      </c>
      <c r="E208" s="12">
        <f ca="1"/>
        <v>108938.17</v>
      </c>
      <c r="F208" s="3">
        <f ca="1"/>
        <v>21276.656350000001</v>
      </c>
      <c r="G208" s="10">
        <f ca="1"/>
        <v>45805.229166655095</v>
      </c>
      <c r="H208" s="3">
        <f ca="1"/>
        <v>2327603851.1192651</v>
      </c>
      <c r="I208" s="3">
        <f ca="1"/>
        <v>3735509</v>
      </c>
      <c r="J208" s="3">
        <f ca="1"/>
        <v>9969.8927100000001</v>
      </c>
      <c r="K208" s="3">
        <f ca="1"/>
        <v>1090553624.4615991</v>
      </c>
    </row>
    <row r="209" spans="1:11" x14ac:dyDescent="0.3">
      <c r="A209" s="10">
        <f ca="1"/>
        <v>45803.229166666664</v>
      </c>
      <c r="B209" s="12">
        <f ca="1"/>
        <v>109004.2</v>
      </c>
      <c r="C209" s="12">
        <f ca="1"/>
        <v>110422.22</v>
      </c>
      <c r="D209" s="12">
        <f ca="1"/>
        <v>108670.58</v>
      </c>
      <c r="E209" s="12">
        <f ca="1"/>
        <v>109434.79</v>
      </c>
      <c r="F209" s="3">
        <f ca="1"/>
        <v>14649.11593</v>
      </c>
      <c r="G209" s="10">
        <f ca="1"/>
        <v>45804.229166655095</v>
      </c>
      <c r="H209" s="3">
        <f ca="1"/>
        <v>1605578282.107903</v>
      </c>
      <c r="I209" s="3">
        <f ca="1"/>
        <v>2887863</v>
      </c>
      <c r="J209" s="3">
        <f ca="1"/>
        <v>7301.1128799999997</v>
      </c>
      <c r="K209" s="3">
        <f ca="1"/>
        <v>800269021.1922797</v>
      </c>
    </row>
    <row r="210" spans="1:11" x14ac:dyDescent="0.3">
      <c r="A210" s="10">
        <f ca="1"/>
        <v>45802.229166666664</v>
      </c>
      <c r="B210" s="12">
        <f ca="1"/>
        <v>107761.9</v>
      </c>
      <c r="C210" s="12">
        <f ca="1"/>
        <v>109299.99</v>
      </c>
      <c r="D210" s="12">
        <f ca="1"/>
        <v>106600.64</v>
      </c>
      <c r="E210" s="12">
        <f ca="1"/>
        <v>109004.19</v>
      </c>
      <c r="F210" s="3">
        <f ca="1"/>
        <v>17710.04695</v>
      </c>
      <c r="G210" s="10">
        <f ca="1"/>
        <v>45803.229166655095</v>
      </c>
      <c r="H210" s="3">
        <f ca="1"/>
        <v>1904366455.425858</v>
      </c>
      <c r="I210" s="3">
        <f ca="1"/>
        <v>3151168</v>
      </c>
      <c r="J210" s="3">
        <f ca="1"/>
        <v>7867.1671200000001</v>
      </c>
      <c r="K210" s="3">
        <f ca="1"/>
        <v>846688135.00971365</v>
      </c>
    </row>
    <row r="211" spans="1:11" x14ac:dyDescent="0.3">
      <c r="A211" s="10">
        <f ca="1"/>
        <v>45801.229166666664</v>
      </c>
      <c r="B211" s="12">
        <f ca="1"/>
        <v>107318.3</v>
      </c>
      <c r="C211" s="12">
        <f ca="1"/>
        <v>109506.03</v>
      </c>
      <c r="D211" s="12">
        <f ca="1"/>
        <v>106875.41</v>
      </c>
      <c r="E211" s="12">
        <f ca="1"/>
        <v>107761.91</v>
      </c>
      <c r="F211" s="3">
        <f ca="1"/>
        <v>16782.531289999999</v>
      </c>
      <c r="G211" s="10">
        <f ca="1"/>
        <v>45802.229166655095</v>
      </c>
      <c r="H211" s="3">
        <f ca="1"/>
        <v>1819958819.7748587</v>
      </c>
      <c r="I211" s="3">
        <f ca="1"/>
        <v>2805418</v>
      </c>
      <c r="J211" s="3">
        <f ca="1"/>
        <v>8786.9074700000001</v>
      </c>
      <c r="K211" s="3">
        <f ca="1"/>
        <v>953683093.32165694</v>
      </c>
    </row>
    <row r="212" spans="1:11" x14ac:dyDescent="0.3">
      <c r="A212" s="10">
        <f ca="1"/>
        <v>45800.229166666664</v>
      </c>
      <c r="B212" s="12">
        <f ca="1"/>
        <v>111696.22</v>
      </c>
      <c r="C212" s="12">
        <f ca="1"/>
        <v>111800</v>
      </c>
      <c r="D212" s="12">
        <f ca="1"/>
        <v>106800</v>
      </c>
      <c r="E212" s="12">
        <f ca="1"/>
        <v>107318.3</v>
      </c>
      <c r="F212" s="3">
        <f ca="1"/>
        <v>31737.72309</v>
      </c>
      <c r="G212" s="10">
        <f ca="1"/>
        <v>45801.229166655095</v>
      </c>
      <c r="H212" s="3">
        <f ca="1"/>
        <v>3469704446.3904047</v>
      </c>
      <c r="I212" s="3">
        <f ca="1"/>
        <v>5251192</v>
      </c>
      <c r="J212" s="3">
        <f ca="1"/>
        <v>14309.31652</v>
      </c>
      <c r="K212" s="3">
        <f ca="1"/>
        <v>1565622441.1875169</v>
      </c>
    </row>
    <row r="213" spans="1:11" x14ac:dyDescent="0.3">
      <c r="A213" s="10">
        <f ca="1"/>
        <v>45799.229166666664</v>
      </c>
      <c r="B213" s="12">
        <f ca="1"/>
        <v>109643.99</v>
      </c>
      <c r="C213" s="12">
        <f ca="1"/>
        <v>111980</v>
      </c>
      <c r="D213" s="12">
        <f ca="1"/>
        <v>109177.37</v>
      </c>
      <c r="E213" s="12">
        <f ca="1"/>
        <v>111696.21</v>
      </c>
      <c r="F213" s="3">
        <f ca="1"/>
        <v>31630.773130000001</v>
      </c>
      <c r="G213" s="10">
        <f ca="1"/>
        <v>45800.229166655095</v>
      </c>
      <c r="H213" s="3">
        <f ca="1"/>
        <v>3509432834.5734172</v>
      </c>
      <c r="I213" s="3">
        <f ca="1"/>
        <v>5794216</v>
      </c>
      <c r="J213" s="3">
        <f ca="1"/>
        <v>16584.56293</v>
      </c>
      <c r="K213" s="3">
        <f ca="1"/>
        <v>1840083098.5827858</v>
      </c>
    </row>
    <row r="214" spans="1:11" x14ac:dyDescent="0.3">
      <c r="A214" s="10">
        <f ca="1"/>
        <v>45798.229166666664</v>
      </c>
      <c r="B214" s="12">
        <f ca="1"/>
        <v>106850</v>
      </c>
      <c r="C214" s="12">
        <f ca="1"/>
        <v>110797.38</v>
      </c>
      <c r="D214" s="12">
        <f ca="1"/>
        <v>106100.01</v>
      </c>
      <c r="E214" s="12">
        <f ca="1"/>
        <v>109643.99</v>
      </c>
      <c r="F214" s="3">
        <f ca="1"/>
        <v>45531.040345000001</v>
      </c>
      <c r="G214" s="10">
        <f ca="1"/>
        <v>45799.229166655095</v>
      </c>
      <c r="H214" s="3">
        <f ca="1"/>
        <v>4914709514.3200264</v>
      </c>
      <c r="I214" s="3">
        <f ca="1"/>
        <v>6835279</v>
      </c>
      <c r="J214" s="3">
        <f ca="1"/>
        <v>23661.649395</v>
      </c>
      <c r="K214" s="3">
        <f ca="1"/>
        <v>2555528481.0987258</v>
      </c>
    </row>
    <row r="215" spans="1:11" x14ac:dyDescent="0.3">
      <c r="A215" s="10">
        <f ca="1"/>
        <v>45797.229166666664</v>
      </c>
      <c r="B215" s="12">
        <f ca="1"/>
        <v>105573.73</v>
      </c>
      <c r="C215" s="12">
        <f ca="1"/>
        <v>107320</v>
      </c>
      <c r="D215" s="12">
        <f ca="1"/>
        <v>104184.72</v>
      </c>
      <c r="E215" s="12">
        <f ca="1"/>
        <v>106849.99</v>
      </c>
      <c r="F215" s="3">
        <f ca="1"/>
        <v>23705.482749999999</v>
      </c>
      <c r="G215" s="10">
        <f ca="1"/>
        <v>45798.229166655095</v>
      </c>
      <c r="H215" s="3">
        <f ca="1"/>
        <v>2509102444.6695981</v>
      </c>
      <c r="I215" s="3">
        <f ca="1"/>
        <v>3878351</v>
      </c>
      <c r="J215" s="3">
        <f ca="1"/>
        <v>12350.462750000001</v>
      </c>
      <c r="K215" s="3">
        <f ca="1"/>
        <v>1307273652.3895233</v>
      </c>
    </row>
    <row r="216" spans="1:11" x14ac:dyDescent="0.3">
      <c r="A216" s="10">
        <f ca="1"/>
        <v>45796.229166666664</v>
      </c>
      <c r="B216" s="12">
        <f ca="1"/>
        <v>106454.27</v>
      </c>
      <c r="C216" s="12">
        <f ca="1"/>
        <v>107108.62</v>
      </c>
      <c r="D216" s="12">
        <f ca="1"/>
        <v>102000</v>
      </c>
      <c r="E216" s="12">
        <f ca="1"/>
        <v>105573.74</v>
      </c>
      <c r="F216" s="3">
        <f ca="1"/>
        <v>30260.035240000001</v>
      </c>
      <c r="G216" s="10">
        <f ca="1"/>
        <v>45797.229166655095</v>
      </c>
      <c r="H216" s="3">
        <f ca="1"/>
        <v>3150324504.5954514</v>
      </c>
      <c r="I216" s="3">
        <f ca="1"/>
        <v>4881371</v>
      </c>
      <c r="J216" s="3">
        <f ca="1"/>
        <v>14208.308999999999</v>
      </c>
      <c r="K216" s="3">
        <f ca="1"/>
        <v>1480452895.0841563</v>
      </c>
    </row>
    <row r="217" spans="1:11" x14ac:dyDescent="0.3">
      <c r="A217" s="10">
        <f ca="1"/>
        <v>45795.229166666664</v>
      </c>
      <c r="B217" s="12">
        <f ca="1"/>
        <v>103126.65</v>
      </c>
      <c r="C217" s="12">
        <f ca="1"/>
        <v>106660</v>
      </c>
      <c r="D217" s="12">
        <f ca="1"/>
        <v>103105.09</v>
      </c>
      <c r="E217" s="12">
        <f ca="1"/>
        <v>106454.26</v>
      </c>
      <c r="F217" s="3">
        <f ca="1"/>
        <v>21599.987260000002</v>
      </c>
      <c r="G217" s="10">
        <f ca="1"/>
        <v>45796.229166655095</v>
      </c>
      <c r="H217" s="3">
        <f ca="1"/>
        <v>2262214972.0749383</v>
      </c>
      <c r="I217" s="3">
        <f ca="1"/>
        <v>3193300</v>
      </c>
      <c r="J217" s="3">
        <f ca="1"/>
        <v>11664.89904</v>
      </c>
      <c r="K217" s="3">
        <f ca="1"/>
        <v>1221914552.0552013</v>
      </c>
    </row>
    <row r="218" spans="1:11" x14ac:dyDescent="0.3">
      <c r="A218" s="10">
        <f ca="1"/>
        <v>45794.229166666664</v>
      </c>
      <c r="B218" s="12">
        <f ca="1"/>
        <v>103463.9</v>
      </c>
      <c r="C218" s="12">
        <f ca="1"/>
        <v>103709.86</v>
      </c>
      <c r="D218" s="12">
        <f ca="1"/>
        <v>102612.5</v>
      </c>
      <c r="E218" s="12">
        <f ca="1"/>
        <v>103126.65</v>
      </c>
      <c r="F218" s="3">
        <f ca="1"/>
        <v>11250.896220000001</v>
      </c>
      <c r="G218" s="10">
        <f ca="1"/>
        <v>45795.229166655095</v>
      </c>
      <c r="H218" s="3">
        <f ca="1"/>
        <v>1160418362.950618</v>
      </c>
      <c r="I218" s="3">
        <f ca="1"/>
        <v>2568597</v>
      </c>
      <c r="J218" s="3">
        <f ca="1"/>
        <v>5335.1152499999998</v>
      </c>
      <c r="K218" s="3">
        <f ca="1"/>
        <v>550379728.73385012</v>
      </c>
    </row>
    <row r="219" spans="1:11" x14ac:dyDescent="0.3">
      <c r="A219" s="10">
        <f ca="1"/>
        <v>45793.229166666664</v>
      </c>
      <c r="B219" s="12">
        <f ca="1"/>
        <v>103763.71</v>
      </c>
      <c r="C219" s="12">
        <f ca="1"/>
        <v>104550.33</v>
      </c>
      <c r="D219" s="12">
        <f ca="1"/>
        <v>103100.49</v>
      </c>
      <c r="E219" s="12">
        <f ca="1"/>
        <v>103463.9</v>
      </c>
      <c r="F219" s="3">
        <f ca="1"/>
        <v>15683.88024</v>
      </c>
      <c r="G219" s="10">
        <f ca="1"/>
        <v>45794.229166655095</v>
      </c>
      <c r="H219" s="3">
        <f ca="1"/>
        <v>1628832372.3241482</v>
      </c>
      <c r="I219" s="3">
        <f ca="1"/>
        <v>3237442</v>
      </c>
      <c r="J219" s="3">
        <f ca="1"/>
        <v>7555.1580100000001</v>
      </c>
      <c r="K219" s="3">
        <f ca="1"/>
        <v>784850382.19427466</v>
      </c>
    </row>
    <row r="220" spans="1:11" x14ac:dyDescent="0.3">
      <c r="A220" s="10">
        <f ca="1"/>
        <v>45792.229166666664</v>
      </c>
      <c r="B220" s="12">
        <f ca="1"/>
        <v>103507.83</v>
      </c>
      <c r="C220" s="12">
        <f ca="1"/>
        <v>104192.7</v>
      </c>
      <c r="D220" s="12">
        <f ca="1"/>
        <v>101383.07</v>
      </c>
      <c r="E220" s="12">
        <f ca="1"/>
        <v>103763.71</v>
      </c>
      <c r="F220" s="3">
        <f ca="1"/>
        <v>17998.98604</v>
      </c>
      <c r="G220" s="10">
        <f ca="1"/>
        <v>45793.229166655095</v>
      </c>
      <c r="H220" s="3">
        <f ca="1"/>
        <v>1850183474.5292037</v>
      </c>
      <c r="I220" s="3">
        <f ca="1"/>
        <v>4139477</v>
      </c>
      <c r="J220" s="3">
        <f ca="1"/>
        <v>8475.1803600000003</v>
      </c>
      <c r="K220" s="3">
        <f ca="1"/>
        <v>871244345.56413603</v>
      </c>
    </row>
    <row r="221" spans="1:11" x14ac:dyDescent="0.3">
      <c r="A221" s="10">
        <f ca="1"/>
        <v>45791.229166666664</v>
      </c>
      <c r="B221" s="12">
        <f ca="1"/>
        <v>104103.72</v>
      </c>
      <c r="C221" s="12">
        <f ca="1"/>
        <v>104356.95</v>
      </c>
      <c r="D221" s="12">
        <f ca="1"/>
        <v>102602.05</v>
      </c>
      <c r="E221" s="12">
        <f ca="1"/>
        <v>103507.82</v>
      </c>
      <c r="F221" s="3">
        <f ca="1"/>
        <v>16452.908100000001</v>
      </c>
      <c r="G221" s="10">
        <f ca="1"/>
        <v>45792.229166655095</v>
      </c>
      <c r="H221" s="3">
        <f ca="1"/>
        <v>1704708279.3884108</v>
      </c>
      <c r="I221" s="3">
        <f ca="1"/>
        <v>3025221</v>
      </c>
      <c r="J221" s="3">
        <f ca="1"/>
        <v>8026.0333300000002</v>
      </c>
      <c r="K221" s="3">
        <f ca="1"/>
        <v>831783471.65436101</v>
      </c>
    </row>
    <row r="222" spans="1:11" x14ac:dyDescent="0.3">
      <c r="A222" s="10">
        <f ca="1"/>
        <v>45790.229166666664</v>
      </c>
      <c r="B222" s="12">
        <f ca="1"/>
        <v>102791.32</v>
      </c>
      <c r="C222" s="12">
        <f ca="1"/>
        <v>104976.25</v>
      </c>
      <c r="D222" s="12">
        <f ca="1"/>
        <v>101429.7</v>
      </c>
      <c r="E222" s="12">
        <f ca="1"/>
        <v>104103.72</v>
      </c>
      <c r="F222" s="3">
        <f ca="1"/>
        <v>21253.42409</v>
      </c>
      <c r="G222" s="10">
        <f ca="1"/>
        <v>45791.229166655095</v>
      </c>
      <c r="H222" s="3">
        <f ca="1"/>
        <v>2197244118.1523671</v>
      </c>
      <c r="I222" s="3">
        <f ca="1"/>
        <v>3703531</v>
      </c>
      <c r="J222" s="3">
        <f ca="1"/>
        <v>10705.978450000001</v>
      </c>
      <c r="K222" s="3">
        <f ca="1"/>
        <v>1106609664.7077949</v>
      </c>
    </row>
    <row r="223" spans="1:11" x14ac:dyDescent="0.3">
      <c r="A223" s="10">
        <f ca="1"/>
        <v>45789.229166666664</v>
      </c>
      <c r="B223" s="12">
        <f ca="1"/>
        <v>104118</v>
      </c>
      <c r="C223" s="12">
        <f ca="1"/>
        <v>105819.45</v>
      </c>
      <c r="D223" s="12">
        <f ca="1"/>
        <v>100718.37</v>
      </c>
      <c r="E223" s="12">
        <f ca="1"/>
        <v>102791.32</v>
      </c>
      <c r="F223" s="3">
        <f ca="1"/>
        <v>31272.77792</v>
      </c>
      <c r="G223" s="10">
        <f ca="1"/>
        <v>45790.229166655095</v>
      </c>
      <c r="H223" s="3">
        <f ca="1"/>
        <v>3242348937.383069</v>
      </c>
      <c r="I223" s="3">
        <f ca="1"/>
        <v>5298407</v>
      </c>
      <c r="J223" s="3">
        <f ca="1"/>
        <v>16455.99797</v>
      </c>
      <c r="K223" s="3">
        <f ca="1"/>
        <v>1707457796.5881395</v>
      </c>
    </row>
    <row r="224" spans="1:11" x14ac:dyDescent="0.3">
      <c r="A224" s="10">
        <f ca="1"/>
        <v>45788.229166666664</v>
      </c>
      <c r="B224" s="12">
        <f ca="1"/>
        <v>104809.53</v>
      </c>
      <c r="C224" s="12">
        <f ca="1"/>
        <v>104972</v>
      </c>
      <c r="D224" s="12">
        <f ca="1"/>
        <v>103345.06</v>
      </c>
      <c r="E224" s="12">
        <f ca="1"/>
        <v>104118</v>
      </c>
      <c r="F224" s="3">
        <f ca="1"/>
        <v>17987.12197</v>
      </c>
      <c r="G224" s="10">
        <f ca="1"/>
        <v>45789.229166655095</v>
      </c>
      <c r="H224" s="3">
        <f ca="1"/>
        <v>1873381777.2124255</v>
      </c>
      <c r="I224" s="3">
        <f ca="1"/>
        <v>3100176</v>
      </c>
      <c r="J224" s="3">
        <f ca="1"/>
        <v>9071.9557800000002</v>
      </c>
      <c r="K224" s="3">
        <f ca="1"/>
        <v>944903285.10730803</v>
      </c>
    </row>
    <row r="225" spans="1:11" x14ac:dyDescent="0.3">
      <c r="A225" s="10">
        <f ca="1"/>
        <v>45787.229166666664</v>
      </c>
      <c r="B225" s="12">
        <f ca="1"/>
        <v>102971.99</v>
      </c>
      <c r="C225" s="12">
        <f ca="1"/>
        <v>104984.57</v>
      </c>
      <c r="D225" s="12">
        <f ca="1"/>
        <v>102818.76</v>
      </c>
      <c r="E225" s="12">
        <f ca="1"/>
        <v>104809.53</v>
      </c>
      <c r="F225" s="3">
        <f ca="1"/>
        <v>15324.786109999999</v>
      </c>
      <c r="G225" s="10">
        <f ca="1"/>
        <v>45788.229166655095</v>
      </c>
      <c r="H225" s="3">
        <f ca="1"/>
        <v>1588386278.5024149</v>
      </c>
      <c r="I225" s="3">
        <f ca="1"/>
        <v>2227845</v>
      </c>
      <c r="J225" s="3">
        <f ca="1"/>
        <v>8258.2347800000007</v>
      </c>
      <c r="K225" s="3">
        <f ca="1"/>
        <v>856095289.52166462</v>
      </c>
    </row>
    <row r="226" spans="1:11" x14ac:dyDescent="0.3">
      <c r="A226" s="10">
        <f ca="1"/>
        <v>45786.229166666664</v>
      </c>
      <c r="B226" s="12">
        <f ca="1"/>
        <v>103261.61</v>
      </c>
      <c r="C226" s="12">
        <f ca="1"/>
        <v>104361.3</v>
      </c>
      <c r="D226" s="12">
        <f ca="1"/>
        <v>102315.14</v>
      </c>
      <c r="E226" s="12">
        <f ca="1"/>
        <v>102971.99</v>
      </c>
      <c r="F226" s="3">
        <f ca="1"/>
        <v>27617.399069999999</v>
      </c>
      <c r="G226" s="10">
        <f ca="1"/>
        <v>45787.229166655095</v>
      </c>
      <c r="H226" s="3">
        <f ca="1"/>
        <v>2847518447.981513</v>
      </c>
      <c r="I226" s="3">
        <f ca="1"/>
        <v>4406929</v>
      </c>
      <c r="J226" s="3">
        <f ca="1"/>
        <v>14525.203810000001</v>
      </c>
      <c r="K226" s="3">
        <f ca="1"/>
        <v>1497826622.3261881</v>
      </c>
    </row>
    <row r="227" spans="1:11" x14ac:dyDescent="0.3">
      <c r="A227" s="10">
        <f ca="1"/>
        <v>45785.229166666664</v>
      </c>
      <c r="B227" s="12">
        <f ca="1"/>
        <v>97030.5</v>
      </c>
      <c r="C227" s="12">
        <f ca="1"/>
        <v>104145.76</v>
      </c>
      <c r="D227" s="12">
        <f ca="1"/>
        <v>96876.29</v>
      </c>
      <c r="E227" s="12">
        <f ca="1"/>
        <v>103261.6</v>
      </c>
      <c r="F227" s="3">
        <f ca="1"/>
        <v>34962.028469999997</v>
      </c>
      <c r="G227" s="10">
        <f ca="1"/>
        <v>45786.229166655095</v>
      </c>
      <c r="H227" s="3">
        <f ca="1"/>
        <v>3508645830.5650144</v>
      </c>
      <c r="I227" s="3">
        <f ca="1"/>
        <v>4991147</v>
      </c>
      <c r="J227" s="3">
        <f ca="1"/>
        <v>18547.230090000001</v>
      </c>
      <c r="K227" s="3">
        <f ca="1"/>
        <v>1861334478.3644271</v>
      </c>
    </row>
    <row r="228" spans="1:11" x14ac:dyDescent="0.3">
      <c r="A228" s="10">
        <f ca="1"/>
        <v>45784.229166666664</v>
      </c>
      <c r="B228" s="12">
        <f ca="1"/>
        <v>96834.02</v>
      </c>
      <c r="C228" s="12">
        <f ca="1"/>
        <v>97732</v>
      </c>
      <c r="D228" s="12">
        <f ca="1"/>
        <v>95784.61</v>
      </c>
      <c r="E228" s="12">
        <f ca="1"/>
        <v>97030.5</v>
      </c>
      <c r="F228" s="3">
        <f ca="1"/>
        <v>16644.838540000001</v>
      </c>
      <c r="G228" s="10">
        <f ca="1"/>
        <v>45785.229166655095</v>
      </c>
      <c r="H228" s="3">
        <f ca="1"/>
        <v>1611730124.5924542</v>
      </c>
      <c r="I228" s="3">
        <f ca="1"/>
        <v>2849139</v>
      </c>
      <c r="J228" s="3">
        <f ca="1"/>
        <v>8316.7447100000009</v>
      </c>
      <c r="K228" s="3">
        <f ca="1"/>
        <v>805430612.40553546</v>
      </c>
    </row>
    <row r="229" spans="1:11" x14ac:dyDescent="0.3">
      <c r="A229" s="10">
        <f ca="1"/>
        <v>45783.229166666664</v>
      </c>
      <c r="B229" s="12">
        <f ca="1"/>
        <v>94733.68</v>
      </c>
      <c r="C229" s="12">
        <f ca="1"/>
        <v>96920.65</v>
      </c>
      <c r="D229" s="12">
        <f ca="1"/>
        <v>93377</v>
      </c>
      <c r="E229" s="12">
        <f ca="1"/>
        <v>96834.02</v>
      </c>
      <c r="F229" s="3">
        <f ca="1"/>
        <v>16122.645130000001</v>
      </c>
      <c r="G229" s="10">
        <f ca="1"/>
        <v>45784.229166655095</v>
      </c>
      <c r="H229" s="3">
        <f ca="1"/>
        <v>1526847764.5636683</v>
      </c>
      <c r="I229" s="3">
        <f ca="1"/>
        <v>2512960</v>
      </c>
      <c r="J229" s="3">
        <f ca="1"/>
        <v>7505.9573399999999</v>
      </c>
      <c r="K229" s="3">
        <f ca="1"/>
        <v>711372483.61171353</v>
      </c>
    </row>
    <row r="230" spans="1:11" x14ac:dyDescent="0.3">
      <c r="A230" s="10">
        <f ca="1"/>
        <v>45782.229166666664</v>
      </c>
      <c r="B230" s="12">
        <f ca="1"/>
        <v>94277.61</v>
      </c>
      <c r="C230" s="12">
        <f ca="1"/>
        <v>95199</v>
      </c>
      <c r="D230" s="12">
        <f ca="1"/>
        <v>93514.1</v>
      </c>
      <c r="E230" s="12">
        <f ca="1"/>
        <v>94733.68</v>
      </c>
      <c r="F230" s="3">
        <f ca="1"/>
        <v>17251.18189</v>
      </c>
      <c r="G230" s="10">
        <f ca="1"/>
        <v>45783.229166655095</v>
      </c>
      <c r="H230" s="3">
        <f ca="1"/>
        <v>1626999380.1759968</v>
      </c>
      <c r="I230" s="3">
        <f ca="1"/>
        <v>2623300</v>
      </c>
      <c r="J230" s="3">
        <f ca="1"/>
        <v>8399.6485499999999</v>
      </c>
      <c r="K230" s="3">
        <f ca="1"/>
        <v>792299650.33952022</v>
      </c>
    </row>
    <row r="231" spans="1:11" x14ac:dyDescent="0.3">
      <c r="A231" s="10">
        <f ca="1"/>
        <v>45781.229166666664</v>
      </c>
      <c r="B231" s="12">
        <f ca="1"/>
        <v>95856.42</v>
      </c>
      <c r="C231" s="12">
        <f ca="1"/>
        <v>96304.48</v>
      </c>
      <c r="D231" s="12">
        <f ca="1"/>
        <v>94151.38</v>
      </c>
      <c r="E231" s="12">
        <f ca="1"/>
        <v>94277.62</v>
      </c>
      <c r="F231" s="3">
        <f ca="1"/>
        <v>11036.38342</v>
      </c>
      <c r="G231" s="10">
        <f ca="1"/>
        <v>45782.229166655095</v>
      </c>
      <c r="H231" s="3">
        <f ca="1"/>
        <v>1053542403.8531588</v>
      </c>
      <c r="I231" s="3">
        <f ca="1"/>
        <v>1674726</v>
      </c>
      <c r="J231" s="3">
        <f ca="1"/>
        <v>4385.3348599999999</v>
      </c>
      <c r="K231" s="3">
        <f ca="1"/>
        <v>418573470.85696232</v>
      </c>
    </row>
    <row r="232" spans="1:11" x14ac:dyDescent="0.3">
      <c r="A232" s="10">
        <f ca="1"/>
        <v>45780.229166666664</v>
      </c>
      <c r="B232" s="12">
        <f ca="1"/>
        <v>96887.13</v>
      </c>
      <c r="C232" s="12">
        <f ca="1"/>
        <v>96935.67</v>
      </c>
      <c r="D232" s="12">
        <f ca="1"/>
        <v>95753.01</v>
      </c>
      <c r="E232" s="12">
        <f ca="1"/>
        <v>95856.42</v>
      </c>
      <c r="F232" s="3">
        <f ca="1"/>
        <v>9723.3483799999995</v>
      </c>
      <c r="G232" s="10">
        <f ca="1"/>
        <v>45781.229166655095</v>
      </c>
      <c r="H232" s="3">
        <f ca="1"/>
        <v>935906144.96514976</v>
      </c>
      <c r="I232" s="3">
        <f ca="1"/>
        <v>1181239</v>
      </c>
      <c r="J232" s="3">
        <f ca="1"/>
        <v>3929.4049</v>
      </c>
      <c r="K232" s="3">
        <f ca="1"/>
        <v>378271292.44431448</v>
      </c>
    </row>
    <row r="233" spans="1:11" x14ac:dyDescent="0.3">
      <c r="A233" s="10">
        <f ca="1"/>
        <v>45779.229166666664</v>
      </c>
      <c r="B233" s="12">
        <f ca="1"/>
        <v>96489.9</v>
      </c>
      <c r="C233" s="12">
        <f ca="1"/>
        <v>97895.679999999993</v>
      </c>
      <c r="D233" s="12">
        <f ca="1"/>
        <v>96350</v>
      </c>
      <c r="E233" s="12">
        <f ca="1"/>
        <v>96887.14</v>
      </c>
      <c r="F233" s="3">
        <f ca="1"/>
        <v>14905.74811</v>
      </c>
      <c r="G233" s="10">
        <f ca="1"/>
        <v>45780.229166655095</v>
      </c>
      <c r="H233" s="3">
        <f ca="1"/>
        <v>1446387651.5840576</v>
      </c>
      <c r="I233" s="3">
        <f ca="1"/>
        <v>2698263</v>
      </c>
      <c r="J233" s="3">
        <f ca="1"/>
        <v>7440.3353100000004</v>
      </c>
      <c r="K233" s="3">
        <f ca="1"/>
        <v>722022817.22461987</v>
      </c>
    </row>
    <row r="234" spans="1:11" x14ac:dyDescent="0.3">
      <c r="A234" s="10">
        <f ca="1"/>
        <v>45778.229166666664</v>
      </c>
      <c r="B234" s="12">
        <f ca="1"/>
        <v>94172</v>
      </c>
      <c r="C234" s="12">
        <f ca="1"/>
        <v>97424.02</v>
      </c>
      <c r="D234" s="12">
        <f ca="1"/>
        <v>94130.43</v>
      </c>
      <c r="E234" s="12">
        <f ca="1"/>
        <v>96489.91</v>
      </c>
      <c r="F234" s="3">
        <f ca="1"/>
        <v>21380.453430000001</v>
      </c>
      <c r="G234" s="10">
        <f ca="1"/>
        <v>45779.229166655095</v>
      </c>
      <c r="H234" s="3">
        <f ca="1"/>
        <v>2053857614.2732673</v>
      </c>
      <c r="I234" s="3">
        <f ca="1"/>
        <v>2925716</v>
      </c>
      <c r="J234" s="3">
        <f ca="1"/>
        <v>10925.873079999999</v>
      </c>
      <c r="K234" s="3">
        <f ca="1"/>
        <v>1049157198.8587635</v>
      </c>
    </row>
    <row r="235" spans="1:11" x14ac:dyDescent="0.3">
      <c r="A235" s="10">
        <f ca="1"/>
        <v>45777.229166666664</v>
      </c>
      <c r="B235" s="12">
        <f ca="1"/>
        <v>94256.82</v>
      </c>
      <c r="C235" s="12">
        <f ca="1"/>
        <v>95228.45</v>
      </c>
      <c r="D235" s="12">
        <f ca="1"/>
        <v>92910</v>
      </c>
      <c r="E235" s="12">
        <f ca="1"/>
        <v>94172</v>
      </c>
      <c r="F235" s="3">
        <f ca="1"/>
        <v>17661.275099999999</v>
      </c>
      <c r="G235" s="10">
        <f ca="1"/>
        <v>45778.229166655095</v>
      </c>
      <c r="H235" s="3">
        <f ca="1"/>
        <v>1664825670.9831252</v>
      </c>
      <c r="I235" s="3">
        <f ca="1"/>
        <v>3214149</v>
      </c>
      <c r="J235" s="3">
        <f ca="1"/>
        <v>8393.2162000000008</v>
      </c>
      <c r="K235" s="3">
        <f ca="1"/>
        <v>791272380.03124475</v>
      </c>
    </row>
    <row r="236" spans="1:11" x14ac:dyDescent="0.3">
      <c r="A236" s="10">
        <f ca="1"/>
        <v>45776.229166666664</v>
      </c>
      <c r="B236" s="12">
        <f ca="1"/>
        <v>95011.18</v>
      </c>
      <c r="C236" s="12">
        <f ca="1"/>
        <v>95461.53</v>
      </c>
      <c r="D236" s="12">
        <f ca="1"/>
        <v>93742.54</v>
      </c>
      <c r="E236" s="12">
        <f ca="1"/>
        <v>94256.82</v>
      </c>
      <c r="F236" s="3">
        <f ca="1"/>
        <v>16955.340199999999</v>
      </c>
      <c r="G236" s="10">
        <f ca="1"/>
        <v>45777.229166655095</v>
      </c>
      <c r="H236" s="3">
        <f ca="1"/>
        <v>1607154803.4675477</v>
      </c>
      <c r="I236" s="3">
        <f ca="1"/>
        <v>3020875</v>
      </c>
      <c r="J236" s="3">
        <f ca="1"/>
        <v>7112.68469</v>
      </c>
      <c r="K236" s="3">
        <f ca="1"/>
        <v>674688527.81306601</v>
      </c>
    </row>
    <row r="237" spans="1:11" x14ac:dyDescent="0.3">
      <c r="A237" s="10">
        <f ca="1"/>
        <v>45775.229166666664</v>
      </c>
      <c r="B237" s="12">
        <f ca="1"/>
        <v>93749.29</v>
      </c>
      <c r="C237" s="12">
        <f ca="1"/>
        <v>95630</v>
      </c>
      <c r="D237" s="12">
        <f ca="1"/>
        <v>92800.01</v>
      </c>
      <c r="E237" s="12">
        <f ca="1"/>
        <v>95011.18</v>
      </c>
      <c r="F237" s="3">
        <f ca="1"/>
        <v>22157.533510000001</v>
      </c>
      <c r="G237" s="10">
        <f ca="1"/>
        <v>45776.229166655095</v>
      </c>
      <c r="H237" s="3">
        <f ca="1"/>
        <v>2092532996.5551717</v>
      </c>
      <c r="I237" s="3">
        <f ca="1"/>
        <v>3424740</v>
      </c>
      <c r="J237" s="3">
        <f ca="1"/>
        <v>11626.77592</v>
      </c>
      <c r="K237" s="3">
        <f ca="1"/>
        <v>1098667305.2399979</v>
      </c>
    </row>
    <row r="238" spans="1:11" x14ac:dyDescent="0.3">
      <c r="A238" s="10">
        <f ca="1"/>
        <v>45774.229166666664</v>
      </c>
      <c r="B238" s="12">
        <f ca="1"/>
        <v>94628</v>
      </c>
      <c r="C238" s="12">
        <f ca="1"/>
        <v>95369</v>
      </c>
      <c r="D238" s="12">
        <f ca="1"/>
        <v>93602.58</v>
      </c>
      <c r="E238" s="12">
        <f ca="1"/>
        <v>93749.3</v>
      </c>
      <c r="F238" s="3">
        <f ca="1"/>
        <v>11162.841</v>
      </c>
      <c r="G238" s="10">
        <f ca="1"/>
        <v>45775.229166655095</v>
      </c>
      <c r="H238" s="3">
        <f ca="1"/>
        <v>1052334792.1866189</v>
      </c>
      <c r="I238" s="3">
        <f ca="1"/>
        <v>1918160</v>
      </c>
      <c r="J238" s="3">
        <f ca="1"/>
        <v>5250.0871900000002</v>
      </c>
      <c r="K238" s="3">
        <f ca="1"/>
        <v>495112239.10816967</v>
      </c>
    </row>
    <row r="239" spans="1:11" x14ac:dyDescent="0.3">
      <c r="A239" s="10">
        <f ca="1"/>
        <v>45773.229166666664</v>
      </c>
      <c r="B239" s="12">
        <f ca="1"/>
        <v>94638.68</v>
      </c>
      <c r="C239" s="12">
        <f ca="1"/>
        <v>95199</v>
      </c>
      <c r="D239" s="12">
        <f ca="1"/>
        <v>93870.69</v>
      </c>
      <c r="E239" s="12">
        <f ca="1"/>
        <v>94628</v>
      </c>
      <c r="F239" s="3">
        <f ca="1"/>
        <v>9415.0687500000004</v>
      </c>
      <c r="G239" s="10">
        <f ca="1"/>
        <v>45774.229166655095</v>
      </c>
      <c r="H239" s="3">
        <f ca="1"/>
        <v>889627361.84144473</v>
      </c>
      <c r="I239" s="3">
        <f ca="1"/>
        <v>1475983</v>
      </c>
      <c r="J239" s="3">
        <f ca="1"/>
        <v>4156.2246299999997</v>
      </c>
      <c r="K239" s="3">
        <f ca="1"/>
        <v>392757114.43835789</v>
      </c>
    </row>
    <row r="240" spans="1:11" x14ac:dyDescent="0.3">
      <c r="A240" s="10">
        <f ca="1"/>
        <v>45772.229166666664</v>
      </c>
      <c r="B240" s="12">
        <f ca="1"/>
        <v>93980.47</v>
      </c>
      <c r="C240" s="12">
        <f ca="1"/>
        <v>95758.04</v>
      </c>
      <c r="D240" s="12">
        <f ca="1"/>
        <v>92855.96</v>
      </c>
      <c r="E240" s="12">
        <f ca="1"/>
        <v>94638.68</v>
      </c>
      <c r="F240" s="3">
        <f ca="1"/>
        <v>27500.66648</v>
      </c>
      <c r="G240" s="10">
        <f ca="1"/>
        <v>45773.229166655095</v>
      </c>
      <c r="H240" s="3">
        <f ca="1"/>
        <v>2596877713.640173</v>
      </c>
      <c r="I240" s="3">
        <f ca="1"/>
        <v>3331828</v>
      </c>
      <c r="J240" s="3">
        <f ca="1"/>
        <v>13072.22136</v>
      </c>
      <c r="K240" s="3">
        <f ca="1"/>
        <v>1234153095.7292683</v>
      </c>
    </row>
    <row r="241" spans="1:11" x14ac:dyDescent="0.3">
      <c r="A241" s="10">
        <f ca="1"/>
        <v>45771.229166666664</v>
      </c>
      <c r="B241" s="12">
        <f ca="1"/>
        <v>93691.07</v>
      </c>
      <c r="C241" s="12">
        <f ca="1"/>
        <v>94005</v>
      </c>
      <c r="D241" s="12">
        <f ca="1"/>
        <v>91660.01</v>
      </c>
      <c r="E241" s="12">
        <f ca="1"/>
        <v>93980.47</v>
      </c>
      <c r="F241" s="3">
        <f ca="1"/>
        <v>19497.060710000002</v>
      </c>
      <c r="G241" s="10">
        <f ca="1"/>
        <v>45772.229166655095</v>
      </c>
      <c r="H241" s="3">
        <f ca="1"/>
        <v>1811120137.3146787</v>
      </c>
      <c r="I241" s="3">
        <f ca="1"/>
        <v>2797383</v>
      </c>
      <c r="J241" s="3">
        <f ca="1"/>
        <v>8565.1812800000007</v>
      </c>
      <c r="K241" s="3">
        <f ca="1"/>
        <v>795787487.36089814</v>
      </c>
    </row>
    <row r="242" spans="1:11" x14ac:dyDescent="0.3">
      <c r="A242" s="10">
        <f ca="1"/>
        <v>45770.229166666664</v>
      </c>
      <c r="B242" s="12">
        <f ca="1"/>
        <v>93442.99</v>
      </c>
      <c r="C242" s="12">
        <f ca="1"/>
        <v>94696.05</v>
      </c>
      <c r="D242" s="12">
        <f ca="1"/>
        <v>91935.41</v>
      </c>
      <c r="E242" s="12">
        <f ca="1"/>
        <v>93691.08</v>
      </c>
      <c r="F242" s="3">
        <f ca="1"/>
        <v>27404.168079999999</v>
      </c>
      <c r="G242" s="10">
        <f ca="1"/>
        <v>45771.229166655095</v>
      </c>
      <c r="H242" s="3">
        <f ca="1"/>
        <v>2560279933.9479518</v>
      </c>
      <c r="I242" s="3">
        <f ca="1"/>
        <v>3016536</v>
      </c>
      <c r="J242" s="3">
        <f ca="1"/>
        <v>13128.05774</v>
      </c>
      <c r="K242" s="3">
        <f ca="1"/>
        <v>1226992558.5765462</v>
      </c>
    </row>
    <row r="243" spans="1:11" x14ac:dyDescent="0.3">
      <c r="A243" s="10">
        <f ca="1"/>
        <v>45769.229166666664</v>
      </c>
      <c r="B243" s="12">
        <f ca="1"/>
        <v>87516.22</v>
      </c>
      <c r="C243" s="12">
        <f ca="1"/>
        <v>93888</v>
      </c>
      <c r="D243" s="12">
        <f ca="1"/>
        <v>87076.03</v>
      </c>
      <c r="E243" s="12">
        <f ca="1"/>
        <v>93442.99</v>
      </c>
      <c r="F243" s="3">
        <f ca="1"/>
        <v>43872.747049999998</v>
      </c>
      <c r="G243" s="10">
        <f ca="1"/>
        <v>45770.229166655095</v>
      </c>
      <c r="H243" s="3">
        <f ca="1"/>
        <v>3967785064.12817</v>
      </c>
      <c r="I243" s="3">
        <f ca="1"/>
        <v>3268475</v>
      </c>
      <c r="J243" s="3">
        <f ca="1"/>
        <v>22777.770469999999</v>
      </c>
      <c r="K243" s="3">
        <f ca="1"/>
        <v>2062639579.2030854</v>
      </c>
    </row>
    <row r="244" spans="1:11" x14ac:dyDescent="0.3">
      <c r="A244" s="10">
        <f ca="1"/>
        <v>45768.229166666664</v>
      </c>
      <c r="B244" s="12">
        <f ca="1"/>
        <v>85179.24</v>
      </c>
      <c r="C244" s="12">
        <f ca="1"/>
        <v>88465.99</v>
      </c>
      <c r="D244" s="12">
        <f ca="1"/>
        <v>85144.76</v>
      </c>
      <c r="E244" s="12">
        <f ca="1"/>
        <v>87516.23</v>
      </c>
      <c r="F244" s="3">
        <f ca="1"/>
        <v>31773.372619999998</v>
      </c>
      <c r="G244" s="10">
        <f ca="1"/>
        <v>45769.229166655095</v>
      </c>
      <c r="H244" s="3">
        <f ca="1"/>
        <v>2773299591.4670658</v>
      </c>
      <c r="I244" s="3">
        <f ca="1"/>
        <v>3041395</v>
      </c>
      <c r="J244" s="3">
        <f ca="1"/>
        <v>17216.39877</v>
      </c>
      <c r="K244" s="3">
        <f ca="1"/>
        <v>1502705225.134135</v>
      </c>
    </row>
    <row r="245" spans="1:11" x14ac:dyDescent="0.3">
      <c r="A245" s="10">
        <f ca="1"/>
        <v>45767.229166666664</v>
      </c>
      <c r="B245" s="12">
        <f ca="1"/>
        <v>85077</v>
      </c>
      <c r="C245" s="12">
        <f ca="1"/>
        <v>85320.76</v>
      </c>
      <c r="D245" s="12">
        <f ca="1"/>
        <v>83949.52</v>
      </c>
      <c r="E245" s="12">
        <f ca="1"/>
        <v>85179.24</v>
      </c>
      <c r="F245" s="3">
        <f ca="1"/>
        <v>8091.6772499999997</v>
      </c>
      <c r="G245" s="10">
        <f ca="1"/>
        <v>45768.229166655095</v>
      </c>
      <c r="H245" s="3">
        <f ca="1"/>
        <v>685253644.89183617</v>
      </c>
      <c r="I245" s="3">
        <f ca="1"/>
        <v>944130</v>
      </c>
      <c r="J245" s="3">
        <f ca="1"/>
        <v>3843.4831399999998</v>
      </c>
      <c r="K245" s="3">
        <f ca="1"/>
        <v>325482835.7378329</v>
      </c>
    </row>
    <row r="246" spans="1:11" x14ac:dyDescent="0.3">
      <c r="A246" s="10">
        <f ca="1"/>
        <v>45766.229166666664</v>
      </c>
      <c r="B246" s="12">
        <f ca="1"/>
        <v>84474.7</v>
      </c>
      <c r="C246" s="12">
        <f ca="1"/>
        <v>85677.99</v>
      </c>
      <c r="D246" s="12">
        <f ca="1"/>
        <v>84364.45</v>
      </c>
      <c r="E246" s="12">
        <f ca="1"/>
        <v>85077.01</v>
      </c>
      <c r="F246" s="3">
        <f ca="1"/>
        <v>9666.5815299999995</v>
      </c>
      <c r="G246" s="10">
        <f ca="1"/>
        <v>45767.229166655095</v>
      </c>
      <c r="H246" s="3">
        <f ca="1"/>
        <v>823222752.28424931</v>
      </c>
      <c r="I246" s="3">
        <f ca="1"/>
        <v>875226</v>
      </c>
      <c r="J246" s="3">
        <f ca="1"/>
        <v>5416.30087</v>
      </c>
      <c r="K246" s="3">
        <f ca="1"/>
        <v>461342923.99908203</v>
      </c>
    </row>
    <row r="247" spans="1:11" x14ac:dyDescent="0.3">
      <c r="A247" s="10">
        <f ca="1"/>
        <v>45765.229166666664</v>
      </c>
      <c r="B247" s="12">
        <f ca="1"/>
        <v>84947.92</v>
      </c>
      <c r="C247" s="12">
        <f ca="1"/>
        <v>85132.08</v>
      </c>
      <c r="D247" s="12">
        <f ca="1"/>
        <v>84303.96</v>
      </c>
      <c r="E247" s="12">
        <f ca="1"/>
        <v>84474.69</v>
      </c>
      <c r="F247" s="3">
        <f ca="1"/>
        <v>6529.9631499999996</v>
      </c>
      <c r="G247" s="10">
        <f ca="1"/>
        <v>45766.229166655095</v>
      </c>
      <c r="H247" s="3">
        <f ca="1"/>
        <v>552648483.64748704</v>
      </c>
      <c r="I247" s="3">
        <f ca="1"/>
        <v>840009</v>
      </c>
      <c r="J247" s="3">
        <f ca="1"/>
        <v>2911.78856</v>
      </c>
      <c r="K247" s="3">
        <f ca="1"/>
        <v>246467088.26214659</v>
      </c>
    </row>
    <row r="248" spans="1:11" x14ac:dyDescent="0.3">
      <c r="A248" s="10">
        <f ca="1"/>
        <v>45764.229166666664</v>
      </c>
      <c r="B248" s="12">
        <f ca="1"/>
        <v>84030.38</v>
      </c>
      <c r="C248" s="12">
        <f ca="1"/>
        <v>85470.01</v>
      </c>
      <c r="D248" s="12">
        <f ca="1"/>
        <v>83736.259999999995</v>
      </c>
      <c r="E248" s="12">
        <f ca="1"/>
        <v>84947.91</v>
      </c>
      <c r="F248" s="3">
        <f ca="1"/>
        <v>13728.84772</v>
      </c>
      <c r="G248" s="10">
        <f ca="1"/>
        <v>45765.229166655095</v>
      </c>
      <c r="H248" s="3">
        <f ca="1"/>
        <v>1161659427.3862629</v>
      </c>
      <c r="I248" s="3">
        <f ca="1"/>
        <v>2003405</v>
      </c>
      <c r="J248" s="3">
        <f ca="1"/>
        <v>6424.4156499999999</v>
      </c>
      <c r="K248" s="3">
        <f ca="1"/>
        <v>543726754.41870165</v>
      </c>
    </row>
    <row r="249" spans="1:11" x14ac:dyDescent="0.3">
      <c r="A249" s="10">
        <f ca="1"/>
        <v>45763.229166666664</v>
      </c>
      <c r="B249" s="12">
        <f ca="1"/>
        <v>83643.990000000005</v>
      </c>
      <c r="C249" s="12">
        <f ca="1"/>
        <v>85500</v>
      </c>
      <c r="D249" s="12">
        <f ca="1"/>
        <v>83111.64</v>
      </c>
      <c r="E249" s="12">
        <f ca="1"/>
        <v>84030.38</v>
      </c>
      <c r="F249" s="3">
        <f ca="1"/>
        <v>20867.245190000001</v>
      </c>
      <c r="G249" s="10">
        <f ca="1"/>
        <v>45764.229166655095</v>
      </c>
      <c r="H249" s="3">
        <f ca="1"/>
        <v>1753910031.2009242</v>
      </c>
      <c r="I249" s="3">
        <f ca="1"/>
        <v>3264730</v>
      </c>
      <c r="J249" s="3">
        <f ca="1"/>
        <v>10456.769</v>
      </c>
      <c r="K249" s="3">
        <f ca="1"/>
        <v>878939829.48483682</v>
      </c>
    </row>
    <row r="250" spans="1:11" x14ac:dyDescent="0.3">
      <c r="A250" s="10">
        <f ca="1"/>
        <v>45762.229166666664</v>
      </c>
      <c r="B250" s="12">
        <f ca="1"/>
        <v>84591.58</v>
      </c>
      <c r="C250" s="12">
        <f ca="1"/>
        <v>86496.42</v>
      </c>
      <c r="D250" s="12">
        <f ca="1"/>
        <v>83600</v>
      </c>
      <c r="E250" s="12">
        <f ca="1"/>
        <v>83643.990000000005</v>
      </c>
      <c r="F250" s="3">
        <f ca="1"/>
        <v>20910.995279999999</v>
      </c>
      <c r="G250" s="10">
        <f ca="1"/>
        <v>45763.229166655095</v>
      </c>
      <c r="H250" s="3">
        <f ca="1"/>
        <v>1780972414.3956008</v>
      </c>
      <c r="I250" s="3">
        <f ca="1"/>
        <v>2910533</v>
      </c>
      <c r="J250" s="3">
        <f ca="1"/>
        <v>10439.360720000001</v>
      </c>
      <c r="K250" s="3">
        <f ca="1"/>
        <v>889895753.16736507</v>
      </c>
    </row>
    <row r="251" spans="1:11" x14ac:dyDescent="0.3">
      <c r="A251" s="10">
        <f ca="1"/>
        <v>45761.229166666664</v>
      </c>
      <c r="B251" s="12">
        <f ca="1"/>
        <v>83760</v>
      </c>
      <c r="C251" s="12">
        <f ca="1"/>
        <v>85799.99</v>
      </c>
      <c r="D251" s="12">
        <f ca="1"/>
        <v>83678</v>
      </c>
      <c r="E251" s="12">
        <f ca="1"/>
        <v>84591.58</v>
      </c>
      <c r="F251" s="3">
        <f ca="1"/>
        <v>28659.09348</v>
      </c>
      <c r="G251" s="10">
        <f ca="1"/>
        <v>45762.229166655095</v>
      </c>
      <c r="H251" s="3">
        <f ca="1"/>
        <v>2429132805.0815287</v>
      </c>
      <c r="I251" s="3">
        <f ca="1"/>
        <v>3921522</v>
      </c>
      <c r="J251" s="3">
        <f ca="1"/>
        <v>15196.58929</v>
      </c>
      <c r="K251" s="3">
        <f ca="1"/>
        <v>1288815999.1406174</v>
      </c>
    </row>
    <row r="252" spans="1:11" x14ac:dyDescent="0.3">
      <c r="A252" s="10">
        <f ca="1"/>
        <v>45760.229166666664</v>
      </c>
      <c r="B252" s="12">
        <f ca="1"/>
        <v>85276.91</v>
      </c>
      <c r="C252" s="12">
        <f ca="1"/>
        <v>86100</v>
      </c>
      <c r="D252" s="12">
        <f ca="1"/>
        <v>83034.23</v>
      </c>
      <c r="E252" s="12">
        <f ca="1"/>
        <v>83760</v>
      </c>
      <c r="F252" s="3">
        <f ca="1"/>
        <v>24680.041809999999</v>
      </c>
      <c r="G252" s="10">
        <f ca="1"/>
        <v>45761.229166655095</v>
      </c>
      <c r="H252" s="3">
        <f ca="1"/>
        <v>2086106375.4392555</v>
      </c>
      <c r="I252" s="3">
        <f ca="1"/>
        <v>3275879</v>
      </c>
      <c r="J252" s="3">
        <f ca="1"/>
        <v>11658.67909</v>
      </c>
      <c r="K252" s="3">
        <f ca="1"/>
        <v>986303246.09318364</v>
      </c>
    </row>
    <row r="253" spans="1:11" x14ac:dyDescent="0.3">
      <c r="A253" s="10">
        <f ca="1"/>
        <v>45759.229166666664</v>
      </c>
      <c r="B253" s="12">
        <f ca="1"/>
        <v>83423.83</v>
      </c>
      <c r="C253" s="12">
        <f ca="1"/>
        <v>85905</v>
      </c>
      <c r="D253" s="12">
        <f ca="1"/>
        <v>82792.95</v>
      </c>
      <c r="E253" s="12">
        <f ca="1"/>
        <v>85276.9</v>
      </c>
      <c r="F253" s="3">
        <f ca="1"/>
        <v>18470.74437</v>
      </c>
      <c r="G253" s="10">
        <f ca="1"/>
        <v>45760.229166655095</v>
      </c>
      <c r="H253" s="3">
        <f ca="1"/>
        <v>1557403252.9267516</v>
      </c>
      <c r="I253" s="3">
        <f ca="1"/>
        <v>2501196</v>
      </c>
      <c r="J253" s="3">
        <f ca="1"/>
        <v>9526.7264400000004</v>
      </c>
      <c r="K253" s="3">
        <f ca="1"/>
        <v>803747272.78346801</v>
      </c>
    </row>
    <row r="254" spans="1:11" x14ac:dyDescent="0.3">
      <c r="A254" s="10">
        <f ca="1"/>
        <v>45758.229166666664</v>
      </c>
      <c r="B254" s="12">
        <f ca="1"/>
        <v>79607.3</v>
      </c>
      <c r="C254" s="12">
        <f ca="1"/>
        <v>84300</v>
      </c>
      <c r="D254" s="12">
        <f ca="1"/>
        <v>78969.58</v>
      </c>
      <c r="E254" s="12">
        <f ca="1"/>
        <v>83423.839999999997</v>
      </c>
      <c r="F254" s="3">
        <f ca="1"/>
        <v>34435.437969999999</v>
      </c>
      <c r="G254" s="10">
        <f ca="1"/>
        <v>45759.229166655095</v>
      </c>
      <c r="H254" s="3">
        <f ca="1"/>
        <v>2830363945.1787524</v>
      </c>
      <c r="I254" s="3">
        <f ca="1"/>
        <v>4423157</v>
      </c>
      <c r="J254" s="3">
        <f ca="1"/>
        <v>18019.58367</v>
      </c>
      <c r="K254" s="3">
        <f ca="1"/>
        <v>1482515278.9177043</v>
      </c>
    </row>
    <row r="255" spans="1:11" x14ac:dyDescent="0.3">
      <c r="A255" s="10">
        <f ca="1"/>
        <v>45757.229166666664</v>
      </c>
      <c r="B255" s="12">
        <f ca="1"/>
        <v>82615.22</v>
      </c>
      <c r="C255" s="12">
        <f ca="1"/>
        <v>82753.210000000006</v>
      </c>
      <c r="D255" s="12">
        <f ca="1"/>
        <v>78464.36</v>
      </c>
      <c r="E255" s="12">
        <f ca="1"/>
        <v>79607.3</v>
      </c>
      <c r="F255" s="3">
        <f ca="1"/>
        <v>33284.807180000003</v>
      </c>
      <c r="G255" s="10">
        <f ca="1"/>
        <v>45758.229166655095</v>
      </c>
      <c r="H255" s="3">
        <f ca="1"/>
        <v>2690294353.8478427</v>
      </c>
      <c r="I255" s="3">
        <f ca="1"/>
        <v>4529545</v>
      </c>
      <c r="J255" s="3">
        <f ca="1"/>
        <v>16339.919099999999</v>
      </c>
      <c r="K255" s="3">
        <f ca="1"/>
        <v>1321475356.0200849</v>
      </c>
    </row>
    <row r="256" spans="1:11" x14ac:dyDescent="0.3">
      <c r="A256" s="10">
        <f ca="1"/>
        <v>45756.229166666664</v>
      </c>
      <c r="B256" s="12">
        <f ca="1"/>
        <v>76322.42</v>
      </c>
      <c r="C256" s="12">
        <f ca="1"/>
        <v>83588</v>
      </c>
      <c r="D256" s="12">
        <f ca="1"/>
        <v>74620</v>
      </c>
      <c r="E256" s="12">
        <f ca="1"/>
        <v>82615.22</v>
      </c>
      <c r="F256" s="3">
        <f ca="1"/>
        <v>75488.287719999993</v>
      </c>
      <c r="G256" s="10">
        <f ca="1"/>
        <v>45757.229166655095</v>
      </c>
      <c r="H256" s="3">
        <f ca="1"/>
        <v>5980231256.222496</v>
      </c>
      <c r="I256" s="3">
        <f ca="1"/>
        <v>7741252</v>
      </c>
      <c r="J256" s="3">
        <f ca="1"/>
        <v>39491.629580000001</v>
      </c>
      <c r="K256" s="3">
        <f ca="1"/>
        <v>3137004042.9592609</v>
      </c>
    </row>
    <row r="257" spans="1:11" x14ac:dyDescent="0.3">
      <c r="A257" s="10">
        <f ca="1"/>
        <v>45755.229166666664</v>
      </c>
      <c r="B257" s="12">
        <f ca="1"/>
        <v>79163.240000000005</v>
      </c>
      <c r="C257" s="12">
        <f ca="1"/>
        <v>80867.990000000005</v>
      </c>
      <c r="D257" s="12">
        <f ca="1"/>
        <v>76239.899999999994</v>
      </c>
      <c r="E257" s="12">
        <f ca="1"/>
        <v>76322.42</v>
      </c>
      <c r="F257" s="3">
        <f ca="1"/>
        <v>35317.320630000002</v>
      </c>
      <c r="G257" s="10">
        <f ca="1"/>
        <v>45756.229166655095</v>
      </c>
      <c r="H257" s="3">
        <f ca="1"/>
        <v>2775277777.1024609</v>
      </c>
      <c r="I257" s="3">
        <f ca="1"/>
        <v>5512751</v>
      </c>
      <c r="J257" s="3">
        <f ca="1"/>
        <v>15704.730310000001</v>
      </c>
      <c r="K257" s="3">
        <f ca="1"/>
        <v>1235370767.1153502</v>
      </c>
    </row>
    <row r="258" spans="1:11" x14ac:dyDescent="0.3">
      <c r="A258" s="10">
        <f ca="1"/>
        <v>45754.229166666664</v>
      </c>
      <c r="B258" s="12">
        <f ca="1"/>
        <v>78430</v>
      </c>
      <c r="C258" s="12">
        <f ca="1"/>
        <v>81243.58</v>
      </c>
      <c r="D258" s="12">
        <f ca="1"/>
        <v>74508</v>
      </c>
      <c r="E258" s="12">
        <f ca="1"/>
        <v>79163.240000000005</v>
      </c>
      <c r="F258" s="3">
        <f ca="1"/>
        <v>78387.530889999995</v>
      </c>
      <c r="G258" s="10">
        <f ca="1"/>
        <v>45755.229166655095</v>
      </c>
      <c r="H258" s="3">
        <f ca="1"/>
        <v>6084614024.1506472</v>
      </c>
      <c r="I258" s="3">
        <f ca="1"/>
        <v>9736596</v>
      </c>
      <c r="J258" s="3">
        <f ca="1"/>
        <v>39075.84274</v>
      </c>
      <c r="K258" s="3">
        <f ca="1"/>
        <v>3034375055.6843963</v>
      </c>
    </row>
    <row r="259" spans="1:11" x14ac:dyDescent="0.3">
      <c r="A259" s="10">
        <f ca="1"/>
        <v>45753.229166666664</v>
      </c>
      <c r="B259" s="12">
        <f ca="1"/>
        <v>83537.990000000005</v>
      </c>
      <c r="C259" s="12">
        <f ca="1"/>
        <v>83817.63</v>
      </c>
      <c r="D259" s="12">
        <f ca="1"/>
        <v>77153.83</v>
      </c>
      <c r="E259" s="12">
        <f ca="1"/>
        <v>78430</v>
      </c>
      <c r="F259" s="3">
        <f ca="1"/>
        <v>27942.714360000002</v>
      </c>
      <c r="G259" s="10">
        <f ca="1"/>
        <v>45754.229166655095</v>
      </c>
      <c r="H259" s="3">
        <f ca="1"/>
        <v>2239085051.1529646</v>
      </c>
      <c r="I259" s="3">
        <f ca="1"/>
        <v>3948493</v>
      </c>
      <c r="J259" s="3">
        <f ca="1"/>
        <v>12493.8449</v>
      </c>
      <c r="K259" s="3">
        <f ca="1"/>
        <v>1001459573.4944661</v>
      </c>
    </row>
    <row r="260" spans="1:11" x14ac:dyDescent="0.3">
      <c r="A260" s="10">
        <f ca="1"/>
        <v>45752.229166666664</v>
      </c>
      <c r="B260" s="12">
        <f ca="1"/>
        <v>83889.87</v>
      </c>
      <c r="C260" s="12">
        <f ca="1"/>
        <v>84266</v>
      </c>
      <c r="D260" s="12">
        <f ca="1"/>
        <v>82379.95</v>
      </c>
      <c r="E260" s="12">
        <f ca="1"/>
        <v>83537.990000000005</v>
      </c>
      <c r="F260" s="3">
        <f ca="1"/>
        <v>9360.4046799999996</v>
      </c>
      <c r="G260" s="10">
        <f ca="1"/>
        <v>45753.229166655095</v>
      </c>
      <c r="H260" s="3">
        <f ca="1"/>
        <v>779626577.90134358</v>
      </c>
      <c r="I260" s="3">
        <f ca="1"/>
        <v>1575750</v>
      </c>
      <c r="J260" s="3">
        <f ca="1"/>
        <v>4029.6465800000001</v>
      </c>
      <c r="K260" s="3">
        <f ca="1"/>
        <v>335654613.72771841</v>
      </c>
    </row>
    <row r="261" spans="1:11" x14ac:dyDescent="0.3">
      <c r="A261" s="10">
        <f ca="1"/>
        <v>45751.229166666664</v>
      </c>
      <c r="B261" s="12">
        <f ca="1"/>
        <v>83213.09</v>
      </c>
      <c r="C261" s="12">
        <f ca="1"/>
        <v>84720</v>
      </c>
      <c r="D261" s="12">
        <f ca="1"/>
        <v>81659</v>
      </c>
      <c r="E261" s="12">
        <f ca="1"/>
        <v>83889.87</v>
      </c>
      <c r="F261" s="3">
        <f ca="1"/>
        <v>32915.53976</v>
      </c>
      <c r="G261" s="10">
        <f ca="1"/>
        <v>45752.229166655095</v>
      </c>
      <c r="H261" s="3">
        <f ca="1"/>
        <v>2739842666.4267368</v>
      </c>
      <c r="I261" s="3">
        <f ca="1"/>
        <v>4992586</v>
      </c>
      <c r="J261" s="3">
        <f ca="1"/>
        <v>15896.18779</v>
      </c>
      <c r="K261" s="3">
        <f ca="1"/>
        <v>1323832046.264688</v>
      </c>
    </row>
    <row r="262" spans="1:11" x14ac:dyDescent="0.3">
      <c r="A262" s="10">
        <f ca="1"/>
        <v>45750.229166666664</v>
      </c>
      <c r="B262" s="12">
        <f ca="1"/>
        <v>82516.28</v>
      </c>
      <c r="C262" s="12">
        <f ca="1"/>
        <v>83998.02</v>
      </c>
      <c r="D262" s="12">
        <f ca="1"/>
        <v>81211.240000000005</v>
      </c>
      <c r="E262" s="12">
        <f ca="1"/>
        <v>83213.09</v>
      </c>
      <c r="F262" s="3">
        <f ca="1"/>
        <v>27337.841349999999</v>
      </c>
      <c r="G262" s="10">
        <f ca="1"/>
        <v>45751.229166655095</v>
      </c>
      <c r="H262" s="3">
        <f ca="1"/>
        <v>2259299724.8643928</v>
      </c>
      <c r="I262" s="3">
        <f ca="1"/>
        <v>4117486</v>
      </c>
      <c r="J262" s="3">
        <f ca="1"/>
        <v>13951.52792</v>
      </c>
      <c r="K262" s="3">
        <f ca="1"/>
        <v>1153439398.6198013</v>
      </c>
    </row>
    <row r="263" spans="1:11" x14ac:dyDescent="0.3">
      <c r="A263" s="10">
        <f ca="1"/>
        <v>45749.229166666664</v>
      </c>
      <c r="B263" s="12">
        <f ca="1"/>
        <v>85158.35</v>
      </c>
      <c r="C263" s="12">
        <f ca="1"/>
        <v>88500</v>
      </c>
      <c r="D263" s="12">
        <f ca="1"/>
        <v>82320</v>
      </c>
      <c r="E263" s="12">
        <f ca="1"/>
        <v>82516.289999999994</v>
      </c>
      <c r="F263" s="3">
        <f ca="1"/>
        <v>39931.457000000002</v>
      </c>
      <c r="G263" s="10">
        <f ca="1"/>
        <v>45750.229166655095</v>
      </c>
      <c r="H263" s="3">
        <f ca="1"/>
        <v>3417279759.8307638</v>
      </c>
      <c r="I263" s="3">
        <f ca="1"/>
        <v>5338238</v>
      </c>
      <c r="J263" s="3">
        <f ca="1"/>
        <v>20739.678090000001</v>
      </c>
      <c r="K263" s="3">
        <f ca="1"/>
        <v>1777735583.8407478</v>
      </c>
    </row>
    <row r="264" spans="1:11" x14ac:dyDescent="0.3">
      <c r="A264" s="10">
        <f ca="1"/>
        <v>45748.229166666664</v>
      </c>
      <c r="B264" s="12">
        <f ca="1"/>
        <v>82550</v>
      </c>
      <c r="C264" s="12">
        <f ca="1"/>
        <v>85579.46</v>
      </c>
      <c r="D264" s="12">
        <f ca="1"/>
        <v>82432.740000000005</v>
      </c>
      <c r="E264" s="12">
        <f ca="1"/>
        <v>85158.34</v>
      </c>
      <c r="F264" s="3">
        <f ca="1"/>
        <v>20190.396970000002</v>
      </c>
      <c r="G264" s="10">
        <f ca="1"/>
        <v>45749.229166655095</v>
      </c>
      <c r="H264" s="3">
        <f ca="1"/>
        <v>1698895702.5754683</v>
      </c>
      <c r="I264" s="3">
        <f ca="1"/>
        <v>3328693</v>
      </c>
      <c r="J264" s="3">
        <f ca="1"/>
        <v>10246.42648</v>
      </c>
      <c r="K264" s="3">
        <f ca="1"/>
        <v>862302772.43308628</v>
      </c>
    </row>
    <row r="265" spans="1:11" x14ac:dyDescent="0.3">
      <c r="A265" s="10">
        <f ca="1"/>
        <v>45747.229166666664</v>
      </c>
      <c r="B265" s="12">
        <f ca="1"/>
        <v>82390</v>
      </c>
      <c r="C265" s="12">
        <f ca="1"/>
        <v>83943.08</v>
      </c>
      <c r="D265" s="12">
        <f ca="1"/>
        <v>81278.52</v>
      </c>
      <c r="E265" s="12">
        <f ca="1"/>
        <v>82550.009999999995</v>
      </c>
      <c r="F265" s="3">
        <f ca="1"/>
        <v>20569.138849999999</v>
      </c>
      <c r="G265" s="10">
        <f ca="1"/>
        <v>45748.229166655095</v>
      </c>
      <c r="H265" s="3">
        <f ca="1"/>
        <v>1696009191.0809648</v>
      </c>
      <c r="I265" s="3">
        <f ca="1"/>
        <v>3964358</v>
      </c>
      <c r="J265" s="3">
        <f ca="1"/>
        <v>9912.88184</v>
      </c>
      <c r="K265" s="3">
        <f ca="1"/>
        <v>817875871.11074126</v>
      </c>
    </row>
    <row r="266" spans="1:11" x14ac:dyDescent="0.3">
      <c r="A266" s="10">
        <f ca="1"/>
        <v>45746.229166666664</v>
      </c>
      <c r="B266" s="12">
        <f ca="1"/>
        <v>82648.53</v>
      </c>
      <c r="C266" s="12">
        <f ca="1"/>
        <v>83534.64</v>
      </c>
      <c r="D266" s="12">
        <f ca="1"/>
        <v>81565</v>
      </c>
      <c r="E266" s="12">
        <f ca="1"/>
        <v>82389.990000000005</v>
      </c>
      <c r="F266" s="3">
        <f ca="1"/>
        <v>9864.4950800000006</v>
      </c>
      <c r="G266" s="10">
        <f ca="1"/>
        <v>45747.229166655095</v>
      </c>
      <c r="H266" s="3">
        <f ca="1"/>
        <v>816584795.52881265</v>
      </c>
      <c r="I266" s="3">
        <f ca="1"/>
        <v>1907663</v>
      </c>
      <c r="J266" s="3">
        <f ca="1"/>
        <v>4725.0710499999996</v>
      </c>
      <c r="K266" s="3">
        <f ca="1"/>
        <v>391214080.11011612</v>
      </c>
    </row>
    <row r="267" spans="1:11" x14ac:dyDescent="0.3">
      <c r="A267" s="10">
        <f ca="1"/>
        <v>45745.229166666664</v>
      </c>
      <c r="B267" s="12">
        <f ca="1"/>
        <v>84424.38</v>
      </c>
      <c r="C267" s="12">
        <f ca="1"/>
        <v>84624.73</v>
      </c>
      <c r="D267" s="12">
        <f ca="1"/>
        <v>81644.81</v>
      </c>
      <c r="E267" s="12">
        <f ca="1"/>
        <v>82648.539999999994</v>
      </c>
      <c r="F267" s="3">
        <f ca="1"/>
        <v>11696.398639999999</v>
      </c>
      <c r="G267" s="10">
        <f ca="1"/>
        <v>45746.229166655095</v>
      </c>
      <c r="H267" s="3">
        <f ca="1"/>
        <v>970199917.9868716</v>
      </c>
      <c r="I267" s="3">
        <f ca="1"/>
        <v>2172387</v>
      </c>
      <c r="J267" s="3">
        <f ca="1"/>
        <v>5621.6048499999997</v>
      </c>
      <c r="K267" s="3">
        <f ca="1"/>
        <v>466215575.48490691</v>
      </c>
    </row>
    <row r="268" spans="1:11" x14ac:dyDescent="0.3">
      <c r="A268" s="10">
        <f ca="1"/>
        <v>45744.229166666664</v>
      </c>
      <c r="B268" s="12">
        <f ca="1"/>
        <v>87232.01</v>
      </c>
      <c r="C268" s="12">
        <f ca="1"/>
        <v>87515.67</v>
      </c>
      <c r="D268" s="12">
        <f ca="1"/>
        <v>83585</v>
      </c>
      <c r="E268" s="12">
        <f ca="1"/>
        <v>84424.38</v>
      </c>
      <c r="F268" s="3">
        <f ca="1"/>
        <v>27182.731690000001</v>
      </c>
      <c r="G268" s="10">
        <f ca="1"/>
        <v>45745.229166655095</v>
      </c>
      <c r="H268" s="3">
        <f ca="1"/>
        <v>2309946560.664114</v>
      </c>
      <c r="I268" s="3">
        <f ca="1"/>
        <v>3236085</v>
      </c>
      <c r="J268" s="3">
        <f ca="1"/>
        <v>11274.83736</v>
      </c>
      <c r="K268" s="3">
        <f ca="1"/>
        <v>958523321.8112731</v>
      </c>
    </row>
    <row r="269" spans="1:11" x14ac:dyDescent="0.3">
      <c r="A269" s="10">
        <f ca="1"/>
        <v>45743.229166666664</v>
      </c>
      <c r="B269" s="12">
        <f ca="1"/>
        <v>86909.17</v>
      </c>
      <c r="C269" s="12">
        <f ca="1"/>
        <v>87756.39</v>
      </c>
      <c r="D269" s="12">
        <f ca="1"/>
        <v>85800</v>
      </c>
      <c r="E269" s="12">
        <f ca="1"/>
        <v>87232.01</v>
      </c>
      <c r="F269" s="3">
        <f ca="1"/>
        <v>17098.038970000001</v>
      </c>
      <c r="G269" s="10">
        <f ca="1"/>
        <v>45744.229166655095</v>
      </c>
      <c r="H269" s="3">
        <f ca="1"/>
        <v>1487968807.7079022</v>
      </c>
      <c r="I269" s="3">
        <f ca="1"/>
        <v>2376381</v>
      </c>
      <c r="J269" s="3">
        <f ca="1"/>
        <v>8185.0551699999996</v>
      </c>
      <c r="K269" s="3">
        <f ca="1"/>
        <v>712324893.28891683</v>
      </c>
    </row>
    <row r="270" spans="1:11" x14ac:dyDescent="0.3">
      <c r="A270" s="10">
        <f ca="1"/>
        <v>45742.229166666664</v>
      </c>
      <c r="B270" s="12">
        <f ca="1"/>
        <v>87392.88</v>
      </c>
      <c r="C270" s="12">
        <f ca="1"/>
        <v>88275</v>
      </c>
      <c r="D270" s="12">
        <f ca="1"/>
        <v>85860</v>
      </c>
      <c r="E270" s="12">
        <f ca="1"/>
        <v>86909.17</v>
      </c>
      <c r="F270" s="3">
        <f ca="1"/>
        <v>18408.78485</v>
      </c>
      <c r="G270" s="10">
        <f ca="1"/>
        <v>45743.229166655095</v>
      </c>
      <c r="H270" s="3">
        <f ca="1"/>
        <v>1606406955.5864632</v>
      </c>
      <c r="I270" s="3">
        <f ca="1"/>
        <v>2380154</v>
      </c>
      <c r="J270" s="3">
        <f ca="1"/>
        <v>8590.9775300000001</v>
      </c>
      <c r="K270" s="3">
        <f ca="1"/>
        <v>749604853.29681349</v>
      </c>
    </row>
    <row r="271" spans="1:11" x14ac:dyDescent="0.3">
      <c r="A271" s="10">
        <f ca="1"/>
        <v>45741.229166666664</v>
      </c>
      <c r="B271" s="12">
        <f ca="1"/>
        <v>87498.16</v>
      </c>
      <c r="C271" s="12">
        <f ca="1"/>
        <v>88539.63</v>
      </c>
      <c r="D271" s="12">
        <f ca="1"/>
        <v>86310</v>
      </c>
      <c r="E271" s="12">
        <f ca="1"/>
        <v>87392.87</v>
      </c>
      <c r="F271" s="3">
        <f ca="1"/>
        <v>22643.252479999999</v>
      </c>
      <c r="G271" s="10">
        <f ca="1"/>
        <v>45742.229166655095</v>
      </c>
      <c r="H271" s="3">
        <f ca="1"/>
        <v>1979571590.8982937</v>
      </c>
      <c r="I271" s="3">
        <f ca="1"/>
        <v>2802815</v>
      </c>
      <c r="J271" s="3">
        <f ca="1"/>
        <v>9440.5629399999998</v>
      </c>
      <c r="K271" s="3">
        <f ca="1"/>
        <v>825308072.63378143</v>
      </c>
    </row>
    <row r="272" spans="1:11" x14ac:dyDescent="0.3">
      <c r="A272" s="10">
        <f ca="1"/>
        <v>45740.229166666664</v>
      </c>
      <c r="B272" s="12">
        <f ca="1"/>
        <v>86082.5</v>
      </c>
      <c r="C272" s="12">
        <f ca="1"/>
        <v>88765.43</v>
      </c>
      <c r="D272" s="12">
        <f ca="1"/>
        <v>85519.09</v>
      </c>
      <c r="E272" s="12">
        <f ca="1"/>
        <v>87498.16</v>
      </c>
      <c r="F272" s="3">
        <f ca="1"/>
        <v>30115.62111</v>
      </c>
      <c r="G272" s="10">
        <f ca="1"/>
        <v>45741.229166655095</v>
      </c>
      <c r="H272" s="3">
        <f ca="1"/>
        <v>2636765917.9518433</v>
      </c>
      <c r="I272" s="3">
        <f ca="1"/>
        <v>2916713</v>
      </c>
      <c r="J272" s="3">
        <f ca="1"/>
        <v>14379.95578</v>
      </c>
      <c r="K272" s="3">
        <f ca="1"/>
        <v>1258638667.1129041</v>
      </c>
    </row>
    <row r="273" spans="1:11" x14ac:dyDescent="0.3">
      <c r="A273" s="10">
        <f ca="1"/>
        <v>45739.229166666664</v>
      </c>
      <c r="B273" s="12">
        <f ca="1"/>
        <v>83840.59</v>
      </c>
      <c r="C273" s="12">
        <f ca="1"/>
        <v>86129.64</v>
      </c>
      <c r="D273" s="12">
        <f ca="1"/>
        <v>83809.75</v>
      </c>
      <c r="E273" s="12">
        <f ca="1"/>
        <v>86082.5</v>
      </c>
      <c r="F273" s="3">
        <f ca="1"/>
        <v>8461.9781299999995</v>
      </c>
      <c r="G273" s="10">
        <f ca="1"/>
        <v>45740.229166655095</v>
      </c>
      <c r="H273" s="3">
        <f ca="1"/>
        <v>718692319.14990377</v>
      </c>
      <c r="I273" s="3">
        <f ca="1"/>
        <v>1206533</v>
      </c>
      <c r="J273" s="3">
        <f ca="1"/>
        <v>4424.8101299999998</v>
      </c>
      <c r="K273" s="3">
        <f ca="1"/>
        <v>376007261.52135968</v>
      </c>
    </row>
    <row r="274" spans="1:11" x14ac:dyDescent="0.3">
      <c r="A274" s="10">
        <f ca="1"/>
        <v>45738.229166666664</v>
      </c>
      <c r="B274" s="12">
        <f ca="1"/>
        <v>84088.79</v>
      </c>
      <c r="C274" s="12">
        <f ca="1"/>
        <v>84539.17</v>
      </c>
      <c r="D274" s="12">
        <f ca="1"/>
        <v>83625.100000000006</v>
      </c>
      <c r="E274" s="12">
        <f ca="1"/>
        <v>83840.59</v>
      </c>
      <c r="F274" s="3">
        <f ca="1"/>
        <v>5420.2211399999997</v>
      </c>
      <c r="G274" s="10">
        <f ca="1"/>
        <v>45739.229166655095</v>
      </c>
      <c r="H274" s="3">
        <f ca="1"/>
        <v>456235443.80165219</v>
      </c>
      <c r="I274" s="3">
        <f ca="1"/>
        <v>864481</v>
      </c>
      <c r="J274" s="3">
        <f ca="1"/>
        <v>2284.1917800000001</v>
      </c>
      <c r="K274" s="3">
        <f ca="1"/>
        <v>192291026.7874248</v>
      </c>
    </row>
    <row r="275" spans="1:11" x14ac:dyDescent="0.3">
      <c r="A275" s="10">
        <f ca="1"/>
        <v>45737.229166666664</v>
      </c>
      <c r="B275" s="12">
        <f ca="1"/>
        <v>84223.38</v>
      </c>
      <c r="C275" s="12">
        <f ca="1"/>
        <v>84850.33</v>
      </c>
      <c r="D275" s="12">
        <f ca="1"/>
        <v>83175.25</v>
      </c>
      <c r="E275" s="12">
        <f ca="1"/>
        <v>84088.79</v>
      </c>
      <c r="F275" s="3">
        <f ca="1"/>
        <v>11956.97443</v>
      </c>
      <c r="G275" s="10">
        <f ca="1"/>
        <v>45738.229166655095</v>
      </c>
      <c r="H275" s="3">
        <f ca="1"/>
        <v>1005135519.2560017</v>
      </c>
      <c r="I275" s="3">
        <f ca="1"/>
        <v>2360005</v>
      </c>
      <c r="J275" s="3">
        <f ca="1"/>
        <v>5466.4196099999999</v>
      </c>
      <c r="K275" s="3">
        <f ca="1"/>
        <v>459501348.08175832</v>
      </c>
    </row>
    <row r="276" spans="1:11" x14ac:dyDescent="0.3">
      <c r="A276" s="10">
        <f ca="1"/>
        <v>45736.229166666664</v>
      </c>
      <c r="B276" s="12">
        <f ca="1"/>
        <v>86845.93</v>
      </c>
      <c r="C276" s="12">
        <f ca="1"/>
        <v>87453.67</v>
      </c>
      <c r="D276" s="12">
        <f ca="1"/>
        <v>83655.23</v>
      </c>
      <c r="E276" s="12">
        <f ca="1"/>
        <v>84223.39</v>
      </c>
      <c r="F276" s="3">
        <f ca="1"/>
        <v>22090.304629999999</v>
      </c>
      <c r="G276" s="10">
        <f ca="1"/>
        <v>45737.229166655095</v>
      </c>
      <c r="H276" s="3">
        <f ca="1"/>
        <v>1885241921.1556518</v>
      </c>
      <c r="I276" s="3">
        <f ca="1"/>
        <v>3252595</v>
      </c>
      <c r="J276" s="3">
        <f ca="1"/>
        <v>10163.592619999999</v>
      </c>
      <c r="K276" s="3">
        <f ca="1"/>
        <v>867440339.29626071</v>
      </c>
    </row>
    <row r="277" spans="1:11" x14ac:dyDescent="0.3">
      <c r="A277" s="10">
        <f ca="1"/>
        <v>45735.229166666664</v>
      </c>
      <c r="B277" s="12">
        <f ca="1"/>
        <v>82715.03</v>
      </c>
      <c r="C277" s="12">
        <f ca="1"/>
        <v>87000</v>
      </c>
      <c r="D277" s="12">
        <f ca="1"/>
        <v>82547.16</v>
      </c>
      <c r="E277" s="12">
        <f ca="1"/>
        <v>86845.94</v>
      </c>
      <c r="F277" s="3">
        <f ca="1"/>
        <v>28151.053739999999</v>
      </c>
      <c r="G277" s="10">
        <f ca="1"/>
        <v>45736.229166655095</v>
      </c>
      <c r="H277" s="3">
        <f ca="1"/>
        <v>2375813941.9437623</v>
      </c>
      <c r="I277" s="3">
        <f ca="1"/>
        <v>3774761</v>
      </c>
      <c r="J277" s="3">
        <f ca="1"/>
        <v>13804.24847</v>
      </c>
      <c r="K277" s="3">
        <f ca="1"/>
        <v>1166238970.2811465</v>
      </c>
    </row>
    <row r="278" spans="1:11" x14ac:dyDescent="0.3">
      <c r="A278" s="10">
        <f ca="1"/>
        <v>45734.229166666664</v>
      </c>
      <c r="B278" s="12">
        <f ca="1"/>
        <v>84010.02</v>
      </c>
      <c r="C278" s="12">
        <f ca="1"/>
        <v>84021.74</v>
      </c>
      <c r="D278" s="12">
        <f ca="1"/>
        <v>81134.66</v>
      </c>
      <c r="E278" s="12">
        <f ca="1"/>
        <v>82715.03</v>
      </c>
      <c r="F278" s="3">
        <f ca="1"/>
        <v>17610.898829999998</v>
      </c>
      <c r="G278" s="10">
        <f ca="1"/>
        <v>45735.229166655095</v>
      </c>
      <c r="H278" s="3">
        <f ca="1"/>
        <v>1450813055.4797261</v>
      </c>
      <c r="I278" s="3">
        <f ca="1"/>
        <v>3126371</v>
      </c>
      <c r="J278" s="3">
        <f ca="1"/>
        <v>8047.2341800000004</v>
      </c>
      <c r="K278" s="3">
        <f ca="1"/>
        <v>662808749.3427887</v>
      </c>
    </row>
    <row r="279" spans="1:11" x14ac:dyDescent="0.3">
      <c r="A279" s="10">
        <f ca="1"/>
        <v>45733.229166666664</v>
      </c>
      <c r="B279" s="12">
        <f ca="1"/>
        <v>82574.52</v>
      </c>
      <c r="C279" s="12">
        <f ca="1"/>
        <v>84756.83</v>
      </c>
      <c r="D279" s="12">
        <f ca="1"/>
        <v>82456</v>
      </c>
      <c r="E279" s="12">
        <f ca="1"/>
        <v>84010.03</v>
      </c>
      <c r="F279" s="3">
        <f ca="1"/>
        <v>17214.743579999998</v>
      </c>
      <c r="G279" s="10">
        <f ca="1"/>
        <v>45734.229166655095</v>
      </c>
      <c r="H279" s="3">
        <f ca="1"/>
        <v>1437716814.0468738</v>
      </c>
      <c r="I279" s="3">
        <f ca="1"/>
        <v>3014756</v>
      </c>
      <c r="J279" s="3">
        <f ca="1"/>
        <v>8387.8911100000005</v>
      </c>
      <c r="K279" s="3">
        <f ca="1"/>
        <v>700505421.78772938</v>
      </c>
    </row>
    <row r="280" spans="1:11" x14ac:dyDescent="0.3">
      <c r="A280" s="10">
        <f ca="1"/>
        <v>45732.229166666664</v>
      </c>
      <c r="B280" s="12">
        <f ca="1"/>
        <v>84338.44</v>
      </c>
      <c r="C280" s="12">
        <f ca="1"/>
        <v>85117.04</v>
      </c>
      <c r="D280" s="12">
        <f ca="1"/>
        <v>81981.119999999995</v>
      </c>
      <c r="E280" s="12">
        <f ca="1"/>
        <v>82574.53</v>
      </c>
      <c r="F280" s="3">
        <f ca="1"/>
        <v>17596.125309999999</v>
      </c>
      <c r="G280" s="10">
        <f ca="1"/>
        <v>45733.229166655095</v>
      </c>
      <c r="H280" s="3">
        <f ca="1"/>
        <v>1468056556.2967227</v>
      </c>
      <c r="I280" s="3">
        <f ca="1"/>
        <v>2767947</v>
      </c>
      <c r="J280" s="3">
        <f ca="1"/>
        <v>8505.9531700000007</v>
      </c>
      <c r="K280" s="3">
        <f ca="1"/>
        <v>710037465.07574797</v>
      </c>
    </row>
    <row r="281" spans="1:11" x14ac:dyDescent="0.3">
      <c r="A281" s="10">
        <f ca="1"/>
        <v>45731.229166666664</v>
      </c>
      <c r="B281" s="12">
        <f ca="1"/>
        <v>83983.19</v>
      </c>
      <c r="C281" s="12">
        <f ca="1"/>
        <v>84676.28</v>
      </c>
      <c r="D281" s="12">
        <f ca="1"/>
        <v>83618</v>
      </c>
      <c r="E281" s="12">
        <f ca="1"/>
        <v>84338.44</v>
      </c>
      <c r="F281" s="3">
        <f ca="1"/>
        <v>11324.733200000001</v>
      </c>
      <c r="G281" s="10">
        <f ca="1"/>
        <v>45732.229166655095</v>
      </c>
      <c r="H281" s="3">
        <f ca="1"/>
        <v>953445671.83375049</v>
      </c>
      <c r="I281" s="3">
        <f ca="1"/>
        <v>1329670</v>
      </c>
      <c r="J281" s="3">
        <f ca="1"/>
        <v>5195.2912800000004</v>
      </c>
      <c r="K281" s="3">
        <f ca="1"/>
        <v>437551330.25316602</v>
      </c>
    </row>
    <row r="282" spans="1:11" x14ac:dyDescent="0.3">
      <c r="A282" s="10">
        <f ca="1"/>
        <v>45730.229166666664</v>
      </c>
      <c r="B282" s="12">
        <f ca="1"/>
        <v>81115.78</v>
      </c>
      <c r="C282" s="12">
        <f ca="1"/>
        <v>85309.71</v>
      </c>
      <c r="D282" s="12">
        <f ca="1"/>
        <v>80818.84</v>
      </c>
      <c r="E282" s="12">
        <f ca="1"/>
        <v>83983.2</v>
      </c>
      <c r="F282" s="3">
        <f ca="1"/>
        <v>26858.527549999999</v>
      </c>
      <c r="G282" s="10">
        <f ca="1"/>
        <v>45731.229166655095</v>
      </c>
      <c r="H282" s="3">
        <f ca="1"/>
        <v>2244729595.5411716</v>
      </c>
      <c r="I282" s="3">
        <f ca="1"/>
        <v>3290987</v>
      </c>
      <c r="J282" s="3">
        <f ca="1"/>
        <v>14082.88688</v>
      </c>
      <c r="K282" s="3">
        <f ca="1"/>
        <v>1177807467.0181799</v>
      </c>
    </row>
    <row r="283" spans="1:11" x14ac:dyDescent="0.3">
      <c r="A283" s="10">
        <f ca="1"/>
        <v>45729.229166666664</v>
      </c>
      <c r="B283" s="12">
        <f ca="1"/>
        <v>83680.12</v>
      </c>
      <c r="C283" s="12">
        <f ca="1"/>
        <v>84336.33</v>
      </c>
      <c r="D283" s="12">
        <f ca="1"/>
        <v>79939.899999999994</v>
      </c>
      <c r="E283" s="12">
        <f ca="1"/>
        <v>81115.78</v>
      </c>
      <c r="F283" s="3">
        <f ca="1"/>
        <v>27546.274119999998</v>
      </c>
      <c r="G283" s="10">
        <f ca="1"/>
        <v>45730.229166655095</v>
      </c>
      <c r="H283" s="3">
        <f ca="1"/>
        <v>2260870111.2393894</v>
      </c>
      <c r="I283" s="3">
        <f ca="1"/>
        <v>4367093</v>
      </c>
      <c r="J283" s="3">
        <f ca="1"/>
        <v>13013.181350000001</v>
      </c>
      <c r="K283" s="3">
        <f ca="1"/>
        <v>1067945431.1219469</v>
      </c>
    </row>
    <row r="284" spans="1:11" x14ac:dyDescent="0.3">
      <c r="A284" s="10">
        <f ca="1"/>
        <v>45728.229166666664</v>
      </c>
      <c r="B284" s="12">
        <f ca="1"/>
        <v>82932.990000000005</v>
      </c>
      <c r="C284" s="12">
        <f ca="1"/>
        <v>84539.85</v>
      </c>
      <c r="D284" s="12">
        <f ca="1"/>
        <v>80607.649999999994</v>
      </c>
      <c r="E284" s="12">
        <f ca="1"/>
        <v>83680.12</v>
      </c>
      <c r="F284" s="3">
        <f ca="1"/>
        <v>31933.986000000001</v>
      </c>
      <c r="G284" s="10">
        <f ca="1"/>
        <v>45729.229166655095</v>
      </c>
      <c r="H284" s="3">
        <f ca="1"/>
        <v>2638600996.8253961</v>
      </c>
      <c r="I284" s="3">
        <f ca="1"/>
        <v>5253577</v>
      </c>
      <c r="J284" s="3">
        <f ca="1"/>
        <v>15749.417020000001</v>
      </c>
      <c r="K284" s="3">
        <f ca="1"/>
        <v>1301890518.499408</v>
      </c>
    </row>
    <row r="285" spans="1:11" x14ac:dyDescent="0.3">
      <c r="A285" s="10">
        <f ca="1"/>
        <v>45727.229166666664</v>
      </c>
      <c r="B285" s="12">
        <f ca="1"/>
        <v>78595.86</v>
      </c>
      <c r="C285" s="12">
        <f ca="1"/>
        <v>83617.399999999994</v>
      </c>
      <c r="D285" s="12">
        <f ca="1"/>
        <v>76606</v>
      </c>
      <c r="E285" s="12">
        <f ca="1"/>
        <v>82932.990000000005</v>
      </c>
      <c r="F285" s="3">
        <f ca="1"/>
        <v>48770.068529999997</v>
      </c>
      <c r="G285" s="10">
        <f ca="1"/>
        <v>45728.229166655095</v>
      </c>
      <c r="H285" s="3">
        <f ca="1"/>
        <v>3927000827.1107917</v>
      </c>
      <c r="I285" s="3">
        <f ca="1"/>
        <v>6983310</v>
      </c>
      <c r="J285" s="3">
        <f ca="1"/>
        <v>24029.167700000002</v>
      </c>
      <c r="K285" s="3">
        <f ca="1"/>
        <v>1935950413.2018194</v>
      </c>
    </row>
    <row r="286" spans="1:11" x14ac:dyDescent="0.3">
      <c r="A286" s="10">
        <f ca="1"/>
        <v>45726.229166666664</v>
      </c>
      <c r="B286" s="12">
        <f ca="1"/>
        <v>80734.48</v>
      </c>
      <c r="C286" s="12">
        <f ca="1"/>
        <v>84123.46</v>
      </c>
      <c r="D286" s="12">
        <f ca="1"/>
        <v>77459.91</v>
      </c>
      <c r="E286" s="12">
        <f ca="1"/>
        <v>78595.86</v>
      </c>
      <c r="F286" s="3">
        <f ca="1"/>
        <v>47633.384050000001</v>
      </c>
      <c r="G286" s="10">
        <f ca="1"/>
        <v>45727.229166655095</v>
      </c>
      <c r="H286" s="3">
        <f ca="1"/>
        <v>3834924947.7581859</v>
      </c>
      <c r="I286" s="3">
        <f ca="1"/>
        <v>8701538</v>
      </c>
      <c r="J286" s="3">
        <f ca="1"/>
        <v>22898.57072</v>
      </c>
      <c r="K286" s="3">
        <f ca="1"/>
        <v>1846606255.3521485</v>
      </c>
    </row>
    <row r="287" spans="1:11" x14ac:dyDescent="0.3">
      <c r="A287" s="10">
        <f ca="1"/>
        <v>45725.229166666664</v>
      </c>
      <c r="B287" s="12">
        <f ca="1"/>
        <v>86222.46</v>
      </c>
      <c r="C287" s="12">
        <f ca="1"/>
        <v>86500</v>
      </c>
      <c r="D287" s="12">
        <f ca="1"/>
        <v>80000</v>
      </c>
      <c r="E287" s="12">
        <f ca="1"/>
        <v>80734.37</v>
      </c>
      <c r="F287" s="3">
        <f ca="1"/>
        <v>26115.39345</v>
      </c>
      <c r="G287" s="10">
        <f ca="1"/>
        <v>45726.229166655095</v>
      </c>
      <c r="H287" s="3">
        <f ca="1"/>
        <v>2173552660.4544792</v>
      </c>
      <c r="I287" s="3">
        <f ca="1"/>
        <v>5189138</v>
      </c>
      <c r="J287" s="3">
        <f ca="1"/>
        <v>12093.87232</v>
      </c>
      <c r="K287" s="3">
        <f ca="1"/>
        <v>1006299692.7104127</v>
      </c>
    </row>
    <row r="288" spans="1:11" x14ac:dyDescent="0.3">
      <c r="A288" s="10">
        <f ca="1"/>
        <v>45724.229166666664</v>
      </c>
      <c r="B288" s="12">
        <f ca="1"/>
        <v>86801.74</v>
      </c>
      <c r="C288" s="12">
        <f ca="1"/>
        <v>86897.25</v>
      </c>
      <c r="D288" s="12">
        <f ca="1"/>
        <v>85218.47</v>
      </c>
      <c r="E288" s="12">
        <f ca="1"/>
        <v>86222.45</v>
      </c>
      <c r="F288" s="3">
        <f ca="1"/>
        <v>12989.23054</v>
      </c>
      <c r="G288" s="10">
        <f ca="1"/>
        <v>45725.229166655095</v>
      </c>
      <c r="H288" s="3">
        <f ca="1"/>
        <v>1119358968.6520054</v>
      </c>
      <c r="I288" s="3">
        <f ca="1"/>
        <v>2553974</v>
      </c>
      <c r="J288" s="3">
        <f ca="1"/>
        <v>6491.5658100000001</v>
      </c>
      <c r="K288" s="3">
        <f ca="1"/>
        <v>559581591.34707415</v>
      </c>
    </row>
    <row r="289" spans="1:11" x14ac:dyDescent="0.3">
      <c r="A289" s="10">
        <f ca="1"/>
        <v>45723.229166666664</v>
      </c>
      <c r="B289" s="12">
        <f ca="1"/>
        <v>89931.88</v>
      </c>
      <c r="C289" s="12">
        <f ca="1"/>
        <v>91283.02</v>
      </c>
      <c r="D289" s="12">
        <f ca="1"/>
        <v>84667.03</v>
      </c>
      <c r="E289" s="12">
        <f ca="1"/>
        <v>86801.75</v>
      </c>
      <c r="F289" s="3">
        <f ca="1"/>
        <v>57980.357129999997</v>
      </c>
      <c r="G289" s="10">
        <f ca="1"/>
        <v>45724.229166655095</v>
      </c>
      <c r="H289" s="3">
        <f ca="1"/>
        <v>5097554826.6131573</v>
      </c>
      <c r="I289" s="3">
        <f ca="1"/>
        <v>9510442</v>
      </c>
      <c r="J289" s="3">
        <f ca="1"/>
        <v>28394.415369999999</v>
      </c>
      <c r="K289" s="3">
        <f ca="1"/>
        <v>2497922400.4504447</v>
      </c>
    </row>
    <row r="290" spans="1:11" x14ac:dyDescent="0.3">
      <c r="A290" s="10">
        <f ca="1"/>
        <v>45722.229166666664</v>
      </c>
      <c r="B290" s="12">
        <f ca="1"/>
        <v>90606</v>
      </c>
      <c r="C290" s="12">
        <f ca="1"/>
        <v>92810.64</v>
      </c>
      <c r="D290" s="12">
        <f ca="1"/>
        <v>87836</v>
      </c>
      <c r="E290" s="12">
        <f ca="1"/>
        <v>89931.89</v>
      </c>
      <c r="F290" s="3">
        <f ca="1"/>
        <v>34342.44902</v>
      </c>
      <c r="G290" s="10">
        <f ca="1"/>
        <v>45723.229166655095</v>
      </c>
      <c r="H290" s="3">
        <f ca="1"/>
        <v>3105145628.3993993</v>
      </c>
      <c r="I290" s="3">
        <f ca="1"/>
        <v>7643526</v>
      </c>
      <c r="J290" s="3">
        <f ca="1"/>
        <v>17283.99411</v>
      </c>
      <c r="K290" s="3">
        <f ca="1"/>
        <v>1563426526.4289935</v>
      </c>
    </row>
    <row r="291" spans="1:11" x14ac:dyDescent="0.3">
      <c r="A291" s="10">
        <f ca="1"/>
        <v>45721.229166666664</v>
      </c>
      <c r="B291" s="12">
        <f ca="1"/>
        <v>87281.98</v>
      </c>
      <c r="C291" s="12">
        <f ca="1"/>
        <v>91000</v>
      </c>
      <c r="D291" s="12">
        <f ca="1"/>
        <v>86334.53</v>
      </c>
      <c r="E291" s="12">
        <f ca="1"/>
        <v>90606.01</v>
      </c>
      <c r="F291" s="3">
        <f ca="1"/>
        <v>38264.011630000001</v>
      </c>
      <c r="G291" s="10">
        <f ca="1"/>
        <v>45722.229166655095</v>
      </c>
      <c r="H291" s="3">
        <f ca="1"/>
        <v>3400243670.3049755</v>
      </c>
      <c r="I291" s="3">
        <f ca="1"/>
        <v>8070266</v>
      </c>
      <c r="J291" s="3">
        <f ca="1"/>
        <v>19230.284360000001</v>
      </c>
      <c r="K291" s="3">
        <f ca="1"/>
        <v>1709708737.4698935</v>
      </c>
    </row>
    <row r="292" spans="1:11" x14ac:dyDescent="0.3">
      <c r="A292" s="10">
        <f ca="1"/>
        <v>45720.229166666664</v>
      </c>
      <c r="B292" s="12">
        <f ca="1"/>
        <v>86221.16</v>
      </c>
      <c r="C292" s="12">
        <f ca="1"/>
        <v>88967.52</v>
      </c>
      <c r="D292" s="12">
        <f ca="1"/>
        <v>81500</v>
      </c>
      <c r="E292" s="12">
        <f ca="1"/>
        <v>87281.98</v>
      </c>
      <c r="F292" s="3">
        <f ca="1"/>
        <v>55609.107060000002</v>
      </c>
      <c r="G292" s="10">
        <f ca="1"/>
        <v>45721.229166655095</v>
      </c>
      <c r="H292" s="3">
        <f ca="1"/>
        <v>4704901219.590436</v>
      </c>
      <c r="I292" s="3">
        <f ca="1"/>
        <v>10326631</v>
      </c>
      <c r="J292" s="3">
        <f ca="1"/>
        <v>27584.715899999999</v>
      </c>
      <c r="K292" s="3">
        <f ca="1"/>
        <v>2335087296.2392869</v>
      </c>
    </row>
    <row r="293" spans="1:11" x14ac:dyDescent="0.3">
      <c r="A293" s="10">
        <f ca="1"/>
        <v>45719.229166666664</v>
      </c>
      <c r="B293" s="12">
        <f ca="1"/>
        <v>94269.99</v>
      </c>
      <c r="C293" s="12">
        <f ca="1"/>
        <v>94416.46</v>
      </c>
      <c r="D293" s="12">
        <f ca="1"/>
        <v>85117.11</v>
      </c>
      <c r="E293" s="12">
        <f ca="1"/>
        <v>86220.61</v>
      </c>
      <c r="F293" s="3">
        <f ca="1"/>
        <v>59171.102180000002</v>
      </c>
      <c r="G293" s="10">
        <f ca="1"/>
        <v>45720.229166655095</v>
      </c>
      <c r="H293" s="3">
        <f ca="1"/>
        <v>5321123743.4719229</v>
      </c>
      <c r="I293" s="3">
        <f ca="1"/>
        <v>9797860</v>
      </c>
      <c r="J293" s="3">
        <f ca="1"/>
        <v>27915.4365</v>
      </c>
      <c r="K293" s="3">
        <f ca="1"/>
        <v>2513464571.3569112</v>
      </c>
    </row>
    <row r="294" spans="1:11" x14ac:dyDescent="0.3">
      <c r="A294" s="10">
        <f ca="1"/>
        <v>45718.229166666664</v>
      </c>
      <c r="B294" s="12">
        <f ca="1"/>
        <v>86064.54</v>
      </c>
      <c r="C294" s="12">
        <f ca="1"/>
        <v>95000</v>
      </c>
      <c r="D294" s="12">
        <f ca="1"/>
        <v>85050.6</v>
      </c>
      <c r="E294" s="12">
        <f ca="1"/>
        <v>94270</v>
      </c>
      <c r="F294" s="3">
        <f ca="1"/>
        <v>54889.090450000003</v>
      </c>
      <c r="G294" s="10">
        <f ca="1"/>
        <v>45719.229166655095</v>
      </c>
      <c r="H294" s="3">
        <f ca="1"/>
        <v>4972549515.7886686</v>
      </c>
      <c r="I294" s="3">
        <f ca="1"/>
        <v>7403218</v>
      </c>
      <c r="J294" s="3">
        <f ca="1"/>
        <v>29273.810310000001</v>
      </c>
      <c r="K294" s="3">
        <f ca="1"/>
        <v>2652973441.1545391</v>
      </c>
    </row>
    <row r="295" spans="1:11" x14ac:dyDescent="0.3">
      <c r="A295" s="10">
        <f ca="1"/>
        <v>45717.229166666664</v>
      </c>
      <c r="B295" s="12">
        <f ca="1"/>
        <v>84349.95</v>
      </c>
      <c r="C295" s="12">
        <f ca="1"/>
        <v>86558</v>
      </c>
      <c r="D295" s="12">
        <f ca="1"/>
        <v>83824.78</v>
      </c>
      <c r="E295" s="12">
        <f ca="1"/>
        <v>86064.53</v>
      </c>
      <c r="F295" s="3">
        <f ca="1"/>
        <v>25785.054639999998</v>
      </c>
      <c r="G295" s="10">
        <f ca="1"/>
        <v>45718.229166655095</v>
      </c>
      <c r="H295" s="3">
        <f ca="1"/>
        <v>2194003507.852643</v>
      </c>
      <c r="I295" s="3">
        <f ca="1"/>
        <v>3700728</v>
      </c>
      <c r="J295" s="3">
        <f ca="1"/>
        <v>11748.107690000001</v>
      </c>
      <c r="K295" s="3">
        <f ca="1"/>
        <v>1000093822.5383525</v>
      </c>
    </row>
    <row r="296" spans="1:11" x14ac:dyDescent="0.3">
      <c r="A296" s="10">
        <f ca="1"/>
        <v>45716.229166666664</v>
      </c>
      <c r="B296" s="12">
        <f ca="1"/>
        <v>84708.57</v>
      </c>
      <c r="C296" s="12">
        <f ca="1"/>
        <v>85120</v>
      </c>
      <c r="D296" s="12">
        <f ca="1"/>
        <v>78258.52</v>
      </c>
      <c r="E296" s="12">
        <f ca="1"/>
        <v>84349.94</v>
      </c>
      <c r="F296" s="3">
        <f ca="1"/>
        <v>83648.039690000005</v>
      </c>
      <c r="G296" s="10">
        <f ca="1"/>
        <v>45717.229166655095</v>
      </c>
      <c r="H296" s="3">
        <f ca="1"/>
        <v>6806705236.6906786</v>
      </c>
      <c r="I296" s="3">
        <f ca="1"/>
        <v>11344216</v>
      </c>
      <c r="J296" s="3">
        <f ca="1"/>
        <v>40224.852870000002</v>
      </c>
      <c r="K296" s="3">
        <f ca="1"/>
        <v>3274291175.8103995</v>
      </c>
    </row>
    <row r="297" spans="1:11" x14ac:dyDescent="0.3">
      <c r="A297" s="10">
        <f ca="1"/>
        <v>45715.229166666664</v>
      </c>
      <c r="B297" s="12">
        <f ca="1"/>
        <v>84250.09</v>
      </c>
      <c r="C297" s="12">
        <f ca="1"/>
        <v>87078.46</v>
      </c>
      <c r="D297" s="12">
        <f ca="1"/>
        <v>82716.490000000005</v>
      </c>
      <c r="E297" s="12">
        <f ca="1"/>
        <v>84708.58</v>
      </c>
      <c r="F297" s="3">
        <f ca="1"/>
        <v>42505.454389999999</v>
      </c>
      <c r="G297" s="10">
        <f ca="1"/>
        <v>45716.229166655095</v>
      </c>
      <c r="H297" s="3">
        <f ca="1"/>
        <v>3618738891.2221622</v>
      </c>
      <c r="I297" s="3">
        <f ca="1"/>
        <v>6357581</v>
      </c>
      <c r="J297" s="3">
        <f ca="1"/>
        <v>20355.719690000002</v>
      </c>
      <c r="K297" s="3">
        <f ca="1"/>
        <v>1732725913.2817628</v>
      </c>
    </row>
    <row r="298" spans="1:11" x14ac:dyDescent="0.3">
      <c r="A298" s="10">
        <f ca="1"/>
        <v>45714.229166666664</v>
      </c>
      <c r="B298" s="12">
        <f ca="1"/>
        <v>88680.39</v>
      </c>
      <c r="C298" s="12">
        <f ca="1"/>
        <v>89414.15</v>
      </c>
      <c r="D298" s="12">
        <f ca="1"/>
        <v>82256.009999999995</v>
      </c>
      <c r="E298" s="12">
        <f ca="1"/>
        <v>84250.09</v>
      </c>
      <c r="F298" s="3">
        <f ca="1"/>
        <v>56893.544090000003</v>
      </c>
      <c r="G298" s="10">
        <f ca="1"/>
        <v>45715.229166655095</v>
      </c>
      <c r="H298" s="3">
        <f ca="1"/>
        <v>4898429925.6364765</v>
      </c>
      <c r="I298" s="3">
        <f ca="1"/>
        <v>8490006</v>
      </c>
      <c r="J298" s="3">
        <f ca="1"/>
        <v>28077.184499999999</v>
      </c>
      <c r="K298" s="3">
        <f ca="1"/>
        <v>2417690848.8189874</v>
      </c>
    </row>
    <row r="299" spans="1:11" x14ac:dyDescent="0.3">
      <c r="A299" s="10">
        <f ca="1"/>
        <v>45713.229166666664</v>
      </c>
      <c r="B299" s="12">
        <f ca="1"/>
        <v>91552.88</v>
      </c>
      <c r="C299" s="12">
        <f ca="1"/>
        <v>92540.69</v>
      </c>
      <c r="D299" s="12">
        <f ca="1"/>
        <v>86050.99</v>
      </c>
      <c r="E299" s="12">
        <f ca="1"/>
        <v>88680.4</v>
      </c>
      <c r="F299" s="3">
        <f ca="1"/>
        <v>78333.111109999998</v>
      </c>
      <c r="G299" s="10">
        <f ca="1"/>
        <v>45714.229166655095</v>
      </c>
      <c r="H299" s="3">
        <f ca="1"/>
        <v>6962982500.9044743</v>
      </c>
      <c r="I299" s="3">
        <f ca="1"/>
        <v>10289145</v>
      </c>
      <c r="J299" s="3">
        <f ca="1"/>
        <v>35822.152750000001</v>
      </c>
      <c r="K299" s="3">
        <f ca="1"/>
        <v>3183981371.47505</v>
      </c>
    </row>
    <row r="300" spans="1:11" x14ac:dyDescent="0.3">
      <c r="A300" s="10">
        <f ca="1"/>
        <v>45712.229166666664</v>
      </c>
      <c r="B300" s="12">
        <f ca="1"/>
        <v>96258</v>
      </c>
      <c r="C300" s="12">
        <f ca="1"/>
        <v>96500</v>
      </c>
      <c r="D300" s="12">
        <f ca="1"/>
        <v>91349.26</v>
      </c>
      <c r="E300" s="12">
        <f ca="1"/>
        <v>91552.88</v>
      </c>
      <c r="F300" s="3">
        <f ca="1"/>
        <v>31550.102989999999</v>
      </c>
      <c r="G300" s="10">
        <f ca="1"/>
        <v>45713.229166655095</v>
      </c>
      <c r="H300" s="3">
        <f ca="1"/>
        <v>2981809595.4453769</v>
      </c>
      <c r="I300" s="3">
        <f ca="1"/>
        <v>4972684</v>
      </c>
      <c r="J300" s="3">
        <f ca="1"/>
        <v>14438.63366</v>
      </c>
      <c r="K300" s="3">
        <f ca="1"/>
        <v>1366473567.874773</v>
      </c>
    </row>
    <row r="301" spans="1:11" x14ac:dyDescent="0.3">
      <c r="A301" s="10">
        <f ca="1"/>
        <v>45711.229166666664</v>
      </c>
      <c r="B301" s="12">
        <f ca="1"/>
        <v>96551.01</v>
      </c>
      <c r="C301" s="12">
        <f ca="1"/>
        <v>96650</v>
      </c>
      <c r="D301" s="12">
        <f ca="1"/>
        <v>95227.94</v>
      </c>
      <c r="E301" s="12">
        <f ca="1"/>
        <v>96258</v>
      </c>
      <c r="F301" s="3">
        <f ca="1"/>
        <v>10884.849130000001</v>
      </c>
      <c r="G301" s="10">
        <f ca="1"/>
        <v>45712.229166655095</v>
      </c>
      <c r="H301" s="3">
        <f ca="1"/>
        <v>1044392011.7910241</v>
      </c>
      <c r="I301" s="3">
        <f ca="1"/>
        <v>1457368</v>
      </c>
      <c r="J301" s="3">
        <f ca="1"/>
        <v>4619.9326700000001</v>
      </c>
      <c r="K301" s="3">
        <f ca="1"/>
        <v>443381984.41102552</v>
      </c>
    </row>
    <row r="302" spans="1:11" x14ac:dyDescent="0.3">
      <c r="A302" s="10">
        <f ca="1"/>
        <v>45710.229166666664</v>
      </c>
      <c r="B302" s="12">
        <f ca="1"/>
        <v>96181.99</v>
      </c>
      <c r="C302" s="12">
        <f ca="1"/>
        <v>96980</v>
      </c>
      <c r="D302" s="12">
        <f ca="1"/>
        <v>95770.49</v>
      </c>
      <c r="E302" s="12">
        <f ca="1"/>
        <v>96551.01</v>
      </c>
      <c r="F302" s="3">
        <f ca="1"/>
        <v>11268.177079999999</v>
      </c>
      <c r="G302" s="10">
        <f ca="1"/>
        <v>45711.229166655095</v>
      </c>
      <c r="H302" s="3">
        <f ca="1"/>
        <v>1087077133.8226364</v>
      </c>
      <c r="I302" s="3">
        <f ca="1"/>
        <v>1506418</v>
      </c>
      <c r="J302" s="3">
        <f ca="1"/>
        <v>5293.2805099999996</v>
      </c>
      <c r="K302" s="3">
        <f ca="1"/>
        <v>510722895.16754258</v>
      </c>
    </row>
    <row r="303" spans="1:11" x14ac:dyDescent="0.3">
      <c r="A303" s="10">
        <f ca="1"/>
        <v>45709.229166666664</v>
      </c>
      <c r="B303" s="12">
        <f ca="1"/>
        <v>98305.01</v>
      </c>
      <c r="C303" s="12">
        <f ca="1"/>
        <v>99475</v>
      </c>
      <c r="D303" s="12">
        <f ca="1"/>
        <v>94871.95</v>
      </c>
      <c r="E303" s="12">
        <f ca="1"/>
        <v>96181.98</v>
      </c>
      <c r="F303" s="3">
        <f ca="1"/>
        <v>32249.2814</v>
      </c>
      <c r="G303" s="10">
        <f ca="1"/>
        <v>45710.229166655095</v>
      </c>
      <c r="H303" s="3">
        <f ca="1"/>
        <v>3143975917.5734644</v>
      </c>
      <c r="I303" s="3">
        <f ca="1"/>
        <v>4528525</v>
      </c>
      <c r="J303" s="3">
        <f ca="1"/>
        <v>15313.581840000001</v>
      </c>
      <c r="K303" s="3">
        <f ca="1"/>
        <v>1493403646.8483026</v>
      </c>
    </row>
    <row r="304" spans="1:11" x14ac:dyDescent="0.3">
      <c r="A304" s="10">
        <f ca="1"/>
        <v>45708.229166666664</v>
      </c>
      <c r="B304" s="12">
        <f ca="1"/>
        <v>96644.37</v>
      </c>
      <c r="C304" s="12">
        <f ca="1"/>
        <v>98711.360000000001</v>
      </c>
      <c r="D304" s="12">
        <f ca="1"/>
        <v>96415.09</v>
      </c>
      <c r="E304" s="12">
        <f ca="1"/>
        <v>98305</v>
      </c>
      <c r="F304" s="3">
        <f ca="1"/>
        <v>17057.391769999998</v>
      </c>
      <c r="G304" s="10">
        <f ca="1"/>
        <v>45709.229166655095</v>
      </c>
      <c r="H304" s="3">
        <f ca="1"/>
        <v>1663386824.7315507</v>
      </c>
      <c r="I304" s="3">
        <f ca="1"/>
        <v>2386973</v>
      </c>
      <c r="J304" s="3">
        <f ca="1"/>
        <v>8356.4285899999995</v>
      </c>
      <c r="K304" s="3">
        <f ca="1"/>
        <v>815056614.17382705</v>
      </c>
    </row>
    <row r="305" spans="1:11" x14ac:dyDescent="0.3">
      <c r="A305" s="10">
        <f ca="1"/>
        <v>45707.229166666664</v>
      </c>
      <c r="B305" s="12">
        <f ca="1"/>
        <v>95671.74</v>
      </c>
      <c r="C305" s="12">
        <f ca="1"/>
        <v>96899.99</v>
      </c>
      <c r="D305" s="12">
        <f ca="1"/>
        <v>95029.99</v>
      </c>
      <c r="E305" s="12">
        <f ca="1"/>
        <v>96644.37</v>
      </c>
      <c r="F305" s="3">
        <f ca="1"/>
        <v>16438.509539999999</v>
      </c>
      <c r="G305" s="10">
        <f ca="1"/>
        <v>45708.229166655095</v>
      </c>
      <c r="H305" s="3">
        <f ca="1"/>
        <v>1576817572.1032505</v>
      </c>
      <c r="I305" s="3">
        <f ca="1"/>
        <v>2784225</v>
      </c>
      <c r="J305" s="3">
        <f ca="1"/>
        <v>7173.6180700000004</v>
      </c>
      <c r="K305" s="3">
        <f ca="1"/>
        <v>688586919.97592592</v>
      </c>
    </row>
    <row r="306" spans="1:11" x14ac:dyDescent="0.3">
      <c r="A306" s="10">
        <f ca="1"/>
        <v>45706.229166666664</v>
      </c>
      <c r="B306" s="12">
        <f ca="1"/>
        <v>95780.01</v>
      </c>
      <c r="C306" s="12">
        <f ca="1"/>
        <v>96753.91</v>
      </c>
      <c r="D306" s="12">
        <f ca="1"/>
        <v>93388.09</v>
      </c>
      <c r="E306" s="12">
        <f ca="1"/>
        <v>95671.74</v>
      </c>
      <c r="F306" s="3">
        <f ca="1"/>
        <v>23368.19471</v>
      </c>
      <c r="G306" s="10">
        <f ca="1"/>
        <v>45707.229166655095</v>
      </c>
      <c r="H306" s="3">
        <f ca="1"/>
        <v>2223994802.892005</v>
      </c>
      <c r="I306" s="3">
        <f ca="1"/>
        <v>4234248</v>
      </c>
      <c r="J306" s="3">
        <f ca="1"/>
        <v>11432.473669999999</v>
      </c>
      <c r="K306" s="3">
        <f ca="1"/>
        <v>1088319233.5219896</v>
      </c>
    </row>
    <row r="307" spans="1:11" x14ac:dyDescent="0.3">
      <c r="A307" s="10">
        <f ca="1"/>
        <v>45705.229166666664</v>
      </c>
      <c r="B307" s="12">
        <f ca="1"/>
        <v>96118.12</v>
      </c>
      <c r="C307" s="12">
        <f ca="1"/>
        <v>97046.59</v>
      </c>
      <c r="D307" s="12">
        <f ca="1"/>
        <v>95205</v>
      </c>
      <c r="E307" s="12">
        <f ca="1"/>
        <v>95780</v>
      </c>
      <c r="F307" s="3">
        <f ca="1"/>
        <v>16492.045099999999</v>
      </c>
      <c r="G307" s="10">
        <f ca="1"/>
        <v>45706.229166655095</v>
      </c>
      <c r="H307" s="3">
        <f ca="1"/>
        <v>1584593526.1754677</v>
      </c>
      <c r="I307" s="3">
        <f ca="1"/>
        <v>2831237</v>
      </c>
      <c r="J307" s="3">
        <f ca="1"/>
        <v>8010.4156499999999</v>
      </c>
      <c r="K307" s="3">
        <f ca="1"/>
        <v>769979077.13619733</v>
      </c>
    </row>
    <row r="308" spans="1:11" x14ac:dyDescent="0.3">
      <c r="A308" s="10">
        <f ca="1"/>
        <v>45704.229166666664</v>
      </c>
      <c r="B308" s="12">
        <f ca="1"/>
        <v>97569.67</v>
      </c>
      <c r="C308" s="12">
        <f ca="1"/>
        <v>97704.47</v>
      </c>
      <c r="D308" s="12">
        <f ca="1"/>
        <v>96046.18</v>
      </c>
      <c r="E308" s="12">
        <f ca="1"/>
        <v>96118.12</v>
      </c>
      <c r="F308" s="3">
        <f ca="1"/>
        <v>8191.4249</v>
      </c>
      <c r="G308" s="10">
        <f ca="1"/>
        <v>45705.229166655095</v>
      </c>
      <c r="H308" s="3">
        <f ca="1"/>
        <v>794694242.29497325</v>
      </c>
      <c r="I308" s="3">
        <f ca="1"/>
        <v>1596701</v>
      </c>
      <c r="J308" s="3">
        <f ca="1"/>
        <v>3719.73063</v>
      </c>
      <c r="K308" s="3">
        <f ca="1"/>
        <v>360842416.66441667</v>
      </c>
    </row>
    <row r="309" spans="1:11" x14ac:dyDescent="0.3">
      <c r="A309" s="10">
        <f ca="1"/>
        <v>45703.229166666664</v>
      </c>
      <c r="B309" s="12">
        <f ca="1"/>
        <v>97500.47</v>
      </c>
      <c r="C309" s="12">
        <f ca="1"/>
        <v>97972.26</v>
      </c>
      <c r="D309" s="12">
        <f ca="1"/>
        <v>97223.58</v>
      </c>
      <c r="E309" s="12">
        <f ca="1"/>
        <v>97569.66</v>
      </c>
      <c r="F309" s="3">
        <f ca="1"/>
        <v>7349.3768300000002</v>
      </c>
      <c r="G309" s="10">
        <f ca="1"/>
        <v>45704.229166655095</v>
      </c>
      <c r="H309" s="3">
        <f ca="1"/>
        <v>717245393.77809203</v>
      </c>
      <c r="I309" s="3">
        <f ca="1"/>
        <v>1694327</v>
      </c>
      <c r="J309" s="3">
        <f ca="1"/>
        <v>3579.1420199999998</v>
      </c>
      <c r="K309" s="3">
        <f ca="1"/>
        <v>349322778.2339769</v>
      </c>
    </row>
    <row r="310" spans="1:11" x14ac:dyDescent="0.3">
      <c r="A310" s="10">
        <f ca="1"/>
        <v>45702.229166666664</v>
      </c>
      <c r="B310" s="12">
        <f ca="1"/>
        <v>96608.13</v>
      </c>
      <c r="C310" s="12">
        <f ca="1"/>
        <v>98826</v>
      </c>
      <c r="D310" s="12">
        <f ca="1"/>
        <v>96252.82</v>
      </c>
      <c r="E310" s="12">
        <f ca="1"/>
        <v>97500.479999999996</v>
      </c>
      <c r="F310" s="3">
        <f ca="1"/>
        <v>18173.026460000001</v>
      </c>
      <c r="G310" s="10">
        <f ca="1"/>
        <v>45703.229166655095</v>
      </c>
      <c r="H310" s="3">
        <f ca="1"/>
        <v>1768073218.8690155</v>
      </c>
      <c r="I310" s="3">
        <f ca="1"/>
        <v>3499564</v>
      </c>
      <c r="J310" s="3">
        <f ca="1"/>
        <v>9061.31682</v>
      </c>
      <c r="K310" s="3">
        <f ca="1"/>
        <v>881925349.64442134</v>
      </c>
    </row>
    <row r="311" spans="1:11" x14ac:dyDescent="0.3">
      <c r="A311" s="10">
        <f ca="1"/>
        <v>45701.229166666664</v>
      </c>
      <c r="B311" s="12">
        <f ca="1"/>
        <v>97870</v>
      </c>
      <c r="C311" s="12">
        <f ca="1"/>
        <v>98083.91</v>
      </c>
      <c r="D311" s="12">
        <f ca="1"/>
        <v>95217.36</v>
      </c>
      <c r="E311" s="12">
        <f ca="1"/>
        <v>96608.14</v>
      </c>
      <c r="F311" s="3">
        <f ca="1"/>
        <v>19921.776160000001</v>
      </c>
      <c r="G311" s="10">
        <f ca="1"/>
        <v>45702.229166655095</v>
      </c>
      <c r="H311" s="3">
        <f ca="1"/>
        <v>1916988246.3921187</v>
      </c>
      <c r="I311" s="3">
        <f ca="1"/>
        <v>3909456</v>
      </c>
      <c r="J311" s="3">
        <f ca="1"/>
        <v>8852.1621500000001</v>
      </c>
      <c r="K311" s="3">
        <f ca="1"/>
        <v>851823567.09393466</v>
      </c>
    </row>
    <row r="312" spans="1:11" x14ac:dyDescent="0.3">
      <c r="A312" s="10">
        <f ca="1"/>
        <v>45700.229166666664</v>
      </c>
      <c r="B312" s="12">
        <f ca="1"/>
        <v>95778.21</v>
      </c>
      <c r="C312" s="12">
        <f ca="1"/>
        <v>98119.99</v>
      </c>
      <c r="D312" s="12">
        <f ca="1"/>
        <v>94088.23</v>
      </c>
      <c r="E312" s="12">
        <f ca="1"/>
        <v>97869.99</v>
      </c>
      <c r="F312" s="3">
        <f ca="1"/>
        <v>29151.166249999998</v>
      </c>
      <c r="G312" s="10">
        <f ca="1"/>
        <v>45701.229166655095</v>
      </c>
      <c r="H312" s="3">
        <f ca="1"/>
        <v>2800142168.3943653</v>
      </c>
      <c r="I312" s="3">
        <f ca="1"/>
        <v>4992737</v>
      </c>
      <c r="J312" s="3">
        <f ca="1"/>
        <v>13820.705529999999</v>
      </c>
      <c r="K312" s="3">
        <f ca="1"/>
        <v>1328044257.0401335</v>
      </c>
    </row>
    <row r="313" spans="1:11" x14ac:dyDescent="0.3">
      <c r="A313" s="10">
        <f ca="1"/>
        <v>45699.229166666664</v>
      </c>
      <c r="B313" s="12">
        <f ca="1"/>
        <v>97430.82</v>
      </c>
      <c r="C313" s="12">
        <f ca="1"/>
        <v>98478.42</v>
      </c>
      <c r="D313" s="12">
        <f ca="1"/>
        <v>94876.88</v>
      </c>
      <c r="E313" s="12">
        <f ca="1"/>
        <v>95778.2</v>
      </c>
      <c r="F313" s="3">
        <f ca="1"/>
        <v>18647.763790000001</v>
      </c>
      <c r="G313" s="10">
        <f ca="1"/>
        <v>45700.229166655095</v>
      </c>
      <c r="H313" s="3">
        <f ca="1"/>
        <v>1806534846.3863194</v>
      </c>
      <c r="I313" s="3">
        <f ca="1"/>
        <v>3716586</v>
      </c>
      <c r="J313" s="3">
        <f ca="1"/>
        <v>8594.5006599999997</v>
      </c>
      <c r="K313" s="3">
        <f ca="1"/>
        <v>832320054.87637162</v>
      </c>
    </row>
    <row r="314" spans="1:11" x14ac:dyDescent="0.3">
      <c r="A314" s="10">
        <f ca="1"/>
        <v>45698.229166666664</v>
      </c>
      <c r="B314" s="12">
        <f ca="1"/>
        <v>96462.75</v>
      </c>
      <c r="C314" s="12">
        <f ca="1"/>
        <v>98345</v>
      </c>
      <c r="D314" s="12">
        <f ca="1"/>
        <v>95256</v>
      </c>
      <c r="E314" s="12">
        <f ca="1"/>
        <v>97430.82</v>
      </c>
      <c r="F314" s="3">
        <f ca="1"/>
        <v>20572.875370000002</v>
      </c>
      <c r="G314" s="10">
        <f ca="1"/>
        <v>45699.229166655095</v>
      </c>
      <c r="H314" s="3">
        <f ca="1"/>
        <v>1999112052.6687863</v>
      </c>
      <c r="I314" s="3">
        <f ca="1"/>
        <v>3475919</v>
      </c>
      <c r="J314" s="3">
        <f ca="1"/>
        <v>9607.6232899999995</v>
      </c>
      <c r="K314" s="3">
        <f ca="1"/>
        <v>933665618.50501907</v>
      </c>
    </row>
    <row r="315" spans="1:11" x14ac:dyDescent="0.3">
      <c r="A315" s="10">
        <f ca="1"/>
        <v>45697.229166666664</v>
      </c>
      <c r="B315" s="12">
        <f ca="1"/>
        <v>96444.75</v>
      </c>
      <c r="C315" s="12">
        <f ca="1"/>
        <v>97323.09</v>
      </c>
      <c r="D315" s="12">
        <f ca="1"/>
        <v>94713</v>
      </c>
      <c r="E315" s="12">
        <f ca="1"/>
        <v>96462.75</v>
      </c>
      <c r="F315" s="3">
        <f ca="1"/>
        <v>14120.91613</v>
      </c>
      <c r="G315" s="10">
        <f ca="1"/>
        <v>45698.229166655095</v>
      </c>
      <c r="H315" s="3">
        <f ca="1"/>
        <v>1359495152.3107975</v>
      </c>
      <c r="I315" s="3">
        <f ca="1"/>
        <v>2293192</v>
      </c>
      <c r="J315" s="3">
        <f ca="1"/>
        <v>6663.7287500000002</v>
      </c>
      <c r="K315" s="3">
        <f ca="1"/>
        <v>641795598.17527616</v>
      </c>
    </row>
    <row r="316" spans="1:11" x14ac:dyDescent="0.3">
      <c r="A316" s="10">
        <f ca="1"/>
        <v>45696.229166666664</v>
      </c>
      <c r="B316" s="12">
        <f ca="1"/>
        <v>96506.8</v>
      </c>
      <c r="C316" s="12">
        <f ca="1"/>
        <v>96880</v>
      </c>
      <c r="D316" s="12">
        <f ca="1"/>
        <v>95688</v>
      </c>
      <c r="E316" s="12">
        <f ca="1"/>
        <v>96444.74</v>
      </c>
      <c r="F316" s="3">
        <f ca="1"/>
        <v>10147.24294</v>
      </c>
      <c r="G316" s="10">
        <f ca="1"/>
        <v>45697.229166655095</v>
      </c>
      <c r="H316" s="3">
        <f ca="1"/>
        <v>977040267.51586306</v>
      </c>
      <c r="I316" s="3">
        <f ca="1"/>
        <v>1757892</v>
      </c>
      <c r="J316" s="3">
        <f ca="1"/>
        <v>4450.52682</v>
      </c>
      <c r="K316" s="3">
        <f ca="1"/>
        <v>428452764.90474111</v>
      </c>
    </row>
    <row r="317" spans="1:11" x14ac:dyDescent="0.3">
      <c r="A317" s="10">
        <f ca="1"/>
        <v>45695.229166666664</v>
      </c>
      <c r="B317" s="12">
        <f ca="1"/>
        <v>96554.35</v>
      </c>
      <c r="C317" s="12">
        <f ca="1"/>
        <v>100137.99</v>
      </c>
      <c r="D317" s="12">
        <f ca="1"/>
        <v>95620.34</v>
      </c>
      <c r="E317" s="12">
        <f ca="1"/>
        <v>96506.8</v>
      </c>
      <c r="F317" s="3">
        <f ca="1"/>
        <v>31794.220649999999</v>
      </c>
      <c r="G317" s="10">
        <f ca="1"/>
        <v>45696.229166655095</v>
      </c>
      <c r="H317" s="3">
        <f ca="1"/>
        <v>3107592434.6738343</v>
      </c>
      <c r="I317" s="3">
        <f ca="1"/>
        <v>5012456</v>
      </c>
      <c r="J317" s="3">
        <f ca="1"/>
        <v>15249.3537</v>
      </c>
      <c r="K317" s="3">
        <f ca="1"/>
        <v>1491114588.5598519</v>
      </c>
    </row>
    <row r="318" spans="1:11" x14ac:dyDescent="0.3">
      <c r="A318" s="10">
        <f ca="1"/>
        <v>45694.229166666664</v>
      </c>
      <c r="B318" s="12">
        <f ca="1"/>
        <v>96612.44</v>
      </c>
      <c r="C318" s="12">
        <f ca="1"/>
        <v>99120</v>
      </c>
      <c r="D318" s="12">
        <f ca="1"/>
        <v>95676.64</v>
      </c>
      <c r="E318" s="12">
        <f ca="1"/>
        <v>96554.35</v>
      </c>
      <c r="F318" s="3">
        <f ca="1"/>
        <v>23515.20405</v>
      </c>
      <c r="G318" s="10">
        <f ca="1"/>
        <v>45695.229166655095</v>
      </c>
      <c r="H318" s="3">
        <f ca="1"/>
        <v>2289071921.2175603</v>
      </c>
      <c r="I318" s="3">
        <f ca="1"/>
        <v>4242807</v>
      </c>
      <c r="J318" s="3">
        <f ca="1"/>
        <v>11261.530489999999</v>
      </c>
      <c r="K318" s="3">
        <f ca="1"/>
        <v>1096611639.376009</v>
      </c>
    </row>
    <row r="319" spans="1:11" x14ac:dyDescent="0.3">
      <c r="A319" s="10">
        <f ca="1"/>
        <v>45693.229166666664</v>
      </c>
      <c r="B319" s="12">
        <f ca="1"/>
        <v>97763.14</v>
      </c>
      <c r="C319" s="12">
        <f ca="1"/>
        <v>99149</v>
      </c>
      <c r="D319" s="12">
        <f ca="1"/>
        <v>96155</v>
      </c>
      <c r="E319" s="12">
        <f ca="1"/>
        <v>96612.43</v>
      </c>
      <c r="F319" s="3">
        <f ca="1"/>
        <v>26233.30444</v>
      </c>
      <c r="G319" s="10">
        <f ca="1"/>
        <v>45694.229166655095</v>
      </c>
      <c r="H319" s="3">
        <f ca="1"/>
        <v>2562342153.8296852</v>
      </c>
      <c r="I319" s="3">
        <f ca="1"/>
        <v>4471763</v>
      </c>
      <c r="J319" s="3">
        <f ca="1"/>
        <v>11032.551740000001</v>
      </c>
      <c r="K319" s="3">
        <f ca="1"/>
        <v>1078316288.1425588</v>
      </c>
    </row>
    <row r="320" spans="1:11" x14ac:dyDescent="0.3">
      <c r="A320" s="10">
        <f ca="1"/>
        <v>45692.229166666664</v>
      </c>
      <c r="B320" s="12">
        <f ca="1"/>
        <v>101328.51</v>
      </c>
      <c r="C320" s="12">
        <f ca="1"/>
        <v>101732.31</v>
      </c>
      <c r="D320" s="12">
        <f ca="1"/>
        <v>96150</v>
      </c>
      <c r="E320" s="12">
        <f ca="1"/>
        <v>97763.13</v>
      </c>
      <c r="F320" s="3">
        <f ca="1"/>
        <v>40267.986969999998</v>
      </c>
      <c r="G320" s="10">
        <f ca="1"/>
        <v>45693.229166655095</v>
      </c>
      <c r="H320" s="3">
        <f ca="1"/>
        <v>3989698644.2649307</v>
      </c>
      <c r="I320" s="3">
        <f ca="1"/>
        <v>6618911</v>
      </c>
      <c r="J320" s="3">
        <f ca="1"/>
        <v>19091.581539999999</v>
      </c>
      <c r="K320" s="3">
        <f ca="1"/>
        <v>1891457194.359833</v>
      </c>
    </row>
    <row r="321" spans="1:11" x14ac:dyDescent="0.3">
      <c r="A321" s="10">
        <f ca="1"/>
        <v>45691.229166666664</v>
      </c>
      <c r="B321" s="12">
        <f ca="1"/>
        <v>97700.59</v>
      </c>
      <c r="C321" s="12">
        <f ca="1"/>
        <v>102500.01</v>
      </c>
      <c r="D321" s="12">
        <f ca="1"/>
        <v>91231</v>
      </c>
      <c r="E321" s="12">
        <f ca="1"/>
        <v>101328.52</v>
      </c>
      <c r="F321" s="3">
        <f ca="1"/>
        <v>75164.738500000007</v>
      </c>
      <c r="G321" s="10">
        <f ca="1"/>
        <v>45692.229166655095</v>
      </c>
      <c r="H321" s="3">
        <f ca="1"/>
        <v>7228589180.7116213</v>
      </c>
      <c r="I321" s="3">
        <f ca="1"/>
        <v>10625262</v>
      </c>
      <c r="J321" s="3">
        <f ca="1"/>
        <v>36736.569459999999</v>
      </c>
      <c r="K321" s="3">
        <f ca="1"/>
        <v>3537845694.481266</v>
      </c>
    </row>
    <row r="322" spans="1:11" x14ac:dyDescent="0.3">
      <c r="A322" s="10">
        <f ca="1"/>
        <v>45690.229166666664</v>
      </c>
      <c r="B322" s="12">
        <f ca="1"/>
        <v>100635.66</v>
      </c>
      <c r="C322" s="12">
        <f ca="1"/>
        <v>101456.6</v>
      </c>
      <c r="D322" s="12">
        <f ca="1"/>
        <v>96150</v>
      </c>
      <c r="E322" s="12">
        <f ca="1"/>
        <v>97700.59</v>
      </c>
      <c r="F322" s="3">
        <f ca="1"/>
        <v>34619.499389999997</v>
      </c>
      <c r="G322" s="10">
        <f ca="1"/>
        <v>45691.229166655095</v>
      </c>
      <c r="H322" s="3">
        <f ca="1"/>
        <v>3412084312.5836277</v>
      </c>
      <c r="I322" s="3">
        <f ca="1"/>
        <v>7202339</v>
      </c>
      <c r="J322" s="3">
        <f ca="1"/>
        <v>15587.16669</v>
      </c>
      <c r="K322" s="3">
        <f ca="1"/>
        <v>1536076091.3030133</v>
      </c>
    </row>
    <row r="323" spans="1:11" x14ac:dyDescent="0.3">
      <c r="A323" s="10">
        <f ca="1"/>
        <v>45689.229166666664</v>
      </c>
      <c r="B323" s="12">
        <f ca="1"/>
        <v>102429.56</v>
      </c>
      <c r="C323" s="12">
        <f ca="1"/>
        <v>102783.71</v>
      </c>
      <c r="D323" s="12">
        <f ca="1"/>
        <v>100279.51</v>
      </c>
      <c r="E323" s="12">
        <f ca="1"/>
        <v>100635.65</v>
      </c>
      <c r="F323" s="3">
        <f ca="1"/>
        <v>12290.957469999999</v>
      </c>
      <c r="G323" s="10">
        <f ca="1"/>
        <v>45690.229166655095</v>
      </c>
      <c r="H323" s="3">
        <f ca="1"/>
        <v>1250354228.2372296</v>
      </c>
      <c r="I323" s="3">
        <f ca="1"/>
        <v>2588786</v>
      </c>
      <c r="J323" s="3">
        <f ca="1"/>
        <v>5625.8933100000004</v>
      </c>
      <c r="K323" s="3">
        <f ca="1"/>
        <v>572540016.14901114</v>
      </c>
    </row>
    <row r="324" spans="1:11" x14ac:dyDescent="0.3">
      <c r="A324" s="10">
        <f ca="1"/>
        <v>45688.229166666664</v>
      </c>
      <c r="B324" s="12">
        <f ca="1"/>
        <v>104722.94</v>
      </c>
      <c r="C324" s="12">
        <f ca="1"/>
        <v>106012</v>
      </c>
      <c r="D324" s="12">
        <f ca="1"/>
        <v>101560</v>
      </c>
      <c r="E324" s="12">
        <f ca="1"/>
        <v>102429.56</v>
      </c>
      <c r="F324" s="3">
        <f ca="1"/>
        <v>21983.181929999999</v>
      </c>
      <c r="G324" s="10">
        <f ca="1"/>
        <v>45689.229166655095</v>
      </c>
      <c r="H324" s="3">
        <f ca="1"/>
        <v>2282174002.1952176</v>
      </c>
      <c r="I324" s="3">
        <f ca="1"/>
        <v>4331904</v>
      </c>
      <c r="J324" s="3">
        <f ca="1"/>
        <v>10697.39968</v>
      </c>
      <c r="K324" s="3">
        <f ca="1"/>
        <v>1111485874.1292844</v>
      </c>
    </row>
    <row r="325" spans="1:11" x14ac:dyDescent="0.3">
      <c r="A325" s="10">
        <f ca="1"/>
        <v>45687.229166666664</v>
      </c>
      <c r="B325" s="12">
        <f ca="1"/>
        <v>103733.25</v>
      </c>
      <c r="C325" s="12">
        <f ca="1"/>
        <v>106457.44</v>
      </c>
      <c r="D325" s="12">
        <f ca="1"/>
        <v>103278.54</v>
      </c>
      <c r="E325" s="12">
        <f ca="1"/>
        <v>104722.94</v>
      </c>
      <c r="F325" s="3">
        <f ca="1"/>
        <v>19374.074720000001</v>
      </c>
      <c r="G325" s="10">
        <f ca="1"/>
        <v>45688.229166655095</v>
      </c>
      <c r="H325" s="3">
        <f ca="1"/>
        <v>2038112603.5126412</v>
      </c>
      <c r="I325" s="3">
        <f ca="1"/>
        <v>3990075</v>
      </c>
      <c r="J325" s="3">
        <f ca="1"/>
        <v>10140.92834</v>
      </c>
      <c r="K325" s="3">
        <f ca="1"/>
        <v>1066933244.9920207</v>
      </c>
    </row>
    <row r="326" spans="1:11" x14ac:dyDescent="0.3">
      <c r="A326" s="10">
        <f ca="1"/>
        <v>45686.229166666664</v>
      </c>
      <c r="B326" s="12">
        <f ca="1"/>
        <v>101335.52</v>
      </c>
      <c r="C326" s="12">
        <f ca="1"/>
        <v>104782.68</v>
      </c>
      <c r="D326" s="12">
        <f ca="1"/>
        <v>101328.01</v>
      </c>
      <c r="E326" s="12">
        <f ca="1"/>
        <v>103733.24</v>
      </c>
      <c r="F326" s="3">
        <f ca="1"/>
        <v>23155.35802</v>
      </c>
      <c r="G326" s="10">
        <f ca="1"/>
        <v>45687.229166655095</v>
      </c>
      <c r="H326" s="3">
        <f ca="1"/>
        <v>2380383694.7721362</v>
      </c>
      <c r="I326" s="3">
        <f ca="1"/>
        <v>5189699</v>
      </c>
      <c r="J326" s="3">
        <f ca="1"/>
        <v>11675.17182</v>
      </c>
      <c r="K326" s="3">
        <f ca="1"/>
        <v>1200636637.8143668</v>
      </c>
    </row>
    <row r="327" spans="1:11" x14ac:dyDescent="0.3">
      <c r="A327" s="10">
        <f ca="1"/>
        <v>45685.229166666664</v>
      </c>
      <c r="B327" s="12">
        <f ca="1"/>
        <v>102082.83</v>
      </c>
      <c r="C327" s="12">
        <f ca="1"/>
        <v>103800</v>
      </c>
      <c r="D327" s="12">
        <f ca="1"/>
        <v>100272.68</v>
      </c>
      <c r="E327" s="12">
        <f ca="1"/>
        <v>101335.52</v>
      </c>
      <c r="F327" s="3">
        <f ca="1"/>
        <v>22022.057649999999</v>
      </c>
      <c r="G327" s="10">
        <f ca="1"/>
        <v>45686.229166655095</v>
      </c>
      <c r="H327" s="3">
        <f ca="1"/>
        <v>2253977324.0362091</v>
      </c>
      <c r="I327" s="3">
        <f ca="1"/>
        <v>5428644</v>
      </c>
      <c r="J327" s="3">
        <f ca="1"/>
        <v>10756.64741</v>
      </c>
      <c r="K327" s="3">
        <f ca="1"/>
        <v>1101357650.2919877</v>
      </c>
    </row>
    <row r="328" spans="1:11" x14ac:dyDescent="0.3">
      <c r="A328" s="10">
        <f ca="1"/>
        <v>45684.229166666664</v>
      </c>
      <c r="B328" s="12">
        <f ca="1"/>
        <v>102620.01</v>
      </c>
      <c r="C328" s="12">
        <f ca="1"/>
        <v>103260</v>
      </c>
      <c r="D328" s="12">
        <f ca="1"/>
        <v>97777.77</v>
      </c>
      <c r="E328" s="12">
        <f ca="1"/>
        <v>102082.83</v>
      </c>
      <c r="F328" s="3">
        <f ca="1"/>
        <v>50758.134100000003</v>
      </c>
      <c r="G328" s="10">
        <f ca="1"/>
        <v>45685.229166655095</v>
      </c>
      <c r="H328" s="3">
        <f ca="1"/>
        <v>5092886322.8292437</v>
      </c>
      <c r="I328" s="3">
        <f ca="1"/>
        <v>9368910</v>
      </c>
      <c r="J328" s="3">
        <f ca="1"/>
        <v>23529.224330000001</v>
      </c>
      <c r="K328" s="3">
        <f ca="1"/>
        <v>2361569760.8418937</v>
      </c>
    </row>
    <row r="329" spans="1:11" x14ac:dyDescent="0.3">
      <c r="A329" s="10">
        <f ca="1"/>
        <v>45683.229166666664</v>
      </c>
      <c r="B329" s="12">
        <f ca="1"/>
        <v>104746.86</v>
      </c>
      <c r="C329" s="12">
        <f ca="1"/>
        <v>105500</v>
      </c>
      <c r="D329" s="12">
        <f ca="1"/>
        <v>102520.44</v>
      </c>
      <c r="E329" s="12">
        <f ca="1"/>
        <v>102620</v>
      </c>
      <c r="F329" s="3">
        <f ca="1"/>
        <v>9812.5123800000001</v>
      </c>
      <c r="G329" s="10">
        <f ca="1"/>
        <v>45684.229166655095</v>
      </c>
      <c r="H329" s="3">
        <f ca="1"/>
        <v>1024352365.4715523</v>
      </c>
      <c r="I329" s="3">
        <f ca="1"/>
        <v>1813011</v>
      </c>
      <c r="J329" s="3">
        <f ca="1"/>
        <v>4642.1724700000004</v>
      </c>
      <c r="K329" s="3">
        <f ca="1"/>
        <v>484871090.33614969</v>
      </c>
    </row>
    <row r="330" spans="1:11" x14ac:dyDescent="0.3">
      <c r="A330" s="10">
        <f ca="1"/>
        <v>45682.229166666664</v>
      </c>
      <c r="B330" s="12">
        <f ca="1"/>
        <v>104870.51</v>
      </c>
      <c r="C330" s="12">
        <f ca="1"/>
        <v>105286.52</v>
      </c>
      <c r="D330" s="12">
        <f ca="1"/>
        <v>104106.09</v>
      </c>
      <c r="E330" s="12">
        <f ca="1"/>
        <v>104746.85</v>
      </c>
      <c r="F330" s="3">
        <f ca="1"/>
        <v>9068.3237700000009</v>
      </c>
      <c r="G330" s="10">
        <f ca="1"/>
        <v>45683.229166655095</v>
      </c>
      <c r="H330" s="3">
        <f ca="1"/>
        <v>949511531.35780168</v>
      </c>
      <c r="I330" s="3">
        <f ca="1"/>
        <v>1770765</v>
      </c>
      <c r="J330" s="3">
        <f ca="1"/>
        <v>4462.6043799999998</v>
      </c>
      <c r="K330" s="3">
        <f ca="1"/>
        <v>467284996.37609661</v>
      </c>
    </row>
    <row r="331" spans="1:11" x14ac:dyDescent="0.3">
      <c r="A331" s="10">
        <f ca="1"/>
        <v>45681.229166666664</v>
      </c>
      <c r="B331" s="12">
        <f ca="1"/>
        <v>103910.35</v>
      </c>
      <c r="C331" s="12">
        <f ca="1"/>
        <v>107120</v>
      </c>
      <c r="D331" s="12">
        <f ca="1"/>
        <v>102750</v>
      </c>
      <c r="E331" s="12">
        <f ca="1"/>
        <v>104870.5</v>
      </c>
      <c r="F331" s="3">
        <f ca="1"/>
        <v>23609.240170000001</v>
      </c>
      <c r="G331" s="10">
        <f ca="1"/>
        <v>45682.229166655095</v>
      </c>
      <c r="H331" s="3">
        <f ca="1"/>
        <v>2483818574.3737478</v>
      </c>
      <c r="I331" s="3">
        <f ca="1"/>
        <v>4798886</v>
      </c>
      <c r="J331" s="3">
        <f ca="1"/>
        <v>11893.460499999999</v>
      </c>
      <c r="K331" s="3">
        <f ca="1"/>
        <v>1251601023.3484685</v>
      </c>
    </row>
    <row r="332" spans="1:11" x14ac:dyDescent="0.3">
      <c r="A332" s="10">
        <f ca="1"/>
        <v>45680.229166666664</v>
      </c>
      <c r="B332" s="12">
        <f ca="1"/>
        <v>103706.66</v>
      </c>
      <c r="C332" s="12">
        <f ca="1"/>
        <v>106850</v>
      </c>
      <c r="D332" s="12">
        <f ca="1"/>
        <v>101262.28</v>
      </c>
      <c r="E332" s="12">
        <f ca="1"/>
        <v>103910.34</v>
      </c>
      <c r="F332" s="3">
        <f ca="1"/>
        <v>53953.120309999998</v>
      </c>
      <c r="G332" s="10">
        <f ca="1"/>
        <v>45681.229166655095</v>
      </c>
      <c r="H332" s="3">
        <f ca="1"/>
        <v>5610760848.1316385</v>
      </c>
      <c r="I332" s="3">
        <f ca="1"/>
        <v>6961383</v>
      </c>
      <c r="J332" s="3">
        <f ca="1"/>
        <v>27045.926459999999</v>
      </c>
      <c r="K332" s="3">
        <f ca="1"/>
        <v>2813824950.5718837</v>
      </c>
    </row>
    <row r="333" spans="1:11" x14ac:dyDescent="0.3">
      <c r="A333" s="10">
        <f ca="1"/>
        <v>45679.229166666664</v>
      </c>
      <c r="B333" s="12">
        <f ca="1"/>
        <v>106143.82</v>
      </c>
      <c r="C333" s="12">
        <f ca="1"/>
        <v>106394.46</v>
      </c>
      <c r="D333" s="12">
        <f ca="1"/>
        <v>103339.12</v>
      </c>
      <c r="E333" s="12">
        <f ca="1"/>
        <v>103706.66</v>
      </c>
      <c r="F333" s="3">
        <f ca="1"/>
        <v>22248.69254</v>
      </c>
      <c r="G333" s="10">
        <f ca="1"/>
        <v>45680.229166655095</v>
      </c>
      <c r="H333" s="3">
        <f ca="1"/>
        <v>2331144640.6585789</v>
      </c>
      <c r="I333" s="3">
        <f ca="1"/>
        <v>4364035</v>
      </c>
      <c r="J333" s="3">
        <f ca="1"/>
        <v>10501.593059999999</v>
      </c>
      <c r="K333" s="3">
        <f ca="1"/>
        <v>1100173331.9876585</v>
      </c>
    </row>
    <row r="334" spans="1:11" x14ac:dyDescent="0.3">
      <c r="A334" s="10">
        <f ca="1"/>
        <v>45678.229166666664</v>
      </c>
      <c r="B334" s="12">
        <f ca="1"/>
        <v>102260</v>
      </c>
      <c r="C334" s="12">
        <f ca="1"/>
        <v>107240.81</v>
      </c>
      <c r="D334" s="12">
        <f ca="1"/>
        <v>100119.03999999999</v>
      </c>
      <c r="E334" s="12">
        <f ca="1"/>
        <v>106143.82</v>
      </c>
      <c r="F334" s="3">
        <f ca="1"/>
        <v>45941.020020000004</v>
      </c>
      <c r="G334" s="10">
        <f ca="1"/>
        <v>45679.229166655095</v>
      </c>
      <c r="H334" s="3">
        <f ca="1"/>
        <v>4768512258.1565018</v>
      </c>
      <c r="I334" s="3">
        <f ca="1"/>
        <v>6842980</v>
      </c>
      <c r="J334" s="3">
        <f ca="1"/>
        <v>23227.027409999999</v>
      </c>
      <c r="K334" s="3">
        <f ca="1"/>
        <v>2411854258.5127187</v>
      </c>
    </row>
    <row r="335" spans="1:11" x14ac:dyDescent="0.3">
      <c r="A335" s="10">
        <f ca="1"/>
        <v>45677.229166666664</v>
      </c>
      <c r="B335" s="12">
        <f ca="1"/>
        <v>101331.57</v>
      </c>
      <c r="C335" s="12">
        <f ca="1"/>
        <v>109588</v>
      </c>
      <c r="D335" s="12">
        <f ca="1"/>
        <v>99550</v>
      </c>
      <c r="E335" s="12">
        <f ca="1"/>
        <v>102260.01</v>
      </c>
      <c r="F335" s="3">
        <f ca="1"/>
        <v>89529.231732</v>
      </c>
      <c r="G335" s="10">
        <f ca="1"/>
        <v>45678.229166655095</v>
      </c>
      <c r="H335" s="3">
        <f ca="1"/>
        <v>9398787064.320715</v>
      </c>
      <c r="I335" s="3">
        <f ca="1"/>
        <v>11597937</v>
      </c>
      <c r="J335" s="3">
        <f ca="1"/>
        <v>44770.529492000001</v>
      </c>
      <c r="K335" s="3">
        <f ca="1"/>
        <v>4704453254.5153828</v>
      </c>
    </row>
    <row r="336" spans="1:11" x14ac:dyDescent="0.3">
      <c r="A336" s="10">
        <f ca="1"/>
        <v>45676.229166666664</v>
      </c>
      <c r="B336" s="12">
        <f ca="1"/>
        <v>104556.23</v>
      </c>
      <c r="C336" s="12">
        <f ca="1"/>
        <v>106422.43</v>
      </c>
      <c r="D336" s="12">
        <f ca="1"/>
        <v>99651.6</v>
      </c>
      <c r="E336" s="12">
        <f ca="1"/>
        <v>101331.57</v>
      </c>
      <c r="F336" s="3">
        <f ca="1"/>
        <v>43397.282980000004</v>
      </c>
      <c r="G336" s="10">
        <f ca="1"/>
        <v>45677.229166655095</v>
      </c>
      <c r="H336" s="3">
        <f ca="1"/>
        <v>4513423971.4102526</v>
      </c>
      <c r="I336" s="3">
        <f ca="1"/>
        <v>5271920</v>
      </c>
      <c r="J336" s="3">
        <f ca="1"/>
        <v>21079.51082</v>
      </c>
      <c r="K336" s="3">
        <f ca="1"/>
        <v>2193270771.0019445</v>
      </c>
    </row>
    <row r="337" spans="1:11" x14ac:dyDescent="0.3">
      <c r="A337" s="10">
        <f ca="1"/>
        <v>45675.229166666664</v>
      </c>
      <c r="B337" s="12">
        <f ca="1"/>
        <v>104077.47</v>
      </c>
      <c r="C337" s="12">
        <f ca="1"/>
        <v>104988.88</v>
      </c>
      <c r="D337" s="12">
        <f ca="1"/>
        <v>102277.55</v>
      </c>
      <c r="E337" s="12">
        <f ca="1"/>
        <v>104556.23</v>
      </c>
      <c r="F337" s="3">
        <f ca="1"/>
        <v>24307.829979999999</v>
      </c>
      <c r="G337" s="10">
        <f ca="1"/>
        <v>45676.229166655095</v>
      </c>
      <c r="H337" s="3">
        <f ca="1"/>
        <v>2521522119.3795252</v>
      </c>
      <c r="I337" s="3">
        <f ca="1"/>
        <v>3403162</v>
      </c>
      <c r="J337" s="3">
        <f ca="1"/>
        <v>11607.51274</v>
      </c>
      <c r="K337" s="3">
        <f ca="1"/>
        <v>1204170928.3748119</v>
      </c>
    </row>
    <row r="338" spans="1:11" x14ac:dyDescent="0.3">
      <c r="A338" s="10">
        <f ca="1"/>
        <v>45674.229166666664</v>
      </c>
      <c r="B338" s="12">
        <f ca="1"/>
        <v>99987.3</v>
      </c>
      <c r="C338" s="12">
        <f ca="1"/>
        <v>105865.22</v>
      </c>
      <c r="D338" s="12">
        <f ca="1"/>
        <v>99950.77</v>
      </c>
      <c r="E338" s="12">
        <f ca="1"/>
        <v>104077.48</v>
      </c>
      <c r="F338" s="3">
        <f ca="1"/>
        <v>39171.852919999998</v>
      </c>
      <c r="G338" s="10">
        <f ca="1"/>
        <v>45675.229166655095</v>
      </c>
      <c r="H338" s="3">
        <f ca="1"/>
        <v>4040993985.4750466</v>
      </c>
      <c r="I338" s="3">
        <f ca="1"/>
        <v>3886907</v>
      </c>
      <c r="J338" s="3">
        <f ca="1"/>
        <v>20673.213</v>
      </c>
      <c r="K338" s="3">
        <f ca="1"/>
        <v>2131223293.2048461</v>
      </c>
    </row>
    <row r="339" spans="1:11" x14ac:dyDescent="0.3">
      <c r="A339" s="10">
        <f ca="1"/>
        <v>45673.229166666664</v>
      </c>
      <c r="B339" s="12">
        <f ca="1"/>
        <v>100497.35</v>
      </c>
      <c r="C339" s="12">
        <f ca="1"/>
        <v>100866.66</v>
      </c>
      <c r="D339" s="12">
        <f ca="1"/>
        <v>97335.13</v>
      </c>
      <c r="E339" s="12">
        <f ca="1"/>
        <v>99987.3</v>
      </c>
      <c r="F339" s="3">
        <f ca="1"/>
        <v>27832.853169999998</v>
      </c>
      <c r="G339" s="10">
        <f ca="1"/>
        <v>45674.229166655095</v>
      </c>
      <c r="H339" s="3">
        <f ca="1"/>
        <v>2765162040.6397991</v>
      </c>
      <c r="I339" s="3">
        <f ca="1"/>
        <v>3762755</v>
      </c>
      <c r="J339" s="3">
        <f ca="1"/>
        <v>13513.53707</v>
      </c>
      <c r="K339" s="3">
        <f ca="1"/>
        <v>1342462621.6273284</v>
      </c>
    </row>
    <row r="340" spans="1:11" x14ac:dyDescent="0.3">
      <c r="A340" s="10">
        <f ca="1"/>
        <v>45672.229166666664</v>
      </c>
      <c r="B340" s="12">
        <f ca="1"/>
        <v>96560.85</v>
      </c>
      <c r="C340" s="12">
        <f ca="1"/>
        <v>100681.94</v>
      </c>
      <c r="D340" s="12">
        <f ca="1"/>
        <v>96500</v>
      </c>
      <c r="E340" s="12">
        <f ca="1"/>
        <v>100497.35</v>
      </c>
      <c r="F340" s="3">
        <f ca="1"/>
        <v>30509.99179</v>
      </c>
      <c r="G340" s="10">
        <f ca="1"/>
        <v>45673.229166655095</v>
      </c>
      <c r="H340" s="3">
        <f ca="1"/>
        <v>3006242382.8867946</v>
      </c>
      <c r="I340" s="3">
        <f ca="1"/>
        <v>3487945</v>
      </c>
      <c r="J340" s="3">
        <f ca="1"/>
        <v>15494.17873</v>
      </c>
      <c r="K340" s="3">
        <f ca="1"/>
        <v>1527728226.3083327</v>
      </c>
    </row>
    <row r="341" spans="1:11" x14ac:dyDescent="0.3">
      <c r="A341" s="10">
        <f ca="1"/>
        <v>45671.229166666664</v>
      </c>
      <c r="B341" s="12">
        <f ca="1"/>
        <v>94536.11</v>
      </c>
      <c r="C341" s="12">
        <f ca="1"/>
        <v>97371</v>
      </c>
      <c r="D341" s="12">
        <f ca="1"/>
        <v>94346.22</v>
      </c>
      <c r="E341" s="12">
        <f ca="1"/>
        <v>96560.86</v>
      </c>
      <c r="F341" s="3">
        <f ca="1"/>
        <v>27846.61753</v>
      </c>
      <c r="G341" s="10">
        <f ca="1"/>
        <v>45672.229166655095</v>
      </c>
      <c r="H341" s="3">
        <f ca="1"/>
        <v>2676048470.3569503</v>
      </c>
      <c r="I341" s="3">
        <f ca="1"/>
        <v>4532923</v>
      </c>
      <c r="J341" s="3">
        <f ca="1"/>
        <v>14248.69616</v>
      </c>
      <c r="K341" s="3">
        <f ca="1"/>
        <v>1369464111.693496</v>
      </c>
    </row>
    <row r="342" spans="1:11" x14ac:dyDescent="0.3">
      <c r="A342" s="10">
        <f ca="1"/>
        <v>45670.229166666664</v>
      </c>
      <c r="B342" s="12">
        <f ca="1"/>
        <v>94545.07</v>
      </c>
      <c r="C342" s="12">
        <f ca="1"/>
        <v>95940</v>
      </c>
      <c r="D342" s="12">
        <f ca="1"/>
        <v>89256.69</v>
      </c>
      <c r="E342" s="12">
        <f ca="1"/>
        <v>94536.1</v>
      </c>
      <c r="F342" s="3">
        <f ca="1"/>
        <v>42619.564230000004</v>
      </c>
      <c r="G342" s="10">
        <f ca="1"/>
        <v>45671.229166655095</v>
      </c>
      <c r="H342" s="3">
        <f ca="1"/>
        <v>3930666134.3474574</v>
      </c>
      <c r="I342" s="3">
        <f ca="1"/>
        <v>5740963</v>
      </c>
      <c r="J342" s="3">
        <f ca="1"/>
        <v>19473.880420000001</v>
      </c>
      <c r="K342" s="3">
        <f ca="1"/>
        <v>1797888178.8496079</v>
      </c>
    </row>
    <row r="343" spans="1:11" x14ac:dyDescent="0.3">
      <c r="A343" s="10">
        <f ca="1"/>
        <v>45669.229166666664</v>
      </c>
      <c r="B343" s="12">
        <f ca="1"/>
        <v>94599.99</v>
      </c>
      <c r="C343" s="12">
        <f ca="1"/>
        <v>95450.1</v>
      </c>
      <c r="D343" s="12">
        <f ca="1"/>
        <v>93711.19</v>
      </c>
      <c r="E343" s="12">
        <f ca="1"/>
        <v>94545.06</v>
      </c>
      <c r="F343" s="3">
        <f ca="1"/>
        <v>8606.8662199999999</v>
      </c>
      <c r="G343" s="10">
        <f ca="1"/>
        <v>45670.229166655095</v>
      </c>
      <c r="H343" s="3">
        <f ca="1"/>
        <v>813278829.65839493</v>
      </c>
      <c r="I343" s="3">
        <f ca="1"/>
        <v>1658863</v>
      </c>
      <c r="J343" s="3">
        <f ca="1"/>
        <v>4028.3303099999998</v>
      </c>
      <c r="K343" s="3">
        <f ca="1"/>
        <v>380691769.91844273</v>
      </c>
    </row>
    <row r="344" spans="1:11" x14ac:dyDescent="0.3">
      <c r="A344" s="10">
        <f ca="1"/>
        <v>45668.229166666664</v>
      </c>
      <c r="B344" s="12">
        <f ca="1"/>
        <v>94726.1</v>
      </c>
      <c r="C344" s="12">
        <f ca="1"/>
        <v>95050.94</v>
      </c>
      <c r="D344" s="12">
        <f ca="1"/>
        <v>93831.73</v>
      </c>
      <c r="E344" s="12">
        <f ca="1"/>
        <v>94599.99</v>
      </c>
      <c r="F344" s="3">
        <f ca="1"/>
        <v>7047.9043000000001</v>
      </c>
      <c r="G344" s="10">
        <f ca="1"/>
        <v>45669.229166655095</v>
      </c>
      <c r="H344" s="3">
        <f ca="1"/>
        <v>665685994.93300998</v>
      </c>
      <c r="I344" s="3">
        <f ca="1"/>
        <v>1496191</v>
      </c>
      <c r="J344" s="3">
        <f ca="1"/>
        <v>3412.37671</v>
      </c>
      <c r="K344" s="3">
        <f ca="1"/>
        <v>322346977.43545532</v>
      </c>
    </row>
    <row r="345" spans="1:11" x14ac:dyDescent="0.3">
      <c r="A345" s="10">
        <f ca="1"/>
        <v>45667.229166666664</v>
      </c>
      <c r="B345" s="12">
        <f ca="1"/>
        <v>92552.49</v>
      </c>
      <c r="C345" s="12">
        <f ca="1"/>
        <v>95836</v>
      </c>
      <c r="D345" s="12">
        <f ca="1"/>
        <v>92206.02</v>
      </c>
      <c r="E345" s="12">
        <f ca="1"/>
        <v>94726.11</v>
      </c>
      <c r="F345" s="3">
        <f ca="1"/>
        <v>31482.864239999999</v>
      </c>
      <c r="G345" s="10">
        <f ca="1"/>
        <v>45668.229166655095</v>
      </c>
      <c r="H345" s="3">
        <f ca="1"/>
        <v>2962085343.2837038</v>
      </c>
      <c r="I345" s="3">
        <f ca="1"/>
        <v>5531444</v>
      </c>
      <c r="J345" s="3">
        <f ca="1"/>
        <v>15617.43823</v>
      </c>
      <c r="K345" s="3">
        <f ca="1"/>
        <v>1469711545.6571271</v>
      </c>
    </row>
    <row r="346" spans="1:11" x14ac:dyDescent="0.3">
      <c r="A346" s="10">
        <f ca="1"/>
        <v>45666.229166666664</v>
      </c>
      <c r="B346" s="12">
        <f ca="1"/>
        <v>95060.61</v>
      </c>
      <c r="C346" s="12">
        <f ca="1"/>
        <v>95382.32</v>
      </c>
      <c r="D346" s="12">
        <f ca="1"/>
        <v>91203.67</v>
      </c>
      <c r="E346" s="12">
        <f ca="1"/>
        <v>92552.49</v>
      </c>
      <c r="F346" s="3">
        <f ca="1"/>
        <v>34544.83685</v>
      </c>
      <c r="G346" s="10">
        <f ca="1"/>
        <v>45667.229166655095</v>
      </c>
      <c r="H346" s="3">
        <f ca="1"/>
        <v>3217669887.245398</v>
      </c>
      <c r="I346" s="3">
        <f ca="1"/>
        <v>6027161</v>
      </c>
      <c r="J346" s="3">
        <f ca="1"/>
        <v>15323.626630000001</v>
      </c>
      <c r="K346" s="3">
        <f ca="1"/>
        <v>1427812152.2727611</v>
      </c>
    </row>
    <row r="347" spans="1:11" x14ac:dyDescent="0.3">
      <c r="A347" s="10">
        <f ca="1"/>
        <v>45665.229166666664</v>
      </c>
      <c r="B347" s="12">
        <f ca="1"/>
        <v>96954.6</v>
      </c>
      <c r="C347" s="12">
        <f ca="1"/>
        <v>97268.65</v>
      </c>
      <c r="D347" s="12">
        <f ca="1"/>
        <v>92500.9</v>
      </c>
      <c r="E347" s="12">
        <f ca="1"/>
        <v>95060.61</v>
      </c>
      <c r="F347" s="3">
        <f ca="1"/>
        <v>33704.678939999998</v>
      </c>
      <c r="G347" s="10">
        <f ca="1"/>
        <v>45666.229166655095</v>
      </c>
      <c r="H347" s="3">
        <f ca="1"/>
        <v>3205849081.1129618</v>
      </c>
      <c r="I347" s="3">
        <f ca="1"/>
        <v>5171208</v>
      </c>
      <c r="J347" s="3">
        <f ca="1"/>
        <v>15803.850909999999</v>
      </c>
      <c r="K347" s="3">
        <f ca="1"/>
        <v>1503791328.6993084</v>
      </c>
    </row>
    <row r="348" spans="1:11" x14ac:dyDescent="0.3">
      <c r="A348" s="10">
        <f ca="1"/>
        <v>45664.229166666664</v>
      </c>
      <c r="B348" s="12">
        <f ca="1"/>
        <v>102235.6</v>
      </c>
      <c r="C348" s="12">
        <f ca="1"/>
        <v>102724.38</v>
      </c>
      <c r="D348" s="12">
        <f ca="1"/>
        <v>96181.81</v>
      </c>
      <c r="E348" s="12">
        <f ca="1"/>
        <v>96954.61</v>
      </c>
      <c r="F348" s="3">
        <f ca="1"/>
        <v>32059.875370000002</v>
      </c>
      <c r="G348" s="10">
        <f ca="1"/>
        <v>45665.229166655095</v>
      </c>
      <c r="H348" s="3">
        <f ca="1"/>
        <v>3170421659.717236</v>
      </c>
      <c r="I348" s="3">
        <f ca="1"/>
        <v>4480562</v>
      </c>
      <c r="J348" s="3">
        <f ca="1"/>
        <v>14815.114530000001</v>
      </c>
      <c r="K348" s="3">
        <f ca="1"/>
        <v>1464336049.7055345</v>
      </c>
    </row>
    <row r="349" spans="1:11" x14ac:dyDescent="0.3">
      <c r="A349" s="10">
        <f ca="1"/>
        <v>45663.229166666664</v>
      </c>
      <c r="B349" s="12">
        <f ca="1"/>
        <v>98363.61</v>
      </c>
      <c r="C349" s="12">
        <f ca="1"/>
        <v>102480</v>
      </c>
      <c r="D349" s="12">
        <f ca="1"/>
        <v>97920</v>
      </c>
      <c r="E349" s="12">
        <f ca="1"/>
        <v>102235.6</v>
      </c>
      <c r="F349" s="3">
        <f ca="1"/>
        <v>25263.43375</v>
      </c>
      <c r="G349" s="10">
        <f ca="1"/>
        <v>45664.229166655095</v>
      </c>
      <c r="H349" s="3">
        <f ca="1"/>
        <v>2540561688.7771435</v>
      </c>
      <c r="I349" s="3">
        <f ca="1"/>
        <v>3853702</v>
      </c>
      <c r="J349" s="3">
        <f ca="1"/>
        <v>12539.59534</v>
      </c>
      <c r="K349" s="3">
        <f ca="1"/>
        <v>1260943259.4662561</v>
      </c>
    </row>
    <row r="350" spans="1:11" x14ac:dyDescent="0.3">
      <c r="A350" s="10">
        <f ca="1"/>
        <v>45662.229166666664</v>
      </c>
      <c r="B350" s="12">
        <f ca="1"/>
        <v>98220.51</v>
      </c>
      <c r="C350" s="12">
        <f ca="1"/>
        <v>98836.85</v>
      </c>
      <c r="D350" s="12">
        <f ca="1"/>
        <v>97276.79</v>
      </c>
      <c r="E350" s="12">
        <f ca="1"/>
        <v>98363.61</v>
      </c>
      <c r="F350" s="3">
        <f ca="1"/>
        <v>8095.6372300000003</v>
      </c>
      <c r="G350" s="10">
        <f ca="1"/>
        <v>45663.229166655095</v>
      </c>
      <c r="H350" s="3">
        <f ca="1"/>
        <v>793931715.9546324</v>
      </c>
      <c r="I350" s="3">
        <f ca="1"/>
        <v>1685799</v>
      </c>
      <c r="J350" s="3">
        <f ca="1"/>
        <v>3877.90985</v>
      </c>
      <c r="K350" s="3">
        <f ca="1"/>
        <v>380355340.46860361</v>
      </c>
    </row>
    <row r="351" spans="1:11" x14ac:dyDescent="0.3">
      <c r="A351" s="10">
        <f ca="1"/>
        <v>45661.229166666664</v>
      </c>
      <c r="B351" s="12">
        <f ca="1"/>
        <v>98174.17</v>
      </c>
      <c r="C351" s="12">
        <f ca="1"/>
        <v>98778.43</v>
      </c>
      <c r="D351" s="12">
        <f ca="1"/>
        <v>97514.79</v>
      </c>
      <c r="E351" s="12">
        <f ca="1"/>
        <v>98220.5</v>
      </c>
      <c r="F351" s="3">
        <f ca="1"/>
        <v>8990.0565100000003</v>
      </c>
      <c r="G351" s="10">
        <f ca="1"/>
        <v>45662.229166655095</v>
      </c>
      <c r="H351" s="3">
        <f ca="1"/>
        <v>881223751.63536024</v>
      </c>
      <c r="I351" s="3">
        <f ca="1"/>
        <v>1559982</v>
      </c>
      <c r="J351" s="3">
        <f ca="1"/>
        <v>4350.8022099999998</v>
      </c>
      <c r="K351" s="3">
        <f ca="1"/>
        <v>426524714.1305539</v>
      </c>
    </row>
    <row r="352" spans="1:11" x14ac:dyDescent="0.3">
      <c r="A352" s="10">
        <f ca="1"/>
        <v>45660.229166666664</v>
      </c>
      <c r="B352" s="12">
        <f ca="1"/>
        <v>96984.79</v>
      </c>
      <c r="C352" s="12">
        <f ca="1"/>
        <v>98976.91</v>
      </c>
      <c r="D352" s="12">
        <f ca="1"/>
        <v>96100.01</v>
      </c>
      <c r="E352" s="12">
        <f ca="1"/>
        <v>98174.18</v>
      </c>
      <c r="F352" s="3">
        <f ca="1"/>
        <v>15253.82936</v>
      </c>
      <c r="G352" s="10">
        <f ca="1"/>
        <v>45661.229166655095</v>
      </c>
      <c r="H352" s="3">
        <f ca="1"/>
        <v>1486610768.5907917</v>
      </c>
      <c r="I352" s="3">
        <f ca="1"/>
        <v>2851164</v>
      </c>
      <c r="J352" s="3">
        <f ca="1"/>
        <v>7468.60797</v>
      </c>
      <c r="K352" s="3">
        <f ca="1"/>
        <v>727787246.89655876</v>
      </c>
    </row>
    <row r="353" spans="1:11" x14ac:dyDescent="0.3">
      <c r="A353" s="10">
        <f ca="1"/>
        <v>45659.229166666664</v>
      </c>
      <c r="B353" s="12">
        <f ca="1"/>
        <v>94591.78</v>
      </c>
      <c r="C353" s="12">
        <f ca="1"/>
        <v>97839.5</v>
      </c>
      <c r="D353" s="12">
        <f ca="1"/>
        <v>94392</v>
      </c>
      <c r="E353" s="12">
        <f ca="1"/>
        <v>96984.79</v>
      </c>
      <c r="F353" s="3">
        <f ca="1"/>
        <v>21970.48948</v>
      </c>
      <c r="G353" s="10">
        <f ca="1"/>
        <v>45660.229166655095</v>
      </c>
      <c r="H353" s="3">
        <f ca="1"/>
        <v>2118411852.6812794</v>
      </c>
      <c r="I353" s="3">
        <f ca="1"/>
        <v>3569079</v>
      </c>
      <c r="J353" s="3">
        <f ca="1"/>
        <v>10915.969859999999</v>
      </c>
      <c r="K353" s="3">
        <f ca="1"/>
        <v>1052226710.3336717</v>
      </c>
    </row>
    <row r="354" spans="1:11" x14ac:dyDescent="0.3">
      <c r="A354" s="10">
        <f ca="1"/>
        <v>45658.229166666664</v>
      </c>
      <c r="B354" s="12">
        <f ca="1"/>
        <v>93576</v>
      </c>
      <c r="C354" s="12">
        <f ca="1"/>
        <v>95151.15</v>
      </c>
      <c r="D354" s="12">
        <f ca="1"/>
        <v>92888</v>
      </c>
      <c r="E354" s="12">
        <f ca="1"/>
        <v>94591.79</v>
      </c>
      <c r="F354" s="3">
        <f ca="1"/>
        <v>10373.326129999999</v>
      </c>
      <c r="G354" s="10">
        <f ca="1"/>
        <v>45659.229166655095</v>
      </c>
      <c r="H354" s="3">
        <f ca="1"/>
        <v>975444194.13799834</v>
      </c>
      <c r="I354" s="3">
        <f ca="1"/>
        <v>1516556</v>
      </c>
      <c r="J354" s="3">
        <f ca="1"/>
        <v>5347.7364799999996</v>
      </c>
      <c r="K354" s="3">
        <f ca="1"/>
        <v>502914035.64059073</v>
      </c>
    </row>
    <row r="355" spans="1:11" x14ac:dyDescent="0.3">
      <c r="A355" s="10">
        <f ca="1"/>
        <v>45657.229166666664</v>
      </c>
      <c r="B355" s="12">
        <f ca="1"/>
        <v>92792.05</v>
      </c>
      <c r="C355" s="12">
        <f ca="1"/>
        <v>96250</v>
      </c>
      <c r="D355" s="12">
        <f ca="1"/>
        <v>92033.73</v>
      </c>
      <c r="E355" s="12">
        <f ca="1"/>
        <v>93576</v>
      </c>
      <c r="F355" s="3">
        <f ca="1"/>
        <v>19612.033889999999</v>
      </c>
      <c r="G355" s="10">
        <f ca="1"/>
        <v>45658.229166655095</v>
      </c>
      <c r="H355" s="3">
        <f ca="1"/>
        <v>1845718801.922704</v>
      </c>
      <c r="I355" s="3">
        <f ca="1"/>
        <v>3347847</v>
      </c>
      <c r="J355" s="3">
        <f ca="1"/>
        <v>9687.9677499999998</v>
      </c>
      <c r="K355" s="3">
        <f ca="1"/>
        <v>911716321.60540199</v>
      </c>
    </row>
    <row r="356" spans="1:11" x14ac:dyDescent="0.3">
      <c r="A356" s="10">
        <f ca="1"/>
        <v>45656.229166666664</v>
      </c>
      <c r="B356" s="12">
        <f ca="1"/>
        <v>93738.19</v>
      </c>
      <c r="C356" s="12">
        <f ca="1"/>
        <v>95024.5</v>
      </c>
      <c r="D356" s="12">
        <f ca="1"/>
        <v>91530.45</v>
      </c>
      <c r="E356" s="12">
        <f ca="1"/>
        <v>92792.05</v>
      </c>
      <c r="F356" s="3">
        <f ca="1"/>
        <v>27619.422500000001</v>
      </c>
      <c r="G356" s="10">
        <f ca="1"/>
        <v>45657.229166655095</v>
      </c>
      <c r="H356" s="3">
        <f ca="1"/>
        <v>2573126059.7694778</v>
      </c>
      <c r="I356" s="3">
        <f ca="1"/>
        <v>5560563</v>
      </c>
      <c r="J356" s="3">
        <f ca="1"/>
        <v>13092.196459999999</v>
      </c>
      <c r="K356" s="3">
        <f ca="1"/>
        <v>1220209278.2523272</v>
      </c>
    </row>
    <row r="357" spans="1:11" x14ac:dyDescent="0.3">
      <c r="A357" s="10">
        <f ca="1"/>
        <v>45655.229166666664</v>
      </c>
      <c r="B357" s="12">
        <f ca="1"/>
        <v>95300</v>
      </c>
      <c r="C357" s="12">
        <f ca="1"/>
        <v>95340</v>
      </c>
      <c r="D357" s="12">
        <f ca="1"/>
        <v>93009.52</v>
      </c>
      <c r="E357" s="12">
        <f ca="1"/>
        <v>93738.2</v>
      </c>
      <c r="F357" s="3">
        <f ca="1"/>
        <v>13576.00578</v>
      </c>
      <c r="G357" s="10">
        <f ca="1"/>
        <v>45656.229166655095</v>
      </c>
      <c r="H357" s="3">
        <f ca="1"/>
        <v>1278370863.9768472</v>
      </c>
      <c r="I357" s="3">
        <f ca="1"/>
        <v>2865838</v>
      </c>
      <c r="J357" s="3">
        <f ca="1"/>
        <v>5651.3858899999996</v>
      </c>
      <c r="K357" s="3">
        <f ca="1"/>
        <v>532195414.1027413</v>
      </c>
    </row>
    <row r="358" spans="1:11" x14ac:dyDescent="0.3">
      <c r="A358" s="10">
        <f ca="1"/>
        <v>45654.229166666664</v>
      </c>
      <c r="B358" s="12">
        <f ca="1"/>
        <v>94299.03</v>
      </c>
      <c r="C358" s="12">
        <f ca="1"/>
        <v>95733.99</v>
      </c>
      <c r="D358" s="12">
        <f ca="1"/>
        <v>94135.66</v>
      </c>
      <c r="E358" s="12">
        <f ca="1"/>
        <v>95300</v>
      </c>
      <c r="F358" s="3">
        <f ca="1"/>
        <v>8385.8929000000007</v>
      </c>
      <c r="G358" s="10">
        <f ca="1"/>
        <v>45655.229166655095</v>
      </c>
      <c r="H358" s="3">
        <f ca="1"/>
        <v>794651624.83495545</v>
      </c>
      <c r="I358" s="3">
        <f ca="1"/>
        <v>2732061</v>
      </c>
      <c r="J358" s="3">
        <f ca="1"/>
        <v>4203.5987599999999</v>
      </c>
      <c r="K358" s="3">
        <f ca="1"/>
        <v>398416342.12816697</v>
      </c>
    </row>
    <row r="359" spans="1:11" x14ac:dyDescent="0.3">
      <c r="A359" s="10">
        <f ca="1"/>
        <v>45653.229166666664</v>
      </c>
      <c r="B359" s="12">
        <f ca="1"/>
        <v>95791.6</v>
      </c>
      <c r="C359" s="12">
        <f ca="1"/>
        <v>97544.58</v>
      </c>
      <c r="D359" s="12">
        <f ca="1"/>
        <v>93500.01</v>
      </c>
      <c r="E359" s="12">
        <f ca="1"/>
        <v>94299.03</v>
      </c>
      <c r="F359" s="3">
        <f ca="1"/>
        <v>26501.264289999999</v>
      </c>
      <c r="G359" s="10">
        <f ca="1"/>
        <v>45654.229166655095</v>
      </c>
      <c r="H359" s="3">
        <f ca="1"/>
        <v>2528567849.7794614</v>
      </c>
      <c r="I359" s="3">
        <f ca="1"/>
        <v>5718866</v>
      </c>
      <c r="J359" s="3">
        <f ca="1"/>
        <v>12945.51657</v>
      </c>
      <c r="K359" s="3">
        <f ca="1"/>
        <v>1235623739.0578184</v>
      </c>
    </row>
    <row r="360" spans="1:11" x14ac:dyDescent="0.3">
      <c r="A360" s="10">
        <f ca="1"/>
        <v>45652.229166666664</v>
      </c>
      <c r="B360" s="12">
        <f ca="1"/>
        <v>99429.61</v>
      </c>
      <c r="C360" s="12">
        <f ca="1"/>
        <v>99963.7</v>
      </c>
      <c r="D360" s="12">
        <f ca="1"/>
        <v>95199.14</v>
      </c>
      <c r="E360" s="12">
        <f ca="1"/>
        <v>95791.6</v>
      </c>
      <c r="F360" s="3">
        <f ca="1"/>
        <v>21192.367269999999</v>
      </c>
      <c r="G360" s="10">
        <f ca="1"/>
        <v>45653.229166655095</v>
      </c>
      <c r="H360" s="3">
        <f ca="1"/>
        <v>2049123567.3867724</v>
      </c>
      <c r="I360" s="3">
        <f ca="1"/>
        <v>5203490</v>
      </c>
      <c r="J360" s="3">
        <f ca="1"/>
        <v>10071.87249</v>
      </c>
      <c r="K360" s="3">
        <f ca="1"/>
        <v>973940616.12924433</v>
      </c>
    </row>
    <row r="361" spans="1:11" x14ac:dyDescent="0.3">
      <c r="A361" s="10">
        <f ca="1"/>
        <v>45651.229166666664</v>
      </c>
      <c r="B361" s="12">
        <f ca="1"/>
        <v>98663.58</v>
      </c>
      <c r="C361" s="12">
        <f ca="1"/>
        <v>99569.15</v>
      </c>
      <c r="D361" s="12">
        <f ca="1"/>
        <v>97632.02</v>
      </c>
      <c r="E361" s="12">
        <f ca="1"/>
        <v>99429.6</v>
      </c>
      <c r="F361" s="3">
        <f ca="1"/>
        <v>14474.1651</v>
      </c>
      <c r="G361" s="10">
        <f ca="1"/>
        <v>45652.229166655095</v>
      </c>
      <c r="H361" s="3">
        <f ca="1"/>
        <v>1426143976.0493636</v>
      </c>
      <c r="I361" s="3">
        <f ca="1"/>
        <v>3283028</v>
      </c>
      <c r="J361" s="3">
        <f ca="1"/>
        <v>7006.5264999999999</v>
      </c>
      <c r="K361" s="3">
        <f ca="1"/>
        <v>690465056.58718586</v>
      </c>
    </row>
    <row r="362" spans="1:11" x14ac:dyDescent="0.3">
      <c r="A362" s="10">
        <f ca="1"/>
        <v>45650.229166666664</v>
      </c>
      <c r="B362" s="12">
        <f ca="1"/>
        <v>94881.47</v>
      </c>
      <c r="C362" s="12">
        <f ca="1"/>
        <v>99487.99</v>
      </c>
      <c r="D362" s="12">
        <f ca="1"/>
        <v>93569.02</v>
      </c>
      <c r="E362" s="12">
        <f ca="1"/>
        <v>98663.58</v>
      </c>
      <c r="F362" s="3">
        <f ca="1"/>
        <v>23674.224880000002</v>
      </c>
      <c r="G362" s="10">
        <f ca="1"/>
        <v>45651.229166655095</v>
      </c>
      <c r="H362" s="3">
        <f ca="1"/>
        <v>2287214424.7064757</v>
      </c>
      <c r="I362" s="3">
        <f ca="1"/>
        <v>3421549</v>
      </c>
      <c r="J362" s="3">
        <f ca="1"/>
        <v>11969.2539</v>
      </c>
      <c r="K362" s="3">
        <f ca="1"/>
        <v>1156798174.5823259</v>
      </c>
    </row>
    <row r="363" spans="1:11" x14ac:dyDescent="0.3">
      <c r="A363" s="10">
        <f ca="1"/>
        <v>45649.229166666664</v>
      </c>
      <c r="B363" s="12">
        <f ca="1"/>
        <v>95186.28</v>
      </c>
      <c r="C363" s="12">
        <f ca="1"/>
        <v>96538.92</v>
      </c>
      <c r="D363" s="12">
        <f ca="1"/>
        <v>92520</v>
      </c>
      <c r="E363" s="12">
        <f ca="1"/>
        <v>94881.47</v>
      </c>
      <c r="F363" s="3">
        <f ca="1"/>
        <v>32810.767030000003</v>
      </c>
      <c r="G363" s="10">
        <f ca="1"/>
        <v>45650.229166655095</v>
      </c>
      <c r="H363" s="3">
        <f ca="1"/>
        <v>3100007213.4945631</v>
      </c>
      <c r="I363" s="3">
        <f ca="1"/>
        <v>5464919</v>
      </c>
      <c r="J363" s="3">
        <f ca="1"/>
        <v>16339.583549999999</v>
      </c>
      <c r="K363" s="3">
        <f ca="1"/>
        <v>1544707289.744369</v>
      </c>
    </row>
    <row r="364" spans="1:11" x14ac:dyDescent="0.3">
      <c r="A364" s="10">
        <f ca="1"/>
        <v>45648.229166666664</v>
      </c>
      <c r="B364" s="12">
        <f ca="1"/>
        <v>97292</v>
      </c>
      <c r="C364" s="12">
        <f ca="1"/>
        <v>97448.08</v>
      </c>
      <c r="D364" s="12">
        <f ca="1"/>
        <v>94250.35</v>
      </c>
      <c r="E364" s="12">
        <f ca="1"/>
        <v>95186.27</v>
      </c>
      <c r="F364" s="3">
        <f ca="1"/>
        <v>19353.83036</v>
      </c>
      <c r="G364" s="10">
        <f ca="1"/>
        <v>45649.229166655095</v>
      </c>
      <c r="H364" s="3">
        <f ca="1"/>
        <v>1857819866.3603997</v>
      </c>
      <c r="I364" s="3">
        <f ca="1"/>
        <v>3633551</v>
      </c>
      <c r="J364" s="3">
        <f ca="1"/>
        <v>9293.3974899999994</v>
      </c>
      <c r="K364" s="3">
        <f ca="1"/>
        <v>892081877.76277077</v>
      </c>
    </row>
    <row r="365" spans="1:11" x14ac:dyDescent="0.3">
      <c r="A365" s="10">
        <f ca="1"/>
        <v>45647.229166666664</v>
      </c>
      <c r="B365" s="12">
        <f ca="1"/>
        <v>97805.440000000002</v>
      </c>
      <c r="C365" s="12">
        <f ca="1"/>
        <v>99540.61</v>
      </c>
      <c r="D365" s="12">
        <f ca="1"/>
        <v>96398.39</v>
      </c>
      <c r="E365" s="12">
        <f ca="1"/>
        <v>97291.99</v>
      </c>
      <c r="F365" s="3">
        <f ca="1"/>
        <v>23483.541430000001</v>
      </c>
      <c r="G365" s="10">
        <f ca="1"/>
        <v>45648.229166655095</v>
      </c>
      <c r="H365" s="3">
        <f ca="1"/>
        <v>2296232055.1959262</v>
      </c>
      <c r="I365" s="3">
        <f ca="1"/>
        <v>3717638</v>
      </c>
      <c r="J365" s="3">
        <f ca="1"/>
        <v>11726.94119</v>
      </c>
      <c r="K365" s="3">
        <f ca="1"/>
        <v>1146732451.4218132</v>
      </c>
    </row>
    <row r="366" spans="1:11" x14ac:dyDescent="0.3">
      <c r="A366" s="10">
        <f ca="1"/>
        <v>45646.229166666664</v>
      </c>
      <c r="B366" s="12">
        <f ca="1"/>
        <v>97461.86</v>
      </c>
      <c r="C366" s="12">
        <f ca="1"/>
        <v>98233</v>
      </c>
      <c r="D366" s="12">
        <f ca="1"/>
        <v>92232.54</v>
      </c>
      <c r="E366" s="12">
        <f ca="1"/>
        <v>97805.440000000002</v>
      </c>
      <c r="F366" s="3">
        <f ca="1"/>
        <v>62884.135699999999</v>
      </c>
      <c r="G366" s="10">
        <f ca="1"/>
        <v>45647.229166655095</v>
      </c>
      <c r="H366" s="3">
        <f ca="1"/>
        <v>6022845238.8323259</v>
      </c>
      <c r="I366" s="3">
        <f ca="1"/>
        <v>7429007</v>
      </c>
      <c r="J366" s="3">
        <f ca="1"/>
        <v>29463.230210000002</v>
      </c>
      <c r="K366" s="3">
        <f ca="1"/>
        <v>2822939306.6630778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17F0-31CB-4D82-98F0-3AF58860DC52}">
  <sheetPr codeName="Sheet12">
    <tabColor theme="9" tint="0.39997558519241921"/>
  </sheetPr>
  <dimension ref="A1:AK501"/>
  <sheetViews>
    <sheetView workbookViewId="0">
      <selection activeCell="A2" sqref="A2"/>
    </sheetView>
  </sheetViews>
  <sheetFormatPr defaultRowHeight="14.4" x14ac:dyDescent="0.3"/>
  <cols>
    <col min="1" max="1" width="18.109375" style="22" bestFit="1" customWidth="1"/>
    <col min="2" max="5" width="9" style="9" bestFit="1" customWidth="1"/>
    <col min="6" max="6" width="11" style="9" bestFit="1" customWidth="1"/>
    <col min="7" max="7" width="10.44140625" style="9" bestFit="1" customWidth="1"/>
    <col min="8" max="8" width="12" style="9" bestFit="1" customWidth="1"/>
    <col min="9" max="9" width="20.109375" style="9" bestFit="1" customWidth="1"/>
    <col min="10" max="10" width="17.33203125" style="9" bestFit="1" customWidth="1"/>
    <col min="11" max="12" width="12" style="9" bestFit="1" customWidth="1"/>
    <col min="13" max="13" width="12.6640625" style="9" bestFit="1" customWidth="1"/>
    <col min="14" max="19" width="12" style="9" bestFit="1" customWidth="1"/>
    <col min="20" max="20" width="12.6640625" style="9" bestFit="1" customWidth="1"/>
    <col min="21" max="21" width="25.5546875" style="9" bestFit="1" customWidth="1"/>
    <col min="22" max="22" width="12.6640625" style="9" bestFit="1" customWidth="1"/>
    <col min="23" max="23" width="11.88671875" style="9" bestFit="1" customWidth="1"/>
    <col min="24" max="25" width="8" style="9" bestFit="1" customWidth="1"/>
    <col min="26" max="26" width="12.21875" style="9" bestFit="1" customWidth="1"/>
    <col min="27" max="28" width="12" style="9" bestFit="1" customWidth="1"/>
    <col min="29" max="29" width="12.6640625" style="9" bestFit="1" customWidth="1"/>
    <col min="30" max="30" width="11.6640625" style="9" bestFit="1" customWidth="1"/>
    <col min="31" max="31" width="11.44140625" style="9" bestFit="1" customWidth="1"/>
    <col min="32" max="32" width="17" style="9" bestFit="1" customWidth="1"/>
    <col min="33" max="33" width="12" style="9" bestFit="1" customWidth="1"/>
    <col min="34" max="34" width="13.88671875" style="9" bestFit="1" customWidth="1"/>
    <col min="35" max="35" width="12.5546875" style="9" bestFit="1" customWidth="1"/>
    <col min="36" max="36" width="12.6640625" style="9" bestFit="1" customWidth="1"/>
    <col min="37" max="37" width="17.88671875" style="9" bestFit="1" customWidth="1"/>
    <col min="38" max="16384" width="8.88671875" style="9"/>
  </cols>
  <sheetData>
    <row r="1" spans="1:37" x14ac:dyDescent="0.3">
      <c r="A1" s="26" t="str" cm="1">
        <f t="array" ref="A1:A501">'OHLC 15m'!$A$1:$A$501</f>
        <v xml:space="preserve">no close frame received or sent: Traceback (most recent call last):
  File "C:\Program Files\Python311\Lib\asyncio\proactor_events.py", line 305, in _loop_reading
    self._read_fut = self._loop._proactor.recv_into(self._sock, self._data)
                     ^^^^^^^^^^^^^^^^^^^^^^^^^^^^^^^^^^^^^^^^^^^^^^^^^^^^^^
  File "C:\Program Files\Python311\Lib\asyncio\windows_events.py", line 486, in recv_into
    ov.WSARecvInto(conn.fileno(), buf, flags)
ConnectionResetError: [WinError 10054] An existing connection was forcibly closed by the remote host
The above exception was the direct cause of the following exception:
Traceback (most recent call last):
  File "C:\Program Files\Python311\Lib\site-packages\xloil\register.py", line 192, in run_async
    async for result in fn(*args, **kwargs):
  File "C:\Users\HP\Desktop\MIS_Project\Bitcoin\Data\KlineStream.py", line 118, in KlineStream
    async for raw in ws:
  File "C:\Program Files\Python311\Lib\site-packages\websockets\asyncio\connection.py", line 242, in __aiter__
    yield await self.recv()
          ^^^^^^^^^^^^^^^^^
  File "C:\Program Files\Python311\Lib\site-packages\websockets\asyncio\connection.py", line 322, in recv
    raise self.protocol.close_exc from self.recv_exc
websockets.exceptions.ConnectionClosedError: no close frame received or sent
</v>
      </c>
      <c r="B1" s="26" cm="1">
        <f t="array" ref="B1:B501">'OHLC 15m'!$B$1:$B$501</f>
        <v>0</v>
      </c>
      <c r="C1" s="26" cm="1">
        <f t="array" ref="C1:C501">'OHLC 15m'!$C$1:$C$501</f>
        <v>0</v>
      </c>
      <c r="D1" s="26" cm="1">
        <f t="array" ref="D1:D501">'OHLC 15m'!$D$1:$D$501</f>
        <v>0</v>
      </c>
      <c r="E1" s="26" cm="1">
        <f t="array" ref="E1:E501">'OHLC 15m'!$E$1:$E$501</f>
        <v>0</v>
      </c>
      <c r="F1" s="26" cm="1">
        <f t="array" ref="F1:F501">'OHLC 15m'!$F$1:$F$501</f>
        <v>0</v>
      </c>
      <c r="G1" s="26" t="s">
        <v>52</v>
      </c>
      <c r="H1" s="26" t="s">
        <v>53</v>
      </c>
      <c r="I1" s="26" t="s">
        <v>54</v>
      </c>
      <c r="J1" s="26" t="s">
        <v>55</v>
      </c>
      <c r="K1" s="26" t="s">
        <v>56</v>
      </c>
      <c r="L1" s="26" t="s">
        <v>57</v>
      </c>
      <c r="M1" s="26" t="s">
        <v>58</v>
      </c>
      <c r="N1" s="26" t="s">
        <v>59</v>
      </c>
      <c r="O1" s="26" t="s">
        <v>60</v>
      </c>
      <c r="P1" s="26" t="s">
        <v>63</v>
      </c>
      <c r="Q1" s="26" t="s">
        <v>64</v>
      </c>
      <c r="R1" s="26" t="s">
        <v>65</v>
      </c>
      <c r="S1" s="26" t="s">
        <v>70</v>
      </c>
      <c r="T1" s="26" t="s">
        <v>71</v>
      </c>
      <c r="U1" s="26" t="s">
        <v>72</v>
      </c>
      <c r="V1" s="26" t="s">
        <v>73</v>
      </c>
      <c r="W1" s="26" t="s">
        <v>74</v>
      </c>
      <c r="X1" s="26" t="s">
        <v>75</v>
      </c>
      <c r="Y1" s="26" t="s">
        <v>76</v>
      </c>
      <c r="Z1" s="26" t="s">
        <v>77</v>
      </c>
      <c r="AA1" s="26" t="s">
        <v>78</v>
      </c>
      <c r="AB1" s="26" t="s">
        <v>79</v>
      </c>
      <c r="AC1" s="26" t="s">
        <v>80</v>
      </c>
      <c r="AD1" s="26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</row>
    <row r="2" spans="1:37" x14ac:dyDescent="0.3">
      <c r="A2" s="27">
        <v>0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3">
        <f>MAX(C2-D2, ABS(C2-E3), ABS(D2-E3))</f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>
        <f>R2 - S2</f>
        <v>0</v>
      </c>
      <c r="U2" s="3"/>
      <c r="V2" s="3">
        <f>T2 - U2</f>
        <v>0</v>
      </c>
      <c r="W2" s="3"/>
      <c r="X2" s="3"/>
      <c r="Y2" s="3"/>
      <c r="Z2" s="3"/>
      <c r="AA2" s="3"/>
      <c r="AB2" s="3"/>
      <c r="AC2" s="3"/>
      <c r="AD2" s="3">
        <f>0</f>
        <v>0</v>
      </c>
      <c r="AE2" s="3">
        <f>(C2+D2+E2)/3</f>
        <v>0</v>
      </c>
      <c r="AF2" s="3">
        <f>AE2*F2</f>
        <v>0</v>
      </c>
      <c r="AG2" s="3" t="e">
        <f>AF2 / F2</f>
        <v>#DIV/0!</v>
      </c>
      <c r="AH2" s="3"/>
      <c r="AI2" s="3">
        <f>E2</f>
        <v>0</v>
      </c>
      <c r="AJ2" s="3"/>
      <c r="AK2" s="3"/>
    </row>
    <row r="3" spans="1:37" x14ac:dyDescent="0.3">
      <c r="A3" s="24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f t="shared" ref="G3:G66" si="0">MAX(C3-D3, ABS(C3-E4), ABS(D3-E4))</f>
        <v>0</v>
      </c>
      <c r="H3" s="3"/>
      <c r="I3" s="3"/>
      <c r="J3" s="3"/>
      <c r="K3" s="3"/>
      <c r="L3" s="3"/>
      <c r="M3" s="3" t="e">
        <f>LN(E2/E3)</f>
        <v>#DIV/0!</v>
      </c>
      <c r="N3" s="3"/>
      <c r="O3" s="3"/>
      <c r="P3" s="3"/>
      <c r="Q3" s="3"/>
      <c r="R3" s="3"/>
      <c r="S3" s="3"/>
      <c r="T3" s="3">
        <f t="shared" ref="T3:T66" si="1">R3 - S3</f>
        <v>0</v>
      </c>
      <c r="U3" s="3"/>
      <c r="V3" s="3">
        <f t="shared" ref="V3:V66" si="2">T3 - U3</f>
        <v>0</v>
      </c>
      <c r="W3" s="3">
        <f>E2-E3</f>
        <v>0</v>
      </c>
      <c r="X3" s="3">
        <f>MAX(W3,0)</f>
        <v>0</v>
      </c>
      <c r="Y3" s="3">
        <f>MAX(-W3,0)</f>
        <v>0</v>
      </c>
      <c r="Z3" s="3"/>
      <c r="AA3" s="3"/>
      <c r="AB3" s="3"/>
      <c r="AC3" s="3"/>
      <c r="AD3" s="3">
        <f>IF(E2&gt;E3,AD2+F2,IF(E2&lt;E3,AD2-F2,AD2))</f>
        <v>0</v>
      </c>
      <c r="AE3" s="3">
        <f t="shared" ref="AE3:AE66" si="3">(C3+D3+E3)/3</f>
        <v>0</v>
      </c>
      <c r="AF3" s="3">
        <f>AF2 + AE3*F3</f>
        <v>0</v>
      </c>
      <c r="AG3" s="3" t="e">
        <f>AF3 / SUM(F$2:F3)</f>
        <v>#DIV/0!</v>
      </c>
      <c r="AH3" s="3" t="e">
        <f>(E2-E3)/E3</f>
        <v>#DIV/0!</v>
      </c>
      <c r="AI3" s="3">
        <f>MAX(AI2,E3)</f>
        <v>0</v>
      </c>
      <c r="AJ3" s="3" t="e">
        <f>(E3-AI3)/AI3</f>
        <v>#DIV/0!</v>
      </c>
      <c r="AK3" s="3"/>
    </row>
    <row r="4" spans="1:37" x14ac:dyDescent="0.3">
      <c r="A4" s="24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f t="shared" si="0"/>
        <v>0</v>
      </c>
      <c r="H4" s="3"/>
      <c r="I4" s="3"/>
      <c r="J4" s="3"/>
      <c r="K4" s="3"/>
      <c r="L4" s="3"/>
      <c r="M4" s="3" t="e">
        <f t="shared" ref="M4:M67" si="4">LN(E3/E4)</f>
        <v>#DIV/0!</v>
      </c>
      <c r="N4" s="3"/>
      <c r="O4" s="3"/>
      <c r="P4" s="3"/>
      <c r="Q4" s="3"/>
      <c r="R4" s="3"/>
      <c r="S4" s="3"/>
      <c r="T4" s="3">
        <f t="shared" si="1"/>
        <v>0</v>
      </c>
      <c r="U4" s="3"/>
      <c r="V4" s="3">
        <f t="shared" si="2"/>
        <v>0</v>
      </c>
      <c r="W4" s="3">
        <f t="shared" ref="W4:W67" si="5">E3-E4</f>
        <v>0</v>
      </c>
      <c r="X4" s="3">
        <f t="shared" ref="X4:X67" si="6">MAX(W4,0)</f>
        <v>0</v>
      </c>
      <c r="Y4" s="3">
        <f t="shared" ref="Y4:Y67" si="7">MAX(-W4,0)</f>
        <v>0</v>
      </c>
      <c r="Z4" s="3"/>
      <c r="AA4" s="3"/>
      <c r="AB4" s="3"/>
      <c r="AC4" s="3"/>
      <c r="AD4" s="3">
        <f t="shared" ref="AD4:AD67" si="8">IF(E3&gt;E4,AD3+F3,IF(E3&lt;E4,AD3-F3,AD3))</f>
        <v>0</v>
      </c>
      <c r="AE4" s="3">
        <f t="shared" si="3"/>
        <v>0</v>
      </c>
      <c r="AF4" s="3">
        <f t="shared" ref="AF4:AF67" si="9">AF3 + AE4*F4</f>
        <v>0</v>
      </c>
      <c r="AG4" s="3" t="e">
        <f>AF4 / SUM(F$2:F4)</f>
        <v>#DIV/0!</v>
      </c>
      <c r="AH4" s="3" t="e">
        <f t="shared" ref="AH4:AH67" si="10">(E3-E4)/E4</f>
        <v>#DIV/0!</v>
      </c>
      <c r="AI4" s="3">
        <f t="shared" ref="AI4:AI67" si="11">MAX(AI3,E4)</f>
        <v>0</v>
      </c>
      <c r="AJ4" s="3" t="e">
        <f t="shared" ref="AJ4:AJ67" si="12">(E4-AI4)/AI4</f>
        <v>#DIV/0!</v>
      </c>
      <c r="AK4" s="3"/>
    </row>
    <row r="5" spans="1:37" x14ac:dyDescent="0.3">
      <c r="A5" s="24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f t="shared" si="0"/>
        <v>0</v>
      </c>
      <c r="H5" s="3"/>
      <c r="I5" s="3"/>
      <c r="J5" s="3"/>
      <c r="K5" s="3"/>
      <c r="L5" s="3"/>
      <c r="M5" s="3" t="e">
        <f t="shared" si="4"/>
        <v>#DIV/0!</v>
      </c>
      <c r="N5" s="3"/>
      <c r="O5" s="3"/>
      <c r="P5" s="3"/>
      <c r="Q5" s="3"/>
      <c r="R5" s="3"/>
      <c r="S5" s="3"/>
      <c r="T5" s="3">
        <f t="shared" si="1"/>
        <v>0</v>
      </c>
      <c r="U5" s="3"/>
      <c r="V5" s="3">
        <f t="shared" si="2"/>
        <v>0</v>
      </c>
      <c r="W5" s="3">
        <f t="shared" si="5"/>
        <v>0</v>
      </c>
      <c r="X5" s="3">
        <f t="shared" si="6"/>
        <v>0</v>
      </c>
      <c r="Y5" s="3">
        <f t="shared" si="7"/>
        <v>0</v>
      </c>
      <c r="Z5" s="3"/>
      <c r="AA5" s="3"/>
      <c r="AB5" s="3"/>
      <c r="AC5" s="3"/>
      <c r="AD5" s="3">
        <f t="shared" si="8"/>
        <v>0</v>
      </c>
      <c r="AE5" s="3">
        <f t="shared" si="3"/>
        <v>0</v>
      </c>
      <c r="AF5" s="3">
        <f t="shared" si="9"/>
        <v>0</v>
      </c>
      <c r="AG5" s="3" t="e">
        <f>AF5 / SUM(F$2:F5)</f>
        <v>#DIV/0!</v>
      </c>
      <c r="AH5" s="3" t="e">
        <f t="shared" si="10"/>
        <v>#DIV/0!</v>
      </c>
      <c r="AI5" s="3">
        <f t="shared" si="11"/>
        <v>0</v>
      </c>
      <c r="AJ5" s="3" t="e">
        <f t="shared" si="12"/>
        <v>#DIV/0!</v>
      </c>
      <c r="AK5" s="3"/>
    </row>
    <row r="6" spans="1:37" x14ac:dyDescent="0.3">
      <c r="A6" s="24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f t="shared" si="0"/>
        <v>0</v>
      </c>
      <c r="H6" s="3"/>
      <c r="I6" s="3"/>
      <c r="J6" s="3"/>
      <c r="K6" s="3"/>
      <c r="L6" s="3"/>
      <c r="M6" s="3" t="e">
        <f t="shared" si="4"/>
        <v>#DIV/0!</v>
      </c>
      <c r="N6" s="3"/>
      <c r="O6" s="3"/>
      <c r="P6" s="3"/>
      <c r="Q6" s="3"/>
      <c r="R6" s="3"/>
      <c r="S6" s="3"/>
      <c r="T6" s="3">
        <f t="shared" si="1"/>
        <v>0</v>
      </c>
      <c r="U6" s="3"/>
      <c r="V6" s="3">
        <f t="shared" si="2"/>
        <v>0</v>
      </c>
      <c r="W6" s="3">
        <f t="shared" si="5"/>
        <v>0</v>
      </c>
      <c r="X6" s="3">
        <f t="shared" si="6"/>
        <v>0</v>
      </c>
      <c r="Y6" s="3">
        <f t="shared" si="7"/>
        <v>0</v>
      </c>
      <c r="Z6" s="3"/>
      <c r="AA6" s="3"/>
      <c r="AB6" s="3"/>
      <c r="AC6" s="3"/>
      <c r="AD6" s="3">
        <f t="shared" si="8"/>
        <v>0</v>
      </c>
      <c r="AE6" s="3">
        <f t="shared" si="3"/>
        <v>0</v>
      </c>
      <c r="AF6" s="3">
        <f t="shared" si="9"/>
        <v>0</v>
      </c>
      <c r="AG6" s="3" t="e">
        <f>AF6 / SUM(F$2:F6)</f>
        <v>#DIV/0!</v>
      </c>
      <c r="AH6" s="3" t="e">
        <f t="shared" si="10"/>
        <v>#DIV/0!</v>
      </c>
      <c r="AI6" s="3">
        <f t="shared" si="11"/>
        <v>0</v>
      </c>
      <c r="AJ6" s="3" t="e">
        <f t="shared" si="12"/>
        <v>#DIV/0!</v>
      </c>
      <c r="AK6" s="3"/>
    </row>
    <row r="7" spans="1:37" x14ac:dyDescent="0.3">
      <c r="A7" s="24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f t="shared" si="0"/>
        <v>0</v>
      </c>
      <c r="H7" s="3"/>
      <c r="I7" s="3"/>
      <c r="J7" s="3"/>
      <c r="K7" s="3"/>
      <c r="L7" s="3"/>
      <c r="M7" s="3" t="e">
        <f t="shared" si="4"/>
        <v>#DIV/0!</v>
      </c>
      <c r="N7" s="3"/>
      <c r="O7" s="3"/>
      <c r="P7" s="3"/>
      <c r="Q7" s="3"/>
      <c r="R7" s="3"/>
      <c r="S7" s="3"/>
      <c r="T7" s="3">
        <f t="shared" si="1"/>
        <v>0</v>
      </c>
      <c r="U7" s="3"/>
      <c r="V7" s="3">
        <f t="shared" si="2"/>
        <v>0</v>
      </c>
      <c r="W7" s="3">
        <f t="shared" si="5"/>
        <v>0</v>
      </c>
      <c r="X7" s="3">
        <f t="shared" si="6"/>
        <v>0</v>
      </c>
      <c r="Y7" s="3">
        <f t="shared" si="7"/>
        <v>0</v>
      </c>
      <c r="Z7" s="3"/>
      <c r="AA7" s="3"/>
      <c r="AB7" s="3"/>
      <c r="AC7" s="3"/>
      <c r="AD7" s="3">
        <f t="shared" si="8"/>
        <v>0</v>
      </c>
      <c r="AE7" s="3">
        <f t="shared" si="3"/>
        <v>0</v>
      </c>
      <c r="AF7" s="3">
        <f t="shared" si="9"/>
        <v>0</v>
      </c>
      <c r="AG7" s="3" t="e">
        <f>AF7 / SUM(F$2:F7)</f>
        <v>#DIV/0!</v>
      </c>
      <c r="AH7" s="3" t="e">
        <f t="shared" si="10"/>
        <v>#DIV/0!</v>
      </c>
      <c r="AI7" s="3">
        <f t="shared" si="11"/>
        <v>0</v>
      </c>
      <c r="AJ7" s="3" t="e">
        <f t="shared" si="12"/>
        <v>#DIV/0!</v>
      </c>
      <c r="AK7" s="3"/>
    </row>
    <row r="8" spans="1:37" x14ac:dyDescent="0.3">
      <c r="A8" s="24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f t="shared" si="0"/>
        <v>0</v>
      </c>
      <c r="H8" s="3"/>
      <c r="I8" s="3"/>
      <c r="J8" s="3"/>
      <c r="K8" s="3"/>
      <c r="L8" s="3"/>
      <c r="M8" s="3" t="e">
        <f t="shared" si="4"/>
        <v>#DIV/0!</v>
      </c>
      <c r="N8" s="3"/>
      <c r="O8" s="3"/>
      <c r="P8" s="3"/>
      <c r="Q8" s="3"/>
      <c r="R8" s="3"/>
      <c r="S8" s="3"/>
      <c r="T8" s="3">
        <f t="shared" si="1"/>
        <v>0</v>
      </c>
      <c r="U8" s="3"/>
      <c r="V8" s="3">
        <f t="shared" si="2"/>
        <v>0</v>
      </c>
      <c r="W8" s="3">
        <f t="shared" si="5"/>
        <v>0</v>
      </c>
      <c r="X8" s="3">
        <f t="shared" si="6"/>
        <v>0</v>
      </c>
      <c r="Y8" s="3">
        <f t="shared" si="7"/>
        <v>0</v>
      </c>
      <c r="Z8" s="3"/>
      <c r="AA8" s="3"/>
      <c r="AB8" s="3"/>
      <c r="AC8" s="3"/>
      <c r="AD8" s="3">
        <f t="shared" si="8"/>
        <v>0</v>
      </c>
      <c r="AE8" s="3">
        <f t="shared" si="3"/>
        <v>0</v>
      </c>
      <c r="AF8" s="3">
        <f t="shared" si="9"/>
        <v>0</v>
      </c>
      <c r="AG8" s="3" t="e">
        <f>AF8 / SUM(F$2:F8)</f>
        <v>#DIV/0!</v>
      </c>
      <c r="AH8" s="3" t="e">
        <f t="shared" si="10"/>
        <v>#DIV/0!</v>
      </c>
      <c r="AI8" s="3">
        <f t="shared" si="11"/>
        <v>0</v>
      </c>
      <c r="AJ8" s="3" t="e">
        <f t="shared" si="12"/>
        <v>#DIV/0!</v>
      </c>
      <c r="AK8" s="3"/>
    </row>
    <row r="9" spans="1:37" x14ac:dyDescent="0.3">
      <c r="A9" s="24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f t="shared" si="0"/>
        <v>0</v>
      </c>
      <c r="H9" s="3"/>
      <c r="I9" s="3"/>
      <c r="J9" s="3"/>
      <c r="K9" s="3"/>
      <c r="L9" s="3"/>
      <c r="M9" s="3" t="e">
        <f t="shared" si="4"/>
        <v>#DIV/0!</v>
      </c>
      <c r="N9" s="3"/>
      <c r="O9" s="3"/>
      <c r="P9" s="3"/>
      <c r="Q9" s="3"/>
      <c r="R9" s="3"/>
      <c r="S9" s="3"/>
      <c r="T9" s="3">
        <f t="shared" si="1"/>
        <v>0</v>
      </c>
      <c r="U9" s="3"/>
      <c r="V9" s="3">
        <f t="shared" si="2"/>
        <v>0</v>
      </c>
      <c r="W9" s="3">
        <f t="shared" si="5"/>
        <v>0</v>
      </c>
      <c r="X9" s="3">
        <f t="shared" si="6"/>
        <v>0</v>
      </c>
      <c r="Y9" s="3">
        <f t="shared" si="7"/>
        <v>0</v>
      </c>
      <c r="Z9" s="3"/>
      <c r="AA9" s="3"/>
      <c r="AB9" s="3"/>
      <c r="AC9" s="3"/>
      <c r="AD9" s="3">
        <f t="shared" si="8"/>
        <v>0</v>
      </c>
      <c r="AE9" s="3">
        <f t="shared" si="3"/>
        <v>0</v>
      </c>
      <c r="AF9" s="3">
        <f t="shared" si="9"/>
        <v>0</v>
      </c>
      <c r="AG9" s="3" t="e">
        <f>AF9 / SUM(F$2:F9)</f>
        <v>#DIV/0!</v>
      </c>
      <c r="AH9" s="3" t="e">
        <f t="shared" si="10"/>
        <v>#DIV/0!</v>
      </c>
      <c r="AI9" s="3">
        <f t="shared" si="11"/>
        <v>0</v>
      </c>
      <c r="AJ9" s="3" t="e">
        <f t="shared" si="12"/>
        <v>#DIV/0!</v>
      </c>
      <c r="AK9" s="3"/>
    </row>
    <row r="10" spans="1:37" x14ac:dyDescent="0.3">
      <c r="A10" s="24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 t="shared" si="0"/>
        <v>0</v>
      </c>
      <c r="H10" s="3"/>
      <c r="I10" s="3"/>
      <c r="J10" s="3"/>
      <c r="K10" s="3"/>
      <c r="L10" s="3"/>
      <c r="M10" s="3" t="e">
        <f t="shared" si="4"/>
        <v>#DIV/0!</v>
      </c>
      <c r="N10" s="3"/>
      <c r="O10" s="3"/>
      <c r="P10" s="3">
        <f>AVERAGE(E2:E10)</f>
        <v>0</v>
      </c>
      <c r="Q10" s="3"/>
      <c r="R10" s="3"/>
      <c r="S10" s="3"/>
      <c r="T10" s="3">
        <f t="shared" si="1"/>
        <v>0</v>
      </c>
      <c r="U10" s="3">
        <f>AVERAGE(T2:T10)</f>
        <v>0</v>
      </c>
      <c r="V10" s="3">
        <f t="shared" si="2"/>
        <v>0</v>
      </c>
      <c r="W10" s="3">
        <f t="shared" si="5"/>
        <v>0</v>
      </c>
      <c r="X10" s="3">
        <f t="shared" si="6"/>
        <v>0</v>
      </c>
      <c r="Y10" s="3">
        <f t="shared" si="7"/>
        <v>0</v>
      </c>
      <c r="Z10" s="3"/>
      <c r="AA10" s="3"/>
      <c r="AB10" s="3"/>
      <c r="AC10" s="3"/>
      <c r="AD10" s="3">
        <f t="shared" si="8"/>
        <v>0</v>
      </c>
      <c r="AE10" s="3">
        <f t="shared" si="3"/>
        <v>0</v>
      </c>
      <c r="AF10" s="3">
        <f t="shared" si="9"/>
        <v>0</v>
      </c>
      <c r="AG10" s="3" t="e">
        <f>AF10 / SUM(F$2:F10)</f>
        <v>#DIV/0!</v>
      </c>
      <c r="AH10" s="3" t="e">
        <f t="shared" si="10"/>
        <v>#DIV/0!</v>
      </c>
      <c r="AI10" s="3">
        <f t="shared" si="11"/>
        <v>0</v>
      </c>
      <c r="AJ10" s="3" t="e">
        <f t="shared" si="12"/>
        <v>#DIV/0!</v>
      </c>
      <c r="AK10" s="3"/>
    </row>
    <row r="11" spans="1:37" x14ac:dyDescent="0.3">
      <c r="A11" s="24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3"/>
      <c r="I11" s="3"/>
      <c r="J11" s="3"/>
      <c r="K11" s="3"/>
      <c r="L11" s="3"/>
      <c r="M11" s="3" t="e">
        <f t="shared" si="4"/>
        <v>#DIV/0!</v>
      </c>
      <c r="N11" s="3" t="e">
        <f>_xlfn.STDEV.S(M2:M11)*SQRT(10)</f>
        <v>#DIV/0!</v>
      </c>
      <c r="O11" s="3"/>
      <c r="P11" s="3">
        <f>E11*(2/(9+1)) + P10*(1-(2/(9+1)))</f>
        <v>0</v>
      </c>
      <c r="Q11" s="3"/>
      <c r="R11" s="3"/>
      <c r="S11" s="3"/>
      <c r="T11" s="3">
        <f t="shared" si="1"/>
        <v>0</v>
      </c>
      <c r="U11" s="3">
        <f>T11*0.2 + U10*0.8</f>
        <v>0</v>
      </c>
      <c r="V11" s="3">
        <f t="shared" si="2"/>
        <v>0</v>
      </c>
      <c r="W11" s="3">
        <f t="shared" si="5"/>
        <v>0</v>
      </c>
      <c r="X11" s="3">
        <f t="shared" si="6"/>
        <v>0</v>
      </c>
      <c r="Y11" s="3">
        <f t="shared" si="7"/>
        <v>0</v>
      </c>
      <c r="Z11" s="3"/>
      <c r="AA11" s="3"/>
      <c r="AB11" s="3"/>
      <c r="AC11" s="3"/>
      <c r="AD11" s="3">
        <f t="shared" si="8"/>
        <v>0</v>
      </c>
      <c r="AE11" s="3">
        <f t="shared" si="3"/>
        <v>0</v>
      </c>
      <c r="AF11" s="3">
        <f t="shared" si="9"/>
        <v>0</v>
      </c>
      <c r="AG11" s="3" t="e">
        <f>AF11 / SUM(F$2:F11)</f>
        <v>#DIV/0!</v>
      </c>
      <c r="AH11" s="3" t="e">
        <f t="shared" si="10"/>
        <v>#DIV/0!</v>
      </c>
      <c r="AI11" s="3">
        <f t="shared" si="11"/>
        <v>0</v>
      </c>
      <c r="AJ11" s="3" t="e">
        <f t="shared" si="12"/>
        <v>#DIV/0!</v>
      </c>
      <c r="AK11" s="3"/>
    </row>
    <row r="12" spans="1:37" x14ac:dyDescent="0.3">
      <c r="A12" s="24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0</v>
      </c>
      <c r="H12" s="3"/>
      <c r="I12" s="3"/>
      <c r="J12" s="3"/>
      <c r="K12" s="3"/>
      <c r="L12" s="3"/>
      <c r="M12" s="3" t="e">
        <f t="shared" si="4"/>
        <v>#DIV/0!</v>
      </c>
      <c r="N12" s="3" t="e">
        <f t="shared" ref="N12:N75" si="13">_xlfn.STDEV.S(M3:M12)*SQRT(10)</f>
        <v>#DIV/0!</v>
      </c>
      <c r="O12" s="3"/>
      <c r="P12" s="3">
        <f t="shared" ref="P12:P75" si="14">E12*(2/(9+1)) + P11*(1-(2/(9+1)))</f>
        <v>0</v>
      </c>
      <c r="Q12" s="3"/>
      <c r="R12" s="3"/>
      <c r="S12" s="3"/>
      <c r="T12" s="3">
        <f t="shared" si="1"/>
        <v>0</v>
      </c>
      <c r="U12" s="3">
        <f t="shared" ref="U12:U75" si="15">T12*0.2 + U11*0.8</f>
        <v>0</v>
      </c>
      <c r="V12" s="3">
        <f t="shared" si="2"/>
        <v>0</v>
      </c>
      <c r="W12" s="3">
        <f t="shared" si="5"/>
        <v>0</v>
      </c>
      <c r="X12" s="3">
        <f t="shared" si="6"/>
        <v>0</v>
      </c>
      <c r="Y12" s="3">
        <f t="shared" si="7"/>
        <v>0</v>
      </c>
      <c r="Z12" s="3"/>
      <c r="AA12" s="3"/>
      <c r="AB12" s="3"/>
      <c r="AC12" s="3"/>
      <c r="AD12" s="3">
        <f t="shared" si="8"/>
        <v>0</v>
      </c>
      <c r="AE12" s="3">
        <f t="shared" si="3"/>
        <v>0</v>
      </c>
      <c r="AF12" s="3">
        <f t="shared" si="9"/>
        <v>0</v>
      </c>
      <c r="AG12" s="3" t="e">
        <f>AF12 / SUM(F$2:F12)</f>
        <v>#DIV/0!</v>
      </c>
      <c r="AH12" s="3" t="e">
        <f t="shared" si="10"/>
        <v>#DIV/0!</v>
      </c>
      <c r="AI12" s="3">
        <f t="shared" si="11"/>
        <v>0</v>
      </c>
      <c r="AJ12" s="3" t="e">
        <f t="shared" si="12"/>
        <v>#DIV/0!</v>
      </c>
      <c r="AK12" s="3"/>
    </row>
    <row r="13" spans="1:37" x14ac:dyDescent="0.3">
      <c r="A13" s="24">
        <v>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f t="shared" si="0"/>
        <v>0</v>
      </c>
      <c r="H13" s="3"/>
      <c r="I13" s="3"/>
      <c r="J13" s="3"/>
      <c r="K13" s="3"/>
      <c r="L13" s="3"/>
      <c r="M13" s="3" t="e">
        <f t="shared" si="4"/>
        <v>#DIV/0!</v>
      </c>
      <c r="N13" s="3" t="e">
        <f t="shared" si="13"/>
        <v>#DIV/0!</v>
      </c>
      <c r="O13" s="3"/>
      <c r="P13" s="3">
        <f t="shared" si="14"/>
        <v>0</v>
      </c>
      <c r="Q13" s="3"/>
      <c r="R13" s="3">
        <f>AVERAGE(E2:E13)</f>
        <v>0</v>
      </c>
      <c r="S13" s="3"/>
      <c r="T13" s="3">
        <f t="shared" si="1"/>
        <v>0</v>
      </c>
      <c r="U13" s="3">
        <f t="shared" si="15"/>
        <v>0</v>
      </c>
      <c r="V13" s="3">
        <f t="shared" si="2"/>
        <v>0</v>
      </c>
      <c r="W13" s="3">
        <f t="shared" si="5"/>
        <v>0</v>
      </c>
      <c r="X13" s="3">
        <f t="shared" si="6"/>
        <v>0</v>
      </c>
      <c r="Y13" s="3">
        <f t="shared" si="7"/>
        <v>0</v>
      </c>
      <c r="Z13" s="3"/>
      <c r="AA13" s="3"/>
      <c r="AB13" s="3"/>
      <c r="AC13" s="3"/>
      <c r="AD13" s="3">
        <f t="shared" si="8"/>
        <v>0</v>
      </c>
      <c r="AE13" s="3">
        <f t="shared" si="3"/>
        <v>0</v>
      </c>
      <c r="AF13" s="3">
        <f t="shared" si="9"/>
        <v>0</v>
      </c>
      <c r="AG13" s="3" t="e">
        <f>AF13 / SUM(F$2:F13)</f>
        <v>#DIV/0!</v>
      </c>
      <c r="AH13" s="3" t="e">
        <f t="shared" si="10"/>
        <v>#DIV/0!</v>
      </c>
      <c r="AI13" s="3">
        <f t="shared" si="11"/>
        <v>0</v>
      </c>
      <c r="AJ13" s="3" t="e">
        <f t="shared" si="12"/>
        <v>#DIV/0!</v>
      </c>
      <c r="AK13" s="3"/>
    </row>
    <row r="14" spans="1:37" x14ac:dyDescent="0.3">
      <c r="A14" s="24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f t="shared" si="0"/>
        <v>0</v>
      </c>
      <c r="H14" s="3"/>
      <c r="I14" s="3"/>
      <c r="J14" s="3"/>
      <c r="K14" s="3"/>
      <c r="L14" s="3"/>
      <c r="M14" s="3" t="e">
        <f t="shared" si="4"/>
        <v>#DIV/0!</v>
      </c>
      <c r="N14" s="3" t="e">
        <f t="shared" si="13"/>
        <v>#DIV/0!</v>
      </c>
      <c r="O14" s="3"/>
      <c r="P14" s="3">
        <f t="shared" si="14"/>
        <v>0</v>
      </c>
      <c r="Q14" s="3"/>
      <c r="R14" s="3">
        <f>E14*(2/(12+1)) + R13*(1-(2/(12+1)))</f>
        <v>0</v>
      </c>
      <c r="S14" s="3"/>
      <c r="T14" s="3">
        <f t="shared" si="1"/>
        <v>0</v>
      </c>
      <c r="U14" s="3">
        <f t="shared" si="15"/>
        <v>0</v>
      </c>
      <c r="V14" s="3">
        <f t="shared" si="2"/>
        <v>0</v>
      </c>
      <c r="W14" s="3">
        <f t="shared" si="5"/>
        <v>0</v>
      </c>
      <c r="X14" s="3">
        <f t="shared" si="6"/>
        <v>0</v>
      </c>
      <c r="Y14" s="3">
        <f t="shared" si="7"/>
        <v>0</v>
      </c>
      <c r="Z14" s="3"/>
      <c r="AA14" s="3"/>
      <c r="AB14" s="3"/>
      <c r="AC14" s="3"/>
      <c r="AD14" s="3">
        <f t="shared" si="8"/>
        <v>0</v>
      </c>
      <c r="AE14" s="3">
        <f t="shared" si="3"/>
        <v>0</v>
      </c>
      <c r="AF14" s="3">
        <f t="shared" si="9"/>
        <v>0</v>
      </c>
      <c r="AG14" s="3" t="e">
        <f>AF14 / SUM(F$2:F14)</f>
        <v>#DIV/0!</v>
      </c>
      <c r="AH14" s="3" t="e">
        <f t="shared" si="10"/>
        <v>#DIV/0!</v>
      </c>
      <c r="AI14" s="3">
        <f t="shared" si="11"/>
        <v>0</v>
      </c>
      <c r="AJ14" s="3" t="e">
        <f t="shared" si="12"/>
        <v>#DIV/0!</v>
      </c>
      <c r="AK14" s="3"/>
    </row>
    <row r="15" spans="1:37" x14ac:dyDescent="0.3">
      <c r="A15" s="24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f t="shared" si="0"/>
        <v>0</v>
      </c>
      <c r="H15" s="3">
        <f>AVERAGE(G2:G15)</f>
        <v>0</v>
      </c>
      <c r="I15" s="3"/>
      <c r="J15" s="3"/>
      <c r="K15" s="3"/>
      <c r="L15" s="3"/>
      <c r="M15" s="3" t="e">
        <f t="shared" si="4"/>
        <v>#DIV/0!</v>
      </c>
      <c r="N15" s="3" t="e">
        <f t="shared" si="13"/>
        <v>#DIV/0!</v>
      </c>
      <c r="O15" s="3"/>
      <c r="P15" s="3">
        <f t="shared" si="14"/>
        <v>0</v>
      </c>
      <c r="Q15" s="3"/>
      <c r="R15" s="3">
        <f t="shared" ref="R15:R78" si="16">E15*(2/(12+1)) + R14*(1-(2/(12+1)))</f>
        <v>0</v>
      </c>
      <c r="S15" s="3"/>
      <c r="T15" s="3">
        <f t="shared" si="1"/>
        <v>0</v>
      </c>
      <c r="U15" s="3">
        <f t="shared" si="15"/>
        <v>0</v>
      </c>
      <c r="V15" s="3">
        <f t="shared" si="2"/>
        <v>0</v>
      </c>
      <c r="W15" s="3">
        <f t="shared" si="5"/>
        <v>0</v>
      </c>
      <c r="X15" s="3">
        <f t="shared" si="6"/>
        <v>0</v>
      </c>
      <c r="Y15" s="3">
        <f t="shared" si="7"/>
        <v>0</v>
      </c>
      <c r="Z15" s="3">
        <f>AVERAGE(X2:X15)</f>
        <v>0</v>
      </c>
      <c r="AA15" s="3">
        <f>AVERAGE(Y2:Y15)</f>
        <v>0</v>
      </c>
      <c r="AB15" s="3" t="e">
        <f>100-(100/(1+(Z15/AA15)))</f>
        <v>#DIV/0!</v>
      </c>
      <c r="AC15" s="3" t="str">
        <f>IF(
COUNT(AB2:AB15)&lt;14,
"",
IF(
MAX(AB2:AB15)=MIN(AB2:AB15),
0.5,
(AB15-MIN(AB2:AB15)) / (MAX(AB2:AB15)-MIN(AB2:AB15))
)
)</f>
        <v/>
      </c>
      <c r="AD15" s="3">
        <f t="shared" si="8"/>
        <v>0</v>
      </c>
      <c r="AE15" s="3">
        <f t="shared" si="3"/>
        <v>0</v>
      </c>
      <c r="AF15" s="3">
        <f t="shared" si="9"/>
        <v>0</v>
      </c>
      <c r="AG15" s="3" t="e">
        <f>AF15 / SUM(F$2:F15)</f>
        <v>#DIV/0!</v>
      </c>
      <c r="AH15" s="3" t="e">
        <f t="shared" si="10"/>
        <v>#DIV/0!</v>
      </c>
      <c r="AI15" s="3">
        <f t="shared" si="11"/>
        <v>0</v>
      </c>
      <c r="AJ15" s="3" t="e">
        <f t="shared" si="12"/>
        <v>#DIV/0!</v>
      </c>
      <c r="AK15" s="3"/>
    </row>
    <row r="16" spans="1:37" x14ac:dyDescent="0.3">
      <c r="A16" s="24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f t="shared" si="0"/>
        <v>0</v>
      </c>
      <c r="H16" s="3">
        <f t="shared" ref="H16:H79" si="17">AVERAGE(G3:G16)</f>
        <v>0</v>
      </c>
      <c r="I16" s="3"/>
      <c r="J16" s="3"/>
      <c r="K16" s="3"/>
      <c r="L16" s="3"/>
      <c r="M16" s="3" t="e">
        <f t="shared" si="4"/>
        <v>#DIV/0!</v>
      </c>
      <c r="N16" s="3" t="e">
        <f t="shared" si="13"/>
        <v>#DIV/0!</v>
      </c>
      <c r="O16" s="3"/>
      <c r="P16" s="3">
        <f t="shared" si="14"/>
        <v>0</v>
      </c>
      <c r="Q16" s="3"/>
      <c r="R16" s="3">
        <f t="shared" si="16"/>
        <v>0</v>
      </c>
      <c r="S16" s="3"/>
      <c r="T16" s="3">
        <f t="shared" si="1"/>
        <v>0</v>
      </c>
      <c r="U16" s="3">
        <f t="shared" si="15"/>
        <v>0</v>
      </c>
      <c r="V16" s="3">
        <f t="shared" si="2"/>
        <v>0</v>
      </c>
      <c r="W16" s="3">
        <f t="shared" si="5"/>
        <v>0</v>
      </c>
      <c r="X16" s="3">
        <f t="shared" si="6"/>
        <v>0</v>
      </c>
      <c r="Y16" s="3">
        <f t="shared" si="7"/>
        <v>0</v>
      </c>
      <c r="Z16" s="3">
        <f t="shared" ref="Z16:Z79" si="18">AVERAGE(X3:X16)</f>
        <v>0</v>
      </c>
      <c r="AA16" s="3">
        <f t="shared" ref="AA16:AA79" si="19">AVERAGE(Y3:Y16)</f>
        <v>0</v>
      </c>
      <c r="AB16" s="3" t="e">
        <f t="shared" ref="AB16:AB79" si="20">100-(100/(1+(Z16/AA16)))</f>
        <v>#DIV/0!</v>
      </c>
      <c r="AC16" s="3" t="str">
        <f t="shared" ref="AC16:AC79" si="21">IF(
COUNT(AB3:AB16)&lt;14,
"",
IF(
MAX(AB3:AB16)=MIN(AB3:AB16),
0.5,
(AB16-MIN(AB3:AB16)) / (MAX(AB3:AB16)-MIN(AB3:AB16))
)
)</f>
        <v/>
      </c>
      <c r="AD16" s="3">
        <f t="shared" si="8"/>
        <v>0</v>
      </c>
      <c r="AE16" s="3">
        <f t="shared" si="3"/>
        <v>0</v>
      </c>
      <c r="AF16" s="3">
        <f t="shared" si="9"/>
        <v>0</v>
      </c>
      <c r="AG16" s="3" t="e">
        <f>AF16 / SUM(F$2:F16)</f>
        <v>#DIV/0!</v>
      </c>
      <c r="AH16" s="3" t="e">
        <f t="shared" si="10"/>
        <v>#DIV/0!</v>
      </c>
      <c r="AI16" s="3">
        <f t="shared" si="11"/>
        <v>0</v>
      </c>
      <c r="AJ16" s="3" t="e">
        <f t="shared" si="12"/>
        <v>#DIV/0!</v>
      </c>
      <c r="AK16" s="3"/>
    </row>
    <row r="17" spans="1:37" x14ac:dyDescent="0.3">
      <c r="A17" s="24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f t="shared" si="0"/>
        <v>0</v>
      </c>
      <c r="H17" s="3">
        <f t="shared" si="17"/>
        <v>0</v>
      </c>
      <c r="I17" s="3"/>
      <c r="J17" s="3"/>
      <c r="K17" s="3"/>
      <c r="L17" s="3"/>
      <c r="M17" s="3" t="e">
        <f t="shared" si="4"/>
        <v>#DIV/0!</v>
      </c>
      <c r="N17" s="3" t="e">
        <f t="shared" si="13"/>
        <v>#DIV/0!</v>
      </c>
      <c r="O17" s="3"/>
      <c r="P17" s="3">
        <f t="shared" si="14"/>
        <v>0</v>
      </c>
      <c r="Q17" s="3"/>
      <c r="R17" s="3">
        <f t="shared" si="16"/>
        <v>0</v>
      </c>
      <c r="S17" s="3"/>
      <c r="T17" s="3">
        <f t="shared" si="1"/>
        <v>0</v>
      </c>
      <c r="U17" s="3">
        <f t="shared" si="15"/>
        <v>0</v>
      </c>
      <c r="V17" s="3">
        <f t="shared" si="2"/>
        <v>0</v>
      </c>
      <c r="W17" s="3">
        <f t="shared" si="5"/>
        <v>0</v>
      </c>
      <c r="X17" s="3">
        <f t="shared" si="6"/>
        <v>0</v>
      </c>
      <c r="Y17" s="3">
        <f t="shared" si="7"/>
        <v>0</v>
      </c>
      <c r="Z17" s="3">
        <f t="shared" si="18"/>
        <v>0</v>
      </c>
      <c r="AA17" s="3">
        <f t="shared" si="19"/>
        <v>0</v>
      </c>
      <c r="AB17" s="3" t="e">
        <f t="shared" si="20"/>
        <v>#DIV/0!</v>
      </c>
      <c r="AC17" s="3" t="str">
        <f t="shared" si="21"/>
        <v/>
      </c>
      <c r="AD17" s="3">
        <f t="shared" si="8"/>
        <v>0</v>
      </c>
      <c r="AE17" s="3">
        <f t="shared" si="3"/>
        <v>0</v>
      </c>
      <c r="AF17" s="3">
        <f t="shared" si="9"/>
        <v>0</v>
      </c>
      <c r="AG17" s="3" t="e">
        <f>AF17 / SUM(F$2:F17)</f>
        <v>#DIV/0!</v>
      </c>
      <c r="AH17" s="3" t="e">
        <f t="shared" si="10"/>
        <v>#DIV/0!</v>
      </c>
      <c r="AI17" s="3">
        <f t="shared" si="11"/>
        <v>0</v>
      </c>
      <c r="AJ17" s="3" t="e">
        <f t="shared" si="12"/>
        <v>#DIV/0!</v>
      </c>
      <c r="AK17" s="3"/>
    </row>
    <row r="18" spans="1:37" x14ac:dyDescent="0.3">
      <c r="A18" s="24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f t="shared" si="0"/>
        <v>0</v>
      </c>
      <c r="H18" s="3">
        <f t="shared" si="17"/>
        <v>0</v>
      </c>
      <c r="I18" s="3"/>
      <c r="J18" s="3"/>
      <c r="K18" s="3"/>
      <c r="L18" s="3"/>
      <c r="M18" s="3" t="e">
        <f t="shared" si="4"/>
        <v>#DIV/0!</v>
      </c>
      <c r="N18" s="3" t="e">
        <f t="shared" si="13"/>
        <v>#DIV/0!</v>
      </c>
      <c r="O18" s="3"/>
      <c r="P18" s="3">
        <f t="shared" si="14"/>
        <v>0</v>
      </c>
      <c r="Q18" s="3"/>
      <c r="R18" s="3">
        <f t="shared" si="16"/>
        <v>0</v>
      </c>
      <c r="S18" s="3"/>
      <c r="T18" s="3">
        <f t="shared" si="1"/>
        <v>0</v>
      </c>
      <c r="U18" s="3">
        <f t="shared" si="15"/>
        <v>0</v>
      </c>
      <c r="V18" s="3">
        <f t="shared" si="2"/>
        <v>0</v>
      </c>
      <c r="W18" s="3">
        <f t="shared" si="5"/>
        <v>0</v>
      </c>
      <c r="X18" s="3">
        <f t="shared" si="6"/>
        <v>0</v>
      </c>
      <c r="Y18" s="3">
        <f t="shared" si="7"/>
        <v>0</v>
      </c>
      <c r="Z18" s="3">
        <f t="shared" si="18"/>
        <v>0</v>
      </c>
      <c r="AA18" s="3">
        <f t="shared" si="19"/>
        <v>0</v>
      </c>
      <c r="AB18" s="3" t="e">
        <f t="shared" si="20"/>
        <v>#DIV/0!</v>
      </c>
      <c r="AC18" s="3" t="str">
        <f t="shared" si="21"/>
        <v/>
      </c>
      <c r="AD18" s="3">
        <f t="shared" si="8"/>
        <v>0</v>
      </c>
      <c r="AE18" s="3">
        <f t="shared" si="3"/>
        <v>0</v>
      </c>
      <c r="AF18" s="3">
        <f t="shared" si="9"/>
        <v>0</v>
      </c>
      <c r="AG18" s="3" t="e">
        <f>AF18 / SUM(F$2:F18)</f>
        <v>#DIV/0!</v>
      </c>
      <c r="AH18" s="3" t="e">
        <f t="shared" si="10"/>
        <v>#DIV/0!</v>
      </c>
      <c r="AI18" s="3">
        <f t="shared" si="11"/>
        <v>0</v>
      </c>
      <c r="AJ18" s="3" t="e">
        <f t="shared" si="12"/>
        <v>#DIV/0!</v>
      </c>
      <c r="AK18" s="3"/>
    </row>
    <row r="19" spans="1:37" x14ac:dyDescent="0.3">
      <c r="A19" s="24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f t="shared" si="0"/>
        <v>0</v>
      </c>
      <c r="H19" s="3">
        <f t="shared" si="17"/>
        <v>0</v>
      </c>
      <c r="I19" s="3"/>
      <c r="J19" s="3"/>
      <c r="K19" s="3"/>
      <c r="L19" s="3"/>
      <c r="M19" s="3" t="e">
        <f t="shared" si="4"/>
        <v>#DIV/0!</v>
      </c>
      <c r="N19" s="3" t="e">
        <f t="shared" si="13"/>
        <v>#DIV/0!</v>
      </c>
      <c r="O19" s="3"/>
      <c r="P19" s="3">
        <f t="shared" si="14"/>
        <v>0</v>
      </c>
      <c r="Q19" s="3"/>
      <c r="R19" s="3">
        <f t="shared" si="16"/>
        <v>0</v>
      </c>
      <c r="S19" s="3"/>
      <c r="T19" s="3">
        <f t="shared" si="1"/>
        <v>0</v>
      </c>
      <c r="U19" s="3">
        <f t="shared" si="15"/>
        <v>0</v>
      </c>
      <c r="V19" s="3">
        <f t="shared" si="2"/>
        <v>0</v>
      </c>
      <c r="W19" s="3">
        <f t="shared" si="5"/>
        <v>0</v>
      </c>
      <c r="X19" s="3">
        <f t="shared" si="6"/>
        <v>0</v>
      </c>
      <c r="Y19" s="3">
        <f t="shared" si="7"/>
        <v>0</v>
      </c>
      <c r="Z19" s="3">
        <f t="shared" si="18"/>
        <v>0</v>
      </c>
      <c r="AA19" s="3">
        <f t="shared" si="19"/>
        <v>0</v>
      </c>
      <c r="AB19" s="3" t="e">
        <f t="shared" si="20"/>
        <v>#DIV/0!</v>
      </c>
      <c r="AC19" s="3" t="str">
        <f t="shared" si="21"/>
        <v/>
      </c>
      <c r="AD19" s="3">
        <f t="shared" si="8"/>
        <v>0</v>
      </c>
      <c r="AE19" s="3">
        <f t="shared" si="3"/>
        <v>0</v>
      </c>
      <c r="AF19" s="3">
        <f t="shared" si="9"/>
        <v>0</v>
      </c>
      <c r="AG19" s="3" t="e">
        <f>AF19 / SUM(F$2:F19)</f>
        <v>#DIV/0!</v>
      </c>
      <c r="AH19" s="3" t="e">
        <f t="shared" si="10"/>
        <v>#DIV/0!</v>
      </c>
      <c r="AI19" s="3">
        <f t="shared" si="11"/>
        <v>0</v>
      </c>
      <c r="AJ19" s="3" t="e">
        <f t="shared" si="12"/>
        <v>#DIV/0!</v>
      </c>
      <c r="AK19" s="3"/>
    </row>
    <row r="20" spans="1:37" x14ac:dyDescent="0.3">
      <c r="A20" s="24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f t="shared" si="0"/>
        <v>0</v>
      </c>
      <c r="H20" s="3">
        <f t="shared" si="17"/>
        <v>0</v>
      </c>
      <c r="I20" s="3"/>
      <c r="J20" s="3"/>
      <c r="K20" s="3"/>
      <c r="L20" s="3"/>
      <c r="M20" s="3" t="e">
        <f t="shared" si="4"/>
        <v>#DIV/0!</v>
      </c>
      <c r="N20" s="3" t="e">
        <f t="shared" si="13"/>
        <v>#DIV/0!</v>
      </c>
      <c r="O20" s="3"/>
      <c r="P20" s="3">
        <f t="shared" si="14"/>
        <v>0</v>
      </c>
      <c r="Q20" s="3"/>
      <c r="R20" s="3">
        <f t="shared" si="16"/>
        <v>0</v>
      </c>
      <c r="S20" s="3"/>
      <c r="T20" s="3">
        <f t="shared" si="1"/>
        <v>0</v>
      </c>
      <c r="U20" s="3">
        <f t="shared" si="15"/>
        <v>0</v>
      </c>
      <c r="V20" s="3">
        <f t="shared" si="2"/>
        <v>0</v>
      </c>
      <c r="W20" s="3">
        <f t="shared" si="5"/>
        <v>0</v>
      </c>
      <c r="X20" s="3">
        <f t="shared" si="6"/>
        <v>0</v>
      </c>
      <c r="Y20" s="3">
        <f t="shared" si="7"/>
        <v>0</v>
      </c>
      <c r="Z20" s="3">
        <f t="shared" si="18"/>
        <v>0</v>
      </c>
      <c r="AA20" s="3">
        <f t="shared" si="19"/>
        <v>0</v>
      </c>
      <c r="AB20" s="3" t="e">
        <f t="shared" si="20"/>
        <v>#DIV/0!</v>
      </c>
      <c r="AC20" s="3" t="str">
        <f t="shared" si="21"/>
        <v/>
      </c>
      <c r="AD20" s="3">
        <f t="shared" si="8"/>
        <v>0</v>
      </c>
      <c r="AE20" s="3">
        <f t="shared" si="3"/>
        <v>0</v>
      </c>
      <c r="AF20" s="3">
        <f t="shared" si="9"/>
        <v>0</v>
      </c>
      <c r="AG20" s="3" t="e">
        <f>AF20 / SUM(F$2:F20)</f>
        <v>#DIV/0!</v>
      </c>
      <c r="AH20" s="3" t="e">
        <f t="shared" si="10"/>
        <v>#DIV/0!</v>
      </c>
      <c r="AI20" s="3">
        <f t="shared" si="11"/>
        <v>0</v>
      </c>
      <c r="AJ20" s="3" t="e">
        <f t="shared" si="12"/>
        <v>#DIV/0!</v>
      </c>
      <c r="AK20" s="3"/>
    </row>
    <row r="21" spans="1:37" x14ac:dyDescent="0.3">
      <c r="A21" s="24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f t="shared" si="0"/>
        <v>0</v>
      </c>
      <c r="H21" s="3">
        <f t="shared" si="17"/>
        <v>0</v>
      </c>
      <c r="I21" s="3">
        <f>AVERAGE(E2:E21)</f>
        <v>0</v>
      </c>
      <c r="J21" s="3">
        <f>_xlfn.STDEV.S(E2:E21)</f>
        <v>0</v>
      </c>
      <c r="K21" s="3">
        <f>I21 + 2*J21</f>
        <v>0</v>
      </c>
      <c r="L21" s="3">
        <f>I21 - 2*J21</f>
        <v>0</v>
      </c>
      <c r="M21" s="3" t="e">
        <f t="shared" si="4"/>
        <v>#DIV/0!</v>
      </c>
      <c r="N21" s="3" t="e">
        <f t="shared" si="13"/>
        <v>#DIV/0!</v>
      </c>
      <c r="O21" s="3" t="e">
        <f>_xlfn.STDEV.S(M2:M21)*SQRT(20)</f>
        <v>#DIV/0!</v>
      </c>
      <c r="P21" s="3">
        <f t="shared" si="14"/>
        <v>0</v>
      </c>
      <c r="Q21" s="3"/>
      <c r="R21" s="3">
        <f t="shared" si="16"/>
        <v>0</v>
      </c>
      <c r="S21" s="3"/>
      <c r="T21" s="3">
        <f t="shared" si="1"/>
        <v>0</v>
      </c>
      <c r="U21" s="3">
        <f t="shared" si="15"/>
        <v>0</v>
      </c>
      <c r="V21" s="3">
        <f t="shared" si="2"/>
        <v>0</v>
      </c>
      <c r="W21" s="3">
        <f t="shared" si="5"/>
        <v>0</v>
      </c>
      <c r="X21" s="3">
        <f t="shared" si="6"/>
        <v>0</v>
      </c>
      <c r="Y21" s="3">
        <f t="shared" si="7"/>
        <v>0</v>
      </c>
      <c r="Z21" s="3">
        <f t="shared" si="18"/>
        <v>0</v>
      </c>
      <c r="AA21" s="3">
        <f t="shared" si="19"/>
        <v>0</v>
      </c>
      <c r="AB21" s="3" t="e">
        <f t="shared" si="20"/>
        <v>#DIV/0!</v>
      </c>
      <c r="AC21" s="3" t="str">
        <f t="shared" si="21"/>
        <v/>
      </c>
      <c r="AD21" s="3">
        <f t="shared" si="8"/>
        <v>0</v>
      </c>
      <c r="AE21" s="3">
        <f t="shared" si="3"/>
        <v>0</v>
      </c>
      <c r="AF21" s="3">
        <f t="shared" si="9"/>
        <v>0</v>
      </c>
      <c r="AG21" s="3" t="e">
        <f>AF21 / SUM(F$2:F21)</f>
        <v>#DIV/0!</v>
      </c>
      <c r="AH21" s="3" t="e">
        <f t="shared" si="10"/>
        <v>#DIV/0!</v>
      </c>
      <c r="AI21" s="3">
        <f t="shared" si="11"/>
        <v>0</v>
      </c>
      <c r="AJ21" s="3" t="e">
        <f t="shared" si="12"/>
        <v>#DIV/0!</v>
      </c>
      <c r="AK21" s="3" t="e">
        <f>F2 / AVERAGE(F2:F21)</f>
        <v>#DIV/0!</v>
      </c>
    </row>
    <row r="22" spans="1:37" x14ac:dyDescent="0.3">
      <c r="A22" s="24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f t="shared" si="0"/>
        <v>0</v>
      </c>
      <c r="H22" s="3">
        <f t="shared" si="17"/>
        <v>0</v>
      </c>
      <c r="I22" s="3">
        <f t="shared" ref="I22:I85" si="22">AVERAGE(E3:E22)</f>
        <v>0</v>
      </c>
      <c r="J22" s="3">
        <f t="shared" ref="J22:J85" si="23">_xlfn.STDEV.S(E3:E22)</f>
        <v>0</v>
      </c>
      <c r="K22" s="3">
        <f t="shared" ref="K22:K85" si="24">I22 + 2*J22</f>
        <v>0</v>
      </c>
      <c r="L22" s="3">
        <f t="shared" ref="L22:L85" si="25">I22 - 2*J22</f>
        <v>0</v>
      </c>
      <c r="M22" s="3" t="e">
        <f t="shared" si="4"/>
        <v>#DIV/0!</v>
      </c>
      <c r="N22" s="3" t="e">
        <f t="shared" si="13"/>
        <v>#DIV/0!</v>
      </c>
      <c r="O22" s="3" t="e">
        <f t="shared" ref="O22:O85" si="26">_xlfn.STDEV.S(M3:M22)*SQRT(20)</f>
        <v>#DIV/0!</v>
      </c>
      <c r="P22" s="3">
        <f t="shared" si="14"/>
        <v>0</v>
      </c>
      <c r="Q22" s="3">
        <f>AVERAGE(E2:E22)</f>
        <v>0</v>
      </c>
      <c r="R22" s="3">
        <f t="shared" si="16"/>
        <v>0</v>
      </c>
      <c r="S22" s="3"/>
      <c r="T22" s="3">
        <f t="shared" si="1"/>
        <v>0</v>
      </c>
      <c r="U22" s="3">
        <f t="shared" si="15"/>
        <v>0</v>
      </c>
      <c r="V22" s="3">
        <f t="shared" si="2"/>
        <v>0</v>
      </c>
      <c r="W22" s="3">
        <f t="shared" si="5"/>
        <v>0</v>
      </c>
      <c r="X22" s="3">
        <f t="shared" si="6"/>
        <v>0</v>
      </c>
      <c r="Y22" s="3">
        <f t="shared" si="7"/>
        <v>0</v>
      </c>
      <c r="Z22" s="3">
        <f t="shared" si="18"/>
        <v>0</v>
      </c>
      <c r="AA22" s="3">
        <f t="shared" si="19"/>
        <v>0</v>
      </c>
      <c r="AB22" s="3" t="e">
        <f t="shared" si="20"/>
        <v>#DIV/0!</v>
      </c>
      <c r="AC22" s="3" t="str">
        <f t="shared" si="21"/>
        <v/>
      </c>
      <c r="AD22" s="3">
        <f t="shared" si="8"/>
        <v>0</v>
      </c>
      <c r="AE22" s="3">
        <f t="shared" si="3"/>
        <v>0</v>
      </c>
      <c r="AF22" s="3">
        <f t="shared" si="9"/>
        <v>0</v>
      </c>
      <c r="AG22" s="3" t="e">
        <f>AF22 / SUM(F$2:F22)</f>
        <v>#DIV/0!</v>
      </c>
      <c r="AH22" s="3" t="e">
        <f t="shared" si="10"/>
        <v>#DIV/0!</v>
      </c>
      <c r="AI22" s="3">
        <f t="shared" si="11"/>
        <v>0</v>
      </c>
      <c r="AJ22" s="3" t="e">
        <f t="shared" si="12"/>
        <v>#DIV/0!</v>
      </c>
      <c r="AK22" s="3" t="e">
        <f t="shared" ref="AK22:AK85" si="27">F3 / AVERAGE(F3:F22)</f>
        <v>#DIV/0!</v>
      </c>
    </row>
    <row r="23" spans="1:37" x14ac:dyDescent="0.3">
      <c r="A23" s="24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f t="shared" si="0"/>
        <v>0</v>
      </c>
      <c r="H23" s="3">
        <f t="shared" si="17"/>
        <v>0</v>
      </c>
      <c r="I23" s="3">
        <f t="shared" si="22"/>
        <v>0</v>
      </c>
      <c r="J23" s="3">
        <f t="shared" si="23"/>
        <v>0</v>
      </c>
      <c r="K23" s="3">
        <f t="shared" si="24"/>
        <v>0</v>
      </c>
      <c r="L23" s="3">
        <f t="shared" si="25"/>
        <v>0</v>
      </c>
      <c r="M23" s="3" t="e">
        <f t="shared" si="4"/>
        <v>#DIV/0!</v>
      </c>
      <c r="N23" s="3" t="e">
        <f t="shared" si="13"/>
        <v>#DIV/0!</v>
      </c>
      <c r="O23" s="3" t="e">
        <f t="shared" si="26"/>
        <v>#DIV/0!</v>
      </c>
      <c r="P23" s="3">
        <f t="shared" si="14"/>
        <v>0</v>
      </c>
      <c r="Q23" s="3">
        <f>E23*(2/(21+1)) + Q22*(1-(2/(21+1)))</f>
        <v>0</v>
      </c>
      <c r="R23" s="3">
        <f t="shared" si="16"/>
        <v>0</v>
      </c>
      <c r="S23" s="3"/>
      <c r="T23" s="3">
        <f t="shared" si="1"/>
        <v>0</v>
      </c>
      <c r="U23" s="3">
        <f t="shared" si="15"/>
        <v>0</v>
      </c>
      <c r="V23" s="3">
        <f t="shared" si="2"/>
        <v>0</v>
      </c>
      <c r="W23" s="3">
        <f t="shared" si="5"/>
        <v>0</v>
      </c>
      <c r="X23" s="3">
        <f t="shared" si="6"/>
        <v>0</v>
      </c>
      <c r="Y23" s="3">
        <f t="shared" si="7"/>
        <v>0</v>
      </c>
      <c r="Z23" s="3">
        <f t="shared" si="18"/>
        <v>0</v>
      </c>
      <c r="AA23" s="3">
        <f t="shared" si="19"/>
        <v>0</v>
      </c>
      <c r="AB23" s="3" t="e">
        <f t="shared" si="20"/>
        <v>#DIV/0!</v>
      </c>
      <c r="AC23" s="3" t="str">
        <f t="shared" si="21"/>
        <v/>
      </c>
      <c r="AD23" s="3">
        <f t="shared" si="8"/>
        <v>0</v>
      </c>
      <c r="AE23" s="3">
        <f t="shared" si="3"/>
        <v>0</v>
      </c>
      <c r="AF23" s="3">
        <f t="shared" si="9"/>
        <v>0</v>
      </c>
      <c r="AG23" s="3" t="e">
        <f>AF23 / SUM(F$2:F23)</f>
        <v>#DIV/0!</v>
      </c>
      <c r="AH23" s="3" t="e">
        <f t="shared" si="10"/>
        <v>#DIV/0!</v>
      </c>
      <c r="AI23" s="3">
        <f t="shared" si="11"/>
        <v>0</v>
      </c>
      <c r="AJ23" s="3" t="e">
        <f t="shared" si="12"/>
        <v>#DIV/0!</v>
      </c>
      <c r="AK23" s="3" t="e">
        <f t="shared" si="27"/>
        <v>#DIV/0!</v>
      </c>
    </row>
    <row r="24" spans="1:37" x14ac:dyDescent="0.3">
      <c r="A24" s="24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f t="shared" si="0"/>
        <v>0</v>
      </c>
      <c r="H24" s="3">
        <f t="shared" si="17"/>
        <v>0</v>
      </c>
      <c r="I24" s="3">
        <f t="shared" si="22"/>
        <v>0</v>
      </c>
      <c r="J24" s="3">
        <f t="shared" si="23"/>
        <v>0</v>
      </c>
      <c r="K24" s="3">
        <f t="shared" si="24"/>
        <v>0</v>
      </c>
      <c r="L24" s="3">
        <f t="shared" si="25"/>
        <v>0</v>
      </c>
      <c r="M24" s="3" t="e">
        <f t="shared" si="4"/>
        <v>#DIV/0!</v>
      </c>
      <c r="N24" s="3" t="e">
        <f t="shared" si="13"/>
        <v>#DIV/0!</v>
      </c>
      <c r="O24" s="3" t="e">
        <f t="shared" si="26"/>
        <v>#DIV/0!</v>
      </c>
      <c r="P24" s="3">
        <f t="shared" si="14"/>
        <v>0</v>
      </c>
      <c r="Q24" s="3">
        <f t="shared" ref="Q24:Q87" si="28">E24*(2/(21+1)) + Q23*(1-(2/(21+1)))</f>
        <v>0</v>
      </c>
      <c r="R24" s="3">
        <f t="shared" si="16"/>
        <v>0</v>
      </c>
      <c r="S24" s="3"/>
      <c r="T24" s="3">
        <f t="shared" si="1"/>
        <v>0</v>
      </c>
      <c r="U24" s="3">
        <f t="shared" si="15"/>
        <v>0</v>
      </c>
      <c r="V24" s="3">
        <f t="shared" si="2"/>
        <v>0</v>
      </c>
      <c r="W24" s="3">
        <f t="shared" si="5"/>
        <v>0</v>
      </c>
      <c r="X24" s="3">
        <f t="shared" si="6"/>
        <v>0</v>
      </c>
      <c r="Y24" s="3">
        <f t="shared" si="7"/>
        <v>0</v>
      </c>
      <c r="Z24" s="3">
        <f t="shared" si="18"/>
        <v>0</v>
      </c>
      <c r="AA24" s="3">
        <f t="shared" si="19"/>
        <v>0</v>
      </c>
      <c r="AB24" s="3" t="e">
        <f t="shared" si="20"/>
        <v>#DIV/0!</v>
      </c>
      <c r="AC24" s="3" t="str">
        <f t="shared" si="21"/>
        <v/>
      </c>
      <c r="AD24" s="3">
        <f t="shared" si="8"/>
        <v>0</v>
      </c>
      <c r="AE24" s="3">
        <f t="shared" si="3"/>
        <v>0</v>
      </c>
      <c r="AF24" s="3">
        <f t="shared" si="9"/>
        <v>0</v>
      </c>
      <c r="AG24" s="3" t="e">
        <f>AF24 / SUM(F$2:F24)</f>
        <v>#DIV/0!</v>
      </c>
      <c r="AH24" s="3" t="e">
        <f t="shared" si="10"/>
        <v>#DIV/0!</v>
      </c>
      <c r="AI24" s="3">
        <f t="shared" si="11"/>
        <v>0</v>
      </c>
      <c r="AJ24" s="3" t="e">
        <f t="shared" si="12"/>
        <v>#DIV/0!</v>
      </c>
      <c r="AK24" s="3" t="e">
        <f t="shared" si="27"/>
        <v>#DIV/0!</v>
      </c>
    </row>
    <row r="25" spans="1:37" x14ac:dyDescent="0.3">
      <c r="A25" s="24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f t="shared" si="0"/>
        <v>0</v>
      </c>
      <c r="H25" s="3">
        <f t="shared" si="17"/>
        <v>0</v>
      </c>
      <c r="I25" s="3">
        <f t="shared" si="22"/>
        <v>0</v>
      </c>
      <c r="J25" s="3">
        <f t="shared" si="23"/>
        <v>0</v>
      </c>
      <c r="K25" s="3">
        <f t="shared" si="24"/>
        <v>0</v>
      </c>
      <c r="L25" s="3">
        <f t="shared" si="25"/>
        <v>0</v>
      </c>
      <c r="M25" s="3" t="e">
        <f t="shared" si="4"/>
        <v>#DIV/0!</v>
      </c>
      <c r="N25" s="3" t="e">
        <f t="shared" si="13"/>
        <v>#DIV/0!</v>
      </c>
      <c r="O25" s="3" t="e">
        <f t="shared" si="26"/>
        <v>#DIV/0!</v>
      </c>
      <c r="P25" s="3">
        <f t="shared" si="14"/>
        <v>0</v>
      </c>
      <c r="Q25" s="3">
        <f t="shared" si="28"/>
        <v>0</v>
      </c>
      <c r="R25" s="3">
        <f t="shared" si="16"/>
        <v>0</v>
      </c>
      <c r="S25" s="3"/>
      <c r="T25" s="3">
        <f t="shared" si="1"/>
        <v>0</v>
      </c>
      <c r="U25" s="3">
        <f t="shared" si="15"/>
        <v>0</v>
      </c>
      <c r="V25" s="3">
        <f t="shared" si="2"/>
        <v>0</v>
      </c>
      <c r="W25" s="3">
        <f t="shared" si="5"/>
        <v>0</v>
      </c>
      <c r="X25" s="3">
        <f t="shared" si="6"/>
        <v>0</v>
      </c>
      <c r="Y25" s="3">
        <f t="shared" si="7"/>
        <v>0</v>
      </c>
      <c r="Z25" s="3">
        <f t="shared" si="18"/>
        <v>0</v>
      </c>
      <c r="AA25" s="3">
        <f t="shared" si="19"/>
        <v>0</v>
      </c>
      <c r="AB25" s="3" t="e">
        <f t="shared" si="20"/>
        <v>#DIV/0!</v>
      </c>
      <c r="AC25" s="3" t="str">
        <f t="shared" si="21"/>
        <v/>
      </c>
      <c r="AD25" s="3">
        <f t="shared" si="8"/>
        <v>0</v>
      </c>
      <c r="AE25" s="3">
        <f t="shared" si="3"/>
        <v>0</v>
      </c>
      <c r="AF25" s="3">
        <f t="shared" si="9"/>
        <v>0</v>
      </c>
      <c r="AG25" s="3" t="e">
        <f>AF25 / SUM(F$2:F25)</f>
        <v>#DIV/0!</v>
      </c>
      <c r="AH25" s="3" t="e">
        <f t="shared" si="10"/>
        <v>#DIV/0!</v>
      </c>
      <c r="AI25" s="3">
        <f t="shared" si="11"/>
        <v>0</v>
      </c>
      <c r="AJ25" s="3" t="e">
        <f t="shared" si="12"/>
        <v>#DIV/0!</v>
      </c>
      <c r="AK25" s="3" t="e">
        <f t="shared" si="27"/>
        <v>#DIV/0!</v>
      </c>
    </row>
    <row r="26" spans="1:37" x14ac:dyDescent="0.3">
      <c r="A26" s="24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f t="shared" si="0"/>
        <v>0</v>
      </c>
      <c r="H26" s="3">
        <f t="shared" si="17"/>
        <v>0</v>
      </c>
      <c r="I26" s="3">
        <f t="shared" si="22"/>
        <v>0</v>
      </c>
      <c r="J26" s="3">
        <f t="shared" si="23"/>
        <v>0</v>
      </c>
      <c r="K26" s="3">
        <f t="shared" si="24"/>
        <v>0</v>
      </c>
      <c r="L26" s="3">
        <f t="shared" si="25"/>
        <v>0</v>
      </c>
      <c r="M26" s="3" t="e">
        <f t="shared" si="4"/>
        <v>#DIV/0!</v>
      </c>
      <c r="N26" s="3" t="e">
        <f t="shared" si="13"/>
        <v>#DIV/0!</v>
      </c>
      <c r="O26" s="3" t="e">
        <f t="shared" si="26"/>
        <v>#DIV/0!</v>
      </c>
      <c r="P26" s="3">
        <f t="shared" si="14"/>
        <v>0</v>
      </c>
      <c r="Q26" s="3">
        <f t="shared" si="28"/>
        <v>0</v>
      </c>
      <c r="R26" s="3">
        <f t="shared" si="16"/>
        <v>0</v>
      </c>
      <c r="S26" s="3"/>
      <c r="T26" s="3">
        <f t="shared" si="1"/>
        <v>0</v>
      </c>
      <c r="U26" s="3">
        <f t="shared" si="15"/>
        <v>0</v>
      </c>
      <c r="V26" s="3">
        <f t="shared" si="2"/>
        <v>0</v>
      </c>
      <c r="W26" s="3">
        <f t="shared" si="5"/>
        <v>0</v>
      </c>
      <c r="X26" s="3">
        <f t="shared" si="6"/>
        <v>0</v>
      </c>
      <c r="Y26" s="3">
        <f t="shared" si="7"/>
        <v>0</v>
      </c>
      <c r="Z26" s="3">
        <f t="shared" si="18"/>
        <v>0</v>
      </c>
      <c r="AA26" s="3">
        <f t="shared" si="19"/>
        <v>0</v>
      </c>
      <c r="AB26" s="3" t="e">
        <f t="shared" si="20"/>
        <v>#DIV/0!</v>
      </c>
      <c r="AC26" s="3" t="str">
        <f t="shared" si="21"/>
        <v/>
      </c>
      <c r="AD26" s="3">
        <f t="shared" si="8"/>
        <v>0</v>
      </c>
      <c r="AE26" s="3">
        <f t="shared" si="3"/>
        <v>0</v>
      </c>
      <c r="AF26" s="3">
        <f t="shared" si="9"/>
        <v>0</v>
      </c>
      <c r="AG26" s="3" t="e">
        <f>AF26 / SUM(F$2:F26)</f>
        <v>#DIV/0!</v>
      </c>
      <c r="AH26" s="3" t="e">
        <f t="shared" si="10"/>
        <v>#DIV/0!</v>
      </c>
      <c r="AI26" s="3">
        <f t="shared" si="11"/>
        <v>0</v>
      </c>
      <c r="AJ26" s="3" t="e">
        <f t="shared" si="12"/>
        <v>#DIV/0!</v>
      </c>
      <c r="AK26" s="3" t="e">
        <f t="shared" si="27"/>
        <v>#DIV/0!</v>
      </c>
    </row>
    <row r="27" spans="1:37" x14ac:dyDescent="0.3">
      <c r="A27" s="24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f t="shared" si="0"/>
        <v>0</v>
      </c>
      <c r="H27" s="3">
        <f t="shared" si="17"/>
        <v>0</v>
      </c>
      <c r="I27" s="3">
        <f t="shared" si="22"/>
        <v>0</v>
      </c>
      <c r="J27" s="3">
        <f t="shared" si="23"/>
        <v>0</v>
      </c>
      <c r="K27" s="3">
        <f t="shared" si="24"/>
        <v>0</v>
      </c>
      <c r="L27" s="3">
        <f t="shared" si="25"/>
        <v>0</v>
      </c>
      <c r="M27" s="3" t="e">
        <f t="shared" si="4"/>
        <v>#DIV/0!</v>
      </c>
      <c r="N27" s="3" t="e">
        <f t="shared" si="13"/>
        <v>#DIV/0!</v>
      </c>
      <c r="O27" s="3" t="e">
        <f t="shared" si="26"/>
        <v>#DIV/0!</v>
      </c>
      <c r="P27" s="3">
        <f t="shared" si="14"/>
        <v>0</v>
      </c>
      <c r="Q27" s="3">
        <f t="shared" si="28"/>
        <v>0</v>
      </c>
      <c r="R27" s="3">
        <f t="shared" si="16"/>
        <v>0</v>
      </c>
      <c r="S27" s="3">
        <f>AVERAGE(E2:E27)</f>
        <v>0</v>
      </c>
      <c r="T27" s="3">
        <f t="shared" si="1"/>
        <v>0</v>
      </c>
      <c r="U27" s="3">
        <f t="shared" si="15"/>
        <v>0</v>
      </c>
      <c r="V27" s="3">
        <f t="shared" si="2"/>
        <v>0</v>
      </c>
      <c r="W27" s="3">
        <f t="shared" si="5"/>
        <v>0</v>
      </c>
      <c r="X27" s="3">
        <f t="shared" si="6"/>
        <v>0</v>
      </c>
      <c r="Y27" s="3">
        <f t="shared" si="7"/>
        <v>0</v>
      </c>
      <c r="Z27" s="3">
        <f t="shared" si="18"/>
        <v>0</v>
      </c>
      <c r="AA27" s="3">
        <f t="shared" si="19"/>
        <v>0</v>
      </c>
      <c r="AB27" s="3" t="e">
        <f t="shared" si="20"/>
        <v>#DIV/0!</v>
      </c>
      <c r="AC27" s="3" t="str">
        <f t="shared" si="21"/>
        <v/>
      </c>
      <c r="AD27" s="3">
        <f t="shared" si="8"/>
        <v>0</v>
      </c>
      <c r="AE27" s="3">
        <f t="shared" si="3"/>
        <v>0</v>
      </c>
      <c r="AF27" s="3">
        <f t="shared" si="9"/>
        <v>0</v>
      </c>
      <c r="AG27" s="3" t="e">
        <f>AF27 / SUM(F$2:F27)</f>
        <v>#DIV/0!</v>
      </c>
      <c r="AH27" s="3" t="e">
        <f t="shared" si="10"/>
        <v>#DIV/0!</v>
      </c>
      <c r="AI27" s="3">
        <f t="shared" si="11"/>
        <v>0</v>
      </c>
      <c r="AJ27" s="3" t="e">
        <f t="shared" si="12"/>
        <v>#DIV/0!</v>
      </c>
      <c r="AK27" s="3" t="e">
        <f t="shared" si="27"/>
        <v>#DIV/0!</v>
      </c>
    </row>
    <row r="28" spans="1:37" x14ac:dyDescent="0.3">
      <c r="A28" s="24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f t="shared" si="0"/>
        <v>0</v>
      </c>
      <c r="H28" s="3">
        <f t="shared" si="17"/>
        <v>0</v>
      </c>
      <c r="I28" s="3">
        <f t="shared" si="22"/>
        <v>0</v>
      </c>
      <c r="J28" s="3">
        <f t="shared" si="23"/>
        <v>0</v>
      </c>
      <c r="K28" s="3">
        <f t="shared" si="24"/>
        <v>0</v>
      </c>
      <c r="L28" s="3">
        <f t="shared" si="25"/>
        <v>0</v>
      </c>
      <c r="M28" s="3" t="e">
        <f t="shared" si="4"/>
        <v>#DIV/0!</v>
      </c>
      <c r="N28" s="3" t="e">
        <f t="shared" si="13"/>
        <v>#DIV/0!</v>
      </c>
      <c r="O28" s="3" t="e">
        <f t="shared" si="26"/>
        <v>#DIV/0!</v>
      </c>
      <c r="P28" s="3">
        <f t="shared" si="14"/>
        <v>0</v>
      </c>
      <c r="Q28" s="3">
        <f t="shared" si="28"/>
        <v>0</v>
      </c>
      <c r="R28" s="3">
        <f t="shared" si="16"/>
        <v>0</v>
      </c>
      <c r="S28" s="3">
        <f>E28*(2/(26+1)) + S27*(1-(2/(26+1)))</f>
        <v>0</v>
      </c>
      <c r="T28" s="3">
        <f t="shared" si="1"/>
        <v>0</v>
      </c>
      <c r="U28" s="3">
        <f t="shared" si="15"/>
        <v>0</v>
      </c>
      <c r="V28" s="3">
        <f t="shared" si="2"/>
        <v>0</v>
      </c>
      <c r="W28" s="3">
        <f t="shared" si="5"/>
        <v>0</v>
      </c>
      <c r="X28" s="3">
        <f t="shared" si="6"/>
        <v>0</v>
      </c>
      <c r="Y28" s="3">
        <f t="shared" si="7"/>
        <v>0</v>
      </c>
      <c r="Z28" s="3">
        <f t="shared" si="18"/>
        <v>0</v>
      </c>
      <c r="AA28" s="3">
        <f t="shared" si="19"/>
        <v>0</v>
      </c>
      <c r="AB28" s="3" t="e">
        <f t="shared" si="20"/>
        <v>#DIV/0!</v>
      </c>
      <c r="AC28" s="3" t="str">
        <f t="shared" si="21"/>
        <v/>
      </c>
      <c r="AD28" s="3">
        <f t="shared" si="8"/>
        <v>0</v>
      </c>
      <c r="AE28" s="3">
        <f t="shared" si="3"/>
        <v>0</v>
      </c>
      <c r="AF28" s="3">
        <f t="shared" si="9"/>
        <v>0</v>
      </c>
      <c r="AG28" s="3" t="e">
        <f>AF28 / SUM(F$2:F28)</f>
        <v>#DIV/0!</v>
      </c>
      <c r="AH28" s="3" t="e">
        <f t="shared" si="10"/>
        <v>#DIV/0!</v>
      </c>
      <c r="AI28" s="3">
        <f t="shared" si="11"/>
        <v>0</v>
      </c>
      <c r="AJ28" s="3" t="e">
        <f t="shared" si="12"/>
        <v>#DIV/0!</v>
      </c>
      <c r="AK28" s="3" t="e">
        <f t="shared" si="27"/>
        <v>#DIV/0!</v>
      </c>
    </row>
    <row r="29" spans="1:37" x14ac:dyDescent="0.3">
      <c r="A29" s="24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f t="shared" si="0"/>
        <v>0</v>
      </c>
      <c r="H29" s="3">
        <f t="shared" si="17"/>
        <v>0</v>
      </c>
      <c r="I29" s="3">
        <f t="shared" si="22"/>
        <v>0</v>
      </c>
      <c r="J29" s="3">
        <f t="shared" si="23"/>
        <v>0</v>
      </c>
      <c r="K29" s="3">
        <f t="shared" si="24"/>
        <v>0</v>
      </c>
      <c r="L29" s="3">
        <f t="shared" si="25"/>
        <v>0</v>
      </c>
      <c r="M29" s="3" t="e">
        <f t="shared" si="4"/>
        <v>#DIV/0!</v>
      </c>
      <c r="N29" s="3" t="e">
        <f t="shared" si="13"/>
        <v>#DIV/0!</v>
      </c>
      <c r="O29" s="3" t="e">
        <f t="shared" si="26"/>
        <v>#DIV/0!</v>
      </c>
      <c r="P29" s="3">
        <f t="shared" si="14"/>
        <v>0</v>
      </c>
      <c r="Q29" s="3">
        <f t="shared" si="28"/>
        <v>0</v>
      </c>
      <c r="R29" s="3">
        <f t="shared" si="16"/>
        <v>0</v>
      </c>
      <c r="S29" s="3">
        <f t="shared" ref="S29:S92" si="29">E29*(2/(26+1)) + S28*(1-(2/(26+1)))</f>
        <v>0</v>
      </c>
      <c r="T29" s="3">
        <f t="shared" si="1"/>
        <v>0</v>
      </c>
      <c r="U29" s="3">
        <f t="shared" si="15"/>
        <v>0</v>
      </c>
      <c r="V29" s="3">
        <f t="shared" si="2"/>
        <v>0</v>
      </c>
      <c r="W29" s="3">
        <f t="shared" si="5"/>
        <v>0</v>
      </c>
      <c r="X29" s="3">
        <f t="shared" si="6"/>
        <v>0</v>
      </c>
      <c r="Y29" s="3">
        <f t="shared" si="7"/>
        <v>0</v>
      </c>
      <c r="Z29" s="3">
        <f t="shared" si="18"/>
        <v>0</v>
      </c>
      <c r="AA29" s="3">
        <f t="shared" si="19"/>
        <v>0</v>
      </c>
      <c r="AB29" s="3" t="e">
        <f t="shared" si="20"/>
        <v>#DIV/0!</v>
      </c>
      <c r="AC29" s="3" t="str">
        <f t="shared" si="21"/>
        <v/>
      </c>
      <c r="AD29" s="3">
        <f t="shared" si="8"/>
        <v>0</v>
      </c>
      <c r="AE29" s="3">
        <f t="shared" si="3"/>
        <v>0</v>
      </c>
      <c r="AF29" s="3">
        <f t="shared" si="9"/>
        <v>0</v>
      </c>
      <c r="AG29" s="3" t="e">
        <f>AF29 / SUM(F$2:F29)</f>
        <v>#DIV/0!</v>
      </c>
      <c r="AH29" s="3" t="e">
        <f t="shared" si="10"/>
        <v>#DIV/0!</v>
      </c>
      <c r="AI29" s="3">
        <f t="shared" si="11"/>
        <v>0</v>
      </c>
      <c r="AJ29" s="3" t="e">
        <f t="shared" si="12"/>
        <v>#DIV/0!</v>
      </c>
      <c r="AK29" s="3" t="e">
        <f t="shared" si="27"/>
        <v>#DIV/0!</v>
      </c>
    </row>
    <row r="30" spans="1:37" x14ac:dyDescent="0.3">
      <c r="A30" s="24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f t="shared" si="0"/>
        <v>0</v>
      </c>
      <c r="H30" s="3">
        <f t="shared" si="17"/>
        <v>0</v>
      </c>
      <c r="I30" s="3">
        <f t="shared" si="22"/>
        <v>0</v>
      </c>
      <c r="J30" s="3">
        <f t="shared" si="23"/>
        <v>0</v>
      </c>
      <c r="K30" s="3">
        <f t="shared" si="24"/>
        <v>0</v>
      </c>
      <c r="L30" s="3">
        <f t="shared" si="25"/>
        <v>0</v>
      </c>
      <c r="M30" s="3" t="e">
        <f t="shared" si="4"/>
        <v>#DIV/0!</v>
      </c>
      <c r="N30" s="3" t="e">
        <f t="shared" si="13"/>
        <v>#DIV/0!</v>
      </c>
      <c r="O30" s="3" t="e">
        <f t="shared" si="26"/>
        <v>#DIV/0!</v>
      </c>
      <c r="P30" s="3">
        <f t="shared" si="14"/>
        <v>0</v>
      </c>
      <c r="Q30" s="3">
        <f t="shared" si="28"/>
        <v>0</v>
      </c>
      <c r="R30" s="3">
        <f t="shared" si="16"/>
        <v>0</v>
      </c>
      <c r="S30" s="3">
        <f t="shared" si="29"/>
        <v>0</v>
      </c>
      <c r="T30" s="3">
        <f t="shared" si="1"/>
        <v>0</v>
      </c>
      <c r="U30" s="3">
        <f t="shared" si="15"/>
        <v>0</v>
      </c>
      <c r="V30" s="3">
        <f t="shared" si="2"/>
        <v>0</v>
      </c>
      <c r="W30" s="3">
        <f t="shared" si="5"/>
        <v>0</v>
      </c>
      <c r="X30" s="3">
        <f t="shared" si="6"/>
        <v>0</v>
      </c>
      <c r="Y30" s="3">
        <f t="shared" si="7"/>
        <v>0</v>
      </c>
      <c r="Z30" s="3">
        <f t="shared" si="18"/>
        <v>0</v>
      </c>
      <c r="AA30" s="3">
        <f t="shared" si="19"/>
        <v>0</v>
      </c>
      <c r="AB30" s="3" t="e">
        <f t="shared" si="20"/>
        <v>#DIV/0!</v>
      </c>
      <c r="AC30" s="3" t="str">
        <f t="shared" si="21"/>
        <v/>
      </c>
      <c r="AD30" s="3">
        <f t="shared" si="8"/>
        <v>0</v>
      </c>
      <c r="AE30" s="3">
        <f t="shared" si="3"/>
        <v>0</v>
      </c>
      <c r="AF30" s="3">
        <f t="shared" si="9"/>
        <v>0</v>
      </c>
      <c r="AG30" s="3" t="e">
        <f>AF30 / SUM(F$2:F30)</f>
        <v>#DIV/0!</v>
      </c>
      <c r="AH30" s="3" t="e">
        <f t="shared" si="10"/>
        <v>#DIV/0!</v>
      </c>
      <c r="AI30" s="3">
        <f t="shared" si="11"/>
        <v>0</v>
      </c>
      <c r="AJ30" s="3" t="e">
        <f t="shared" si="12"/>
        <v>#DIV/0!</v>
      </c>
      <c r="AK30" s="3" t="e">
        <f t="shared" si="27"/>
        <v>#DIV/0!</v>
      </c>
    </row>
    <row r="31" spans="1:37" x14ac:dyDescent="0.3">
      <c r="A31" s="24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f t="shared" si="0"/>
        <v>0</v>
      </c>
      <c r="H31" s="3">
        <f t="shared" si="17"/>
        <v>0</v>
      </c>
      <c r="I31" s="3">
        <f t="shared" si="22"/>
        <v>0</v>
      </c>
      <c r="J31" s="3">
        <f t="shared" si="23"/>
        <v>0</v>
      </c>
      <c r="K31" s="3">
        <f t="shared" si="24"/>
        <v>0</v>
      </c>
      <c r="L31" s="3">
        <f t="shared" si="25"/>
        <v>0</v>
      </c>
      <c r="M31" s="3" t="e">
        <f t="shared" si="4"/>
        <v>#DIV/0!</v>
      </c>
      <c r="N31" s="3" t="e">
        <f t="shared" si="13"/>
        <v>#DIV/0!</v>
      </c>
      <c r="O31" s="3" t="e">
        <f t="shared" si="26"/>
        <v>#DIV/0!</v>
      </c>
      <c r="P31" s="3">
        <f t="shared" si="14"/>
        <v>0</v>
      </c>
      <c r="Q31" s="3">
        <f t="shared" si="28"/>
        <v>0</v>
      </c>
      <c r="R31" s="3">
        <f t="shared" si="16"/>
        <v>0</v>
      </c>
      <c r="S31" s="3">
        <f t="shared" si="29"/>
        <v>0</v>
      </c>
      <c r="T31" s="3">
        <f t="shared" si="1"/>
        <v>0</v>
      </c>
      <c r="U31" s="3">
        <f t="shared" si="15"/>
        <v>0</v>
      </c>
      <c r="V31" s="3">
        <f t="shared" si="2"/>
        <v>0</v>
      </c>
      <c r="W31" s="3">
        <f t="shared" si="5"/>
        <v>0</v>
      </c>
      <c r="X31" s="3">
        <f t="shared" si="6"/>
        <v>0</v>
      </c>
      <c r="Y31" s="3">
        <f t="shared" si="7"/>
        <v>0</v>
      </c>
      <c r="Z31" s="3">
        <f t="shared" si="18"/>
        <v>0</v>
      </c>
      <c r="AA31" s="3">
        <f t="shared" si="19"/>
        <v>0</v>
      </c>
      <c r="AB31" s="3" t="e">
        <f t="shared" si="20"/>
        <v>#DIV/0!</v>
      </c>
      <c r="AC31" s="3" t="str">
        <f t="shared" si="21"/>
        <v/>
      </c>
      <c r="AD31" s="3">
        <f t="shared" si="8"/>
        <v>0</v>
      </c>
      <c r="AE31" s="3">
        <f t="shared" si="3"/>
        <v>0</v>
      </c>
      <c r="AF31" s="3">
        <f t="shared" si="9"/>
        <v>0</v>
      </c>
      <c r="AG31" s="3" t="e">
        <f>AF31 / SUM(F$2:F31)</f>
        <v>#DIV/0!</v>
      </c>
      <c r="AH31" s="3" t="e">
        <f t="shared" si="10"/>
        <v>#DIV/0!</v>
      </c>
      <c r="AI31" s="3">
        <f t="shared" si="11"/>
        <v>0</v>
      </c>
      <c r="AJ31" s="3" t="e">
        <f t="shared" si="12"/>
        <v>#DIV/0!</v>
      </c>
      <c r="AK31" s="3" t="e">
        <f t="shared" si="27"/>
        <v>#DIV/0!</v>
      </c>
    </row>
    <row r="32" spans="1:37" x14ac:dyDescent="0.3">
      <c r="A32" s="24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f t="shared" si="0"/>
        <v>0</v>
      </c>
      <c r="H32" s="3">
        <f t="shared" si="17"/>
        <v>0</v>
      </c>
      <c r="I32" s="3">
        <f t="shared" si="22"/>
        <v>0</v>
      </c>
      <c r="J32" s="3">
        <f t="shared" si="23"/>
        <v>0</v>
      </c>
      <c r="K32" s="3">
        <f t="shared" si="24"/>
        <v>0</v>
      </c>
      <c r="L32" s="3">
        <f t="shared" si="25"/>
        <v>0</v>
      </c>
      <c r="M32" s="3" t="e">
        <f t="shared" si="4"/>
        <v>#DIV/0!</v>
      </c>
      <c r="N32" s="3" t="e">
        <f t="shared" si="13"/>
        <v>#DIV/0!</v>
      </c>
      <c r="O32" s="3" t="e">
        <f t="shared" si="26"/>
        <v>#DIV/0!</v>
      </c>
      <c r="P32" s="3">
        <f t="shared" si="14"/>
        <v>0</v>
      </c>
      <c r="Q32" s="3">
        <f t="shared" si="28"/>
        <v>0</v>
      </c>
      <c r="R32" s="3">
        <f t="shared" si="16"/>
        <v>0</v>
      </c>
      <c r="S32" s="3">
        <f t="shared" si="29"/>
        <v>0</v>
      </c>
      <c r="T32" s="3">
        <f t="shared" si="1"/>
        <v>0</v>
      </c>
      <c r="U32" s="3">
        <f t="shared" si="15"/>
        <v>0</v>
      </c>
      <c r="V32" s="3">
        <f t="shared" si="2"/>
        <v>0</v>
      </c>
      <c r="W32" s="3">
        <f t="shared" si="5"/>
        <v>0</v>
      </c>
      <c r="X32" s="3">
        <f t="shared" si="6"/>
        <v>0</v>
      </c>
      <c r="Y32" s="3">
        <f t="shared" si="7"/>
        <v>0</v>
      </c>
      <c r="Z32" s="3">
        <f t="shared" si="18"/>
        <v>0</v>
      </c>
      <c r="AA32" s="3">
        <f t="shared" si="19"/>
        <v>0</v>
      </c>
      <c r="AB32" s="3" t="e">
        <f t="shared" si="20"/>
        <v>#DIV/0!</v>
      </c>
      <c r="AC32" s="3" t="str">
        <f t="shared" si="21"/>
        <v/>
      </c>
      <c r="AD32" s="3">
        <f t="shared" si="8"/>
        <v>0</v>
      </c>
      <c r="AE32" s="3">
        <f t="shared" si="3"/>
        <v>0</v>
      </c>
      <c r="AF32" s="3">
        <f t="shared" si="9"/>
        <v>0</v>
      </c>
      <c r="AG32" s="3" t="e">
        <f>AF32 / SUM(F$2:F32)</f>
        <v>#DIV/0!</v>
      </c>
      <c r="AH32" s="3" t="e">
        <f t="shared" si="10"/>
        <v>#DIV/0!</v>
      </c>
      <c r="AI32" s="3">
        <f t="shared" si="11"/>
        <v>0</v>
      </c>
      <c r="AJ32" s="3" t="e">
        <f t="shared" si="12"/>
        <v>#DIV/0!</v>
      </c>
      <c r="AK32" s="3" t="e">
        <f t="shared" si="27"/>
        <v>#DIV/0!</v>
      </c>
    </row>
    <row r="33" spans="1:37" x14ac:dyDescent="0.3">
      <c r="A33" s="24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f t="shared" si="0"/>
        <v>0</v>
      </c>
      <c r="H33" s="3">
        <f t="shared" si="17"/>
        <v>0</v>
      </c>
      <c r="I33" s="3">
        <f t="shared" si="22"/>
        <v>0</v>
      </c>
      <c r="J33" s="3">
        <f t="shared" si="23"/>
        <v>0</v>
      </c>
      <c r="K33" s="3">
        <f t="shared" si="24"/>
        <v>0</v>
      </c>
      <c r="L33" s="3">
        <f t="shared" si="25"/>
        <v>0</v>
      </c>
      <c r="M33" s="3" t="e">
        <f t="shared" si="4"/>
        <v>#DIV/0!</v>
      </c>
      <c r="N33" s="3" t="e">
        <f t="shared" si="13"/>
        <v>#DIV/0!</v>
      </c>
      <c r="O33" s="3" t="e">
        <f t="shared" si="26"/>
        <v>#DIV/0!</v>
      </c>
      <c r="P33" s="3">
        <f t="shared" si="14"/>
        <v>0</v>
      </c>
      <c r="Q33" s="3">
        <f t="shared" si="28"/>
        <v>0</v>
      </c>
      <c r="R33" s="3">
        <f t="shared" si="16"/>
        <v>0</v>
      </c>
      <c r="S33" s="3">
        <f t="shared" si="29"/>
        <v>0</v>
      </c>
      <c r="T33" s="3">
        <f t="shared" si="1"/>
        <v>0</v>
      </c>
      <c r="U33" s="3">
        <f t="shared" si="15"/>
        <v>0</v>
      </c>
      <c r="V33" s="3">
        <f t="shared" si="2"/>
        <v>0</v>
      </c>
      <c r="W33" s="3">
        <f t="shared" si="5"/>
        <v>0</v>
      </c>
      <c r="X33" s="3">
        <f t="shared" si="6"/>
        <v>0</v>
      </c>
      <c r="Y33" s="3">
        <f t="shared" si="7"/>
        <v>0</v>
      </c>
      <c r="Z33" s="3">
        <f t="shared" si="18"/>
        <v>0</v>
      </c>
      <c r="AA33" s="3">
        <f t="shared" si="19"/>
        <v>0</v>
      </c>
      <c r="AB33" s="3" t="e">
        <f t="shared" si="20"/>
        <v>#DIV/0!</v>
      </c>
      <c r="AC33" s="3" t="str">
        <f t="shared" si="21"/>
        <v/>
      </c>
      <c r="AD33" s="3">
        <f t="shared" si="8"/>
        <v>0</v>
      </c>
      <c r="AE33" s="3">
        <f t="shared" si="3"/>
        <v>0</v>
      </c>
      <c r="AF33" s="3">
        <f t="shared" si="9"/>
        <v>0</v>
      </c>
      <c r="AG33" s="3" t="e">
        <f>AF33 / SUM(F$2:F33)</f>
        <v>#DIV/0!</v>
      </c>
      <c r="AH33" s="3" t="e">
        <f t="shared" si="10"/>
        <v>#DIV/0!</v>
      </c>
      <c r="AI33" s="3">
        <f t="shared" si="11"/>
        <v>0</v>
      </c>
      <c r="AJ33" s="3" t="e">
        <f t="shared" si="12"/>
        <v>#DIV/0!</v>
      </c>
      <c r="AK33" s="3" t="e">
        <f t="shared" si="27"/>
        <v>#DIV/0!</v>
      </c>
    </row>
    <row r="34" spans="1:37" x14ac:dyDescent="0.3">
      <c r="A34" s="24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f t="shared" si="0"/>
        <v>0</v>
      </c>
      <c r="H34" s="3">
        <f t="shared" si="17"/>
        <v>0</v>
      </c>
      <c r="I34" s="3">
        <f t="shared" si="22"/>
        <v>0</v>
      </c>
      <c r="J34" s="3">
        <f t="shared" si="23"/>
        <v>0</v>
      </c>
      <c r="K34" s="3">
        <f t="shared" si="24"/>
        <v>0</v>
      </c>
      <c r="L34" s="3">
        <f t="shared" si="25"/>
        <v>0</v>
      </c>
      <c r="M34" s="3" t="e">
        <f t="shared" si="4"/>
        <v>#DIV/0!</v>
      </c>
      <c r="N34" s="3" t="e">
        <f t="shared" si="13"/>
        <v>#DIV/0!</v>
      </c>
      <c r="O34" s="3" t="e">
        <f t="shared" si="26"/>
        <v>#DIV/0!</v>
      </c>
      <c r="P34" s="3">
        <f t="shared" si="14"/>
        <v>0</v>
      </c>
      <c r="Q34" s="3">
        <f t="shared" si="28"/>
        <v>0</v>
      </c>
      <c r="R34" s="3">
        <f t="shared" si="16"/>
        <v>0</v>
      </c>
      <c r="S34" s="3">
        <f t="shared" si="29"/>
        <v>0</v>
      </c>
      <c r="T34" s="3">
        <f t="shared" si="1"/>
        <v>0</v>
      </c>
      <c r="U34" s="3">
        <f t="shared" si="15"/>
        <v>0</v>
      </c>
      <c r="V34" s="3">
        <f t="shared" si="2"/>
        <v>0</v>
      </c>
      <c r="W34" s="3">
        <f t="shared" si="5"/>
        <v>0</v>
      </c>
      <c r="X34" s="3">
        <f t="shared" si="6"/>
        <v>0</v>
      </c>
      <c r="Y34" s="3">
        <f t="shared" si="7"/>
        <v>0</v>
      </c>
      <c r="Z34" s="3">
        <f t="shared" si="18"/>
        <v>0</v>
      </c>
      <c r="AA34" s="3">
        <f t="shared" si="19"/>
        <v>0</v>
      </c>
      <c r="AB34" s="3" t="e">
        <f t="shared" si="20"/>
        <v>#DIV/0!</v>
      </c>
      <c r="AC34" s="3" t="str">
        <f t="shared" si="21"/>
        <v/>
      </c>
      <c r="AD34" s="3">
        <f t="shared" si="8"/>
        <v>0</v>
      </c>
      <c r="AE34" s="3">
        <f t="shared" si="3"/>
        <v>0</v>
      </c>
      <c r="AF34" s="3">
        <f t="shared" si="9"/>
        <v>0</v>
      </c>
      <c r="AG34" s="3" t="e">
        <f>AF34 / SUM(F$2:F34)</f>
        <v>#DIV/0!</v>
      </c>
      <c r="AH34" s="3" t="e">
        <f t="shared" si="10"/>
        <v>#DIV/0!</v>
      </c>
      <c r="AI34" s="3">
        <f t="shared" si="11"/>
        <v>0</v>
      </c>
      <c r="AJ34" s="3" t="e">
        <f t="shared" si="12"/>
        <v>#DIV/0!</v>
      </c>
      <c r="AK34" s="3" t="e">
        <f t="shared" si="27"/>
        <v>#DIV/0!</v>
      </c>
    </row>
    <row r="35" spans="1:37" x14ac:dyDescent="0.3">
      <c r="A35" s="24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f t="shared" si="0"/>
        <v>0</v>
      </c>
      <c r="H35" s="3">
        <f t="shared" si="17"/>
        <v>0</v>
      </c>
      <c r="I35" s="3">
        <f t="shared" si="22"/>
        <v>0</v>
      </c>
      <c r="J35" s="3">
        <f t="shared" si="23"/>
        <v>0</v>
      </c>
      <c r="K35" s="3">
        <f t="shared" si="24"/>
        <v>0</v>
      </c>
      <c r="L35" s="3">
        <f t="shared" si="25"/>
        <v>0</v>
      </c>
      <c r="M35" s="3" t="e">
        <f t="shared" si="4"/>
        <v>#DIV/0!</v>
      </c>
      <c r="N35" s="3" t="e">
        <f t="shared" si="13"/>
        <v>#DIV/0!</v>
      </c>
      <c r="O35" s="3" t="e">
        <f t="shared" si="26"/>
        <v>#DIV/0!</v>
      </c>
      <c r="P35" s="3">
        <f t="shared" si="14"/>
        <v>0</v>
      </c>
      <c r="Q35" s="3">
        <f t="shared" si="28"/>
        <v>0</v>
      </c>
      <c r="R35" s="3">
        <f t="shared" si="16"/>
        <v>0</v>
      </c>
      <c r="S35" s="3">
        <f t="shared" si="29"/>
        <v>0</v>
      </c>
      <c r="T35" s="3">
        <f t="shared" si="1"/>
        <v>0</v>
      </c>
      <c r="U35" s="3">
        <f t="shared" si="15"/>
        <v>0</v>
      </c>
      <c r="V35" s="3">
        <f t="shared" si="2"/>
        <v>0</v>
      </c>
      <c r="W35" s="3">
        <f t="shared" si="5"/>
        <v>0</v>
      </c>
      <c r="X35" s="3">
        <f t="shared" si="6"/>
        <v>0</v>
      </c>
      <c r="Y35" s="3">
        <f t="shared" si="7"/>
        <v>0</v>
      </c>
      <c r="Z35" s="3">
        <f t="shared" si="18"/>
        <v>0</v>
      </c>
      <c r="AA35" s="3">
        <f t="shared" si="19"/>
        <v>0</v>
      </c>
      <c r="AB35" s="3" t="e">
        <f t="shared" si="20"/>
        <v>#DIV/0!</v>
      </c>
      <c r="AC35" s="3" t="str">
        <f t="shared" si="21"/>
        <v/>
      </c>
      <c r="AD35" s="3">
        <f t="shared" si="8"/>
        <v>0</v>
      </c>
      <c r="AE35" s="3">
        <f t="shared" si="3"/>
        <v>0</v>
      </c>
      <c r="AF35" s="3">
        <f t="shared" si="9"/>
        <v>0</v>
      </c>
      <c r="AG35" s="3" t="e">
        <f>AF35 / SUM(F$2:F35)</f>
        <v>#DIV/0!</v>
      </c>
      <c r="AH35" s="3" t="e">
        <f t="shared" si="10"/>
        <v>#DIV/0!</v>
      </c>
      <c r="AI35" s="3">
        <f t="shared" si="11"/>
        <v>0</v>
      </c>
      <c r="AJ35" s="3" t="e">
        <f t="shared" si="12"/>
        <v>#DIV/0!</v>
      </c>
      <c r="AK35" s="3" t="e">
        <f t="shared" si="27"/>
        <v>#DIV/0!</v>
      </c>
    </row>
    <row r="36" spans="1:37" x14ac:dyDescent="0.3">
      <c r="A36" s="24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f t="shared" si="0"/>
        <v>0</v>
      </c>
      <c r="H36" s="3">
        <f t="shared" si="17"/>
        <v>0</v>
      </c>
      <c r="I36" s="3">
        <f t="shared" si="22"/>
        <v>0</v>
      </c>
      <c r="J36" s="3">
        <f t="shared" si="23"/>
        <v>0</v>
      </c>
      <c r="K36" s="3">
        <f t="shared" si="24"/>
        <v>0</v>
      </c>
      <c r="L36" s="3">
        <f t="shared" si="25"/>
        <v>0</v>
      </c>
      <c r="M36" s="3" t="e">
        <f t="shared" si="4"/>
        <v>#DIV/0!</v>
      </c>
      <c r="N36" s="3" t="e">
        <f t="shared" si="13"/>
        <v>#DIV/0!</v>
      </c>
      <c r="O36" s="3" t="e">
        <f t="shared" si="26"/>
        <v>#DIV/0!</v>
      </c>
      <c r="P36" s="3">
        <f t="shared" si="14"/>
        <v>0</v>
      </c>
      <c r="Q36" s="3">
        <f t="shared" si="28"/>
        <v>0</v>
      </c>
      <c r="R36" s="3">
        <f t="shared" si="16"/>
        <v>0</v>
      </c>
      <c r="S36" s="3">
        <f t="shared" si="29"/>
        <v>0</v>
      </c>
      <c r="T36" s="3">
        <f t="shared" si="1"/>
        <v>0</v>
      </c>
      <c r="U36" s="3">
        <f t="shared" si="15"/>
        <v>0</v>
      </c>
      <c r="V36" s="3">
        <f t="shared" si="2"/>
        <v>0</v>
      </c>
      <c r="W36" s="3">
        <f t="shared" si="5"/>
        <v>0</v>
      </c>
      <c r="X36" s="3">
        <f t="shared" si="6"/>
        <v>0</v>
      </c>
      <c r="Y36" s="3">
        <f t="shared" si="7"/>
        <v>0</v>
      </c>
      <c r="Z36" s="3">
        <f t="shared" si="18"/>
        <v>0</v>
      </c>
      <c r="AA36" s="3">
        <f t="shared" si="19"/>
        <v>0</v>
      </c>
      <c r="AB36" s="3" t="e">
        <f t="shared" si="20"/>
        <v>#DIV/0!</v>
      </c>
      <c r="AC36" s="3" t="str">
        <f t="shared" si="21"/>
        <v/>
      </c>
      <c r="AD36" s="3">
        <f t="shared" si="8"/>
        <v>0</v>
      </c>
      <c r="AE36" s="3">
        <f t="shared" si="3"/>
        <v>0</v>
      </c>
      <c r="AF36" s="3">
        <f t="shared" si="9"/>
        <v>0</v>
      </c>
      <c r="AG36" s="3" t="e">
        <f>AF36 / SUM(F$2:F36)</f>
        <v>#DIV/0!</v>
      </c>
      <c r="AH36" s="3" t="e">
        <f t="shared" si="10"/>
        <v>#DIV/0!</v>
      </c>
      <c r="AI36" s="3">
        <f t="shared" si="11"/>
        <v>0</v>
      </c>
      <c r="AJ36" s="3" t="e">
        <f t="shared" si="12"/>
        <v>#DIV/0!</v>
      </c>
      <c r="AK36" s="3" t="e">
        <f t="shared" si="27"/>
        <v>#DIV/0!</v>
      </c>
    </row>
    <row r="37" spans="1:37" x14ac:dyDescent="0.3">
      <c r="A37" s="24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f t="shared" si="0"/>
        <v>0</v>
      </c>
      <c r="H37" s="3">
        <f t="shared" si="17"/>
        <v>0</v>
      </c>
      <c r="I37" s="3">
        <f t="shared" si="22"/>
        <v>0</v>
      </c>
      <c r="J37" s="3">
        <f t="shared" si="23"/>
        <v>0</v>
      </c>
      <c r="K37" s="3">
        <f t="shared" si="24"/>
        <v>0</v>
      </c>
      <c r="L37" s="3">
        <f t="shared" si="25"/>
        <v>0</v>
      </c>
      <c r="M37" s="3" t="e">
        <f t="shared" si="4"/>
        <v>#DIV/0!</v>
      </c>
      <c r="N37" s="3" t="e">
        <f t="shared" si="13"/>
        <v>#DIV/0!</v>
      </c>
      <c r="O37" s="3" t="e">
        <f t="shared" si="26"/>
        <v>#DIV/0!</v>
      </c>
      <c r="P37" s="3">
        <f t="shared" si="14"/>
        <v>0</v>
      </c>
      <c r="Q37" s="3">
        <f t="shared" si="28"/>
        <v>0</v>
      </c>
      <c r="R37" s="3">
        <f t="shared" si="16"/>
        <v>0</v>
      </c>
      <c r="S37" s="3">
        <f t="shared" si="29"/>
        <v>0</v>
      </c>
      <c r="T37" s="3">
        <f t="shared" si="1"/>
        <v>0</v>
      </c>
      <c r="U37" s="3">
        <f t="shared" si="15"/>
        <v>0</v>
      </c>
      <c r="V37" s="3">
        <f t="shared" si="2"/>
        <v>0</v>
      </c>
      <c r="W37" s="3">
        <f t="shared" si="5"/>
        <v>0</v>
      </c>
      <c r="X37" s="3">
        <f t="shared" si="6"/>
        <v>0</v>
      </c>
      <c r="Y37" s="3">
        <f t="shared" si="7"/>
        <v>0</v>
      </c>
      <c r="Z37" s="3">
        <f t="shared" si="18"/>
        <v>0</v>
      </c>
      <c r="AA37" s="3">
        <f t="shared" si="19"/>
        <v>0</v>
      </c>
      <c r="AB37" s="3" t="e">
        <f t="shared" si="20"/>
        <v>#DIV/0!</v>
      </c>
      <c r="AC37" s="3" t="str">
        <f t="shared" si="21"/>
        <v/>
      </c>
      <c r="AD37" s="3">
        <f t="shared" si="8"/>
        <v>0</v>
      </c>
      <c r="AE37" s="3">
        <f t="shared" si="3"/>
        <v>0</v>
      </c>
      <c r="AF37" s="3">
        <f t="shared" si="9"/>
        <v>0</v>
      </c>
      <c r="AG37" s="3" t="e">
        <f>AF37 / SUM(F$2:F37)</f>
        <v>#DIV/0!</v>
      </c>
      <c r="AH37" s="3" t="e">
        <f t="shared" si="10"/>
        <v>#DIV/0!</v>
      </c>
      <c r="AI37" s="3">
        <f t="shared" si="11"/>
        <v>0</v>
      </c>
      <c r="AJ37" s="3" t="e">
        <f t="shared" si="12"/>
        <v>#DIV/0!</v>
      </c>
      <c r="AK37" s="3" t="e">
        <f t="shared" si="27"/>
        <v>#DIV/0!</v>
      </c>
    </row>
    <row r="38" spans="1:37" x14ac:dyDescent="0.3">
      <c r="A38" s="24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f t="shared" si="0"/>
        <v>0</v>
      </c>
      <c r="H38" s="3">
        <f t="shared" si="17"/>
        <v>0</v>
      </c>
      <c r="I38" s="3">
        <f t="shared" si="22"/>
        <v>0</v>
      </c>
      <c r="J38" s="3">
        <f t="shared" si="23"/>
        <v>0</v>
      </c>
      <c r="K38" s="3">
        <f t="shared" si="24"/>
        <v>0</v>
      </c>
      <c r="L38" s="3">
        <f t="shared" si="25"/>
        <v>0</v>
      </c>
      <c r="M38" s="3" t="e">
        <f t="shared" si="4"/>
        <v>#DIV/0!</v>
      </c>
      <c r="N38" s="3" t="e">
        <f t="shared" si="13"/>
        <v>#DIV/0!</v>
      </c>
      <c r="O38" s="3" t="e">
        <f t="shared" si="26"/>
        <v>#DIV/0!</v>
      </c>
      <c r="P38" s="3">
        <f t="shared" si="14"/>
        <v>0</v>
      </c>
      <c r="Q38" s="3">
        <f t="shared" si="28"/>
        <v>0</v>
      </c>
      <c r="R38" s="3">
        <f t="shared" si="16"/>
        <v>0</v>
      </c>
      <c r="S38" s="3">
        <f t="shared" si="29"/>
        <v>0</v>
      </c>
      <c r="T38" s="3">
        <f t="shared" si="1"/>
        <v>0</v>
      </c>
      <c r="U38" s="3">
        <f t="shared" si="15"/>
        <v>0</v>
      </c>
      <c r="V38" s="3">
        <f t="shared" si="2"/>
        <v>0</v>
      </c>
      <c r="W38" s="3">
        <f t="shared" si="5"/>
        <v>0</v>
      </c>
      <c r="X38" s="3">
        <f t="shared" si="6"/>
        <v>0</v>
      </c>
      <c r="Y38" s="3">
        <f t="shared" si="7"/>
        <v>0</v>
      </c>
      <c r="Z38" s="3">
        <f t="shared" si="18"/>
        <v>0</v>
      </c>
      <c r="AA38" s="3">
        <f t="shared" si="19"/>
        <v>0</v>
      </c>
      <c r="AB38" s="3" t="e">
        <f t="shared" si="20"/>
        <v>#DIV/0!</v>
      </c>
      <c r="AC38" s="3" t="str">
        <f t="shared" si="21"/>
        <v/>
      </c>
      <c r="AD38" s="3">
        <f t="shared" si="8"/>
        <v>0</v>
      </c>
      <c r="AE38" s="3">
        <f t="shared" si="3"/>
        <v>0</v>
      </c>
      <c r="AF38" s="3">
        <f t="shared" si="9"/>
        <v>0</v>
      </c>
      <c r="AG38" s="3" t="e">
        <f>AF38 / SUM(F$2:F38)</f>
        <v>#DIV/0!</v>
      </c>
      <c r="AH38" s="3" t="e">
        <f t="shared" si="10"/>
        <v>#DIV/0!</v>
      </c>
      <c r="AI38" s="3">
        <f t="shared" si="11"/>
        <v>0</v>
      </c>
      <c r="AJ38" s="3" t="e">
        <f t="shared" si="12"/>
        <v>#DIV/0!</v>
      </c>
      <c r="AK38" s="3" t="e">
        <f t="shared" si="27"/>
        <v>#DIV/0!</v>
      </c>
    </row>
    <row r="39" spans="1:37" x14ac:dyDescent="0.3">
      <c r="A39" s="24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f t="shared" si="0"/>
        <v>0</v>
      </c>
      <c r="H39" s="3">
        <f t="shared" si="17"/>
        <v>0</v>
      </c>
      <c r="I39" s="3">
        <f t="shared" si="22"/>
        <v>0</v>
      </c>
      <c r="J39" s="3">
        <f t="shared" si="23"/>
        <v>0</v>
      </c>
      <c r="K39" s="3">
        <f t="shared" si="24"/>
        <v>0</v>
      </c>
      <c r="L39" s="3">
        <f t="shared" si="25"/>
        <v>0</v>
      </c>
      <c r="M39" s="3" t="e">
        <f t="shared" si="4"/>
        <v>#DIV/0!</v>
      </c>
      <c r="N39" s="3" t="e">
        <f t="shared" si="13"/>
        <v>#DIV/0!</v>
      </c>
      <c r="O39" s="3" t="e">
        <f t="shared" si="26"/>
        <v>#DIV/0!</v>
      </c>
      <c r="P39" s="3">
        <f t="shared" si="14"/>
        <v>0</v>
      </c>
      <c r="Q39" s="3">
        <f t="shared" si="28"/>
        <v>0</v>
      </c>
      <c r="R39" s="3">
        <f t="shared" si="16"/>
        <v>0</v>
      </c>
      <c r="S39" s="3">
        <f t="shared" si="29"/>
        <v>0</v>
      </c>
      <c r="T39" s="3">
        <f t="shared" si="1"/>
        <v>0</v>
      </c>
      <c r="U39" s="3">
        <f t="shared" si="15"/>
        <v>0</v>
      </c>
      <c r="V39" s="3">
        <f t="shared" si="2"/>
        <v>0</v>
      </c>
      <c r="W39" s="3">
        <f t="shared" si="5"/>
        <v>0</v>
      </c>
      <c r="X39" s="3">
        <f t="shared" si="6"/>
        <v>0</v>
      </c>
      <c r="Y39" s="3">
        <f t="shared" si="7"/>
        <v>0</v>
      </c>
      <c r="Z39" s="3">
        <f t="shared" si="18"/>
        <v>0</v>
      </c>
      <c r="AA39" s="3">
        <f t="shared" si="19"/>
        <v>0</v>
      </c>
      <c r="AB39" s="3" t="e">
        <f t="shared" si="20"/>
        <v>#DIV/0!</v>
      </c>
      <c r="AC39" s="3" t="str">
        <f t="shared" si="21"/>
        <v/>
      </c>
      <c r="AD39" s="3">
        <f t="shared" si="8"/>
        <v>0</v>
      </c>
      <c r="AE39" s="3">
        <f t="shared" si="3"/>
        <v>0</v>
      </c>
      <c r="AF39" s="3">
        <f t="shared" si="9"/>
        <v>0</v>
      </c>
      <c r="AG39" s="3" t="e">
        <f>AF39 / SUM(F$2:F39)</f>
        <v>#DIV/0!</v>
      </c>
      <c r="AH39" s="3" t="e">
        <f t="shared" si="10"/>
        <v>#DIV/0!</v>
      </c>
      <c r="AI39" s="3">
        <f t="shared" si="11"/>
        <v>0</v>
      </c>
      <c r="AJ39" s="3" t="e">
        <f t="shared" si="12"/>
        <v>#DIV/0!</v>
      </c>
      <c r="AK39" s="3" t="e">
        <f t="shared" si="27"/>
        <v>#DIV/0!</v>
      </c>
    </row>
    <row r="40" spans="1:37" x14ac:dyDescent="0.3">
      <c r="A40" s="24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f t="shared" si="0"/>
        <v>0</v>
      </c>
      <c r="H40" s="3">
        <f t="shared" si="17"/>
        <v>0</v>
      </c>
      <c r="I40" s="3">
        <f t="shared" si="22"/>
        <v>0</v>
      </c>
      <c r="J40" s="3">
        <f t="shared" si="23"/>
        <v>0</v>
      </c>
      <c r="K40" s="3">
        <f t="shared" si="24"/>
        <v>0</v>
      </c>
      <c r="L40" s="3">
        <f t="shared" si="25"/>
        <v>0</v>
      </c>
      <c r="M40" s="3" t="e">
        <f t="shared" si="4"/>
        <v>#DIV/0!</v>
      </c>
      <c r="N40" s="3" t="e">
        <f t="shared" si="13"/>
        <v>#DIV/0!</v>
      </c>
      <c r="O40" s="3" t="e">
        <f t="shared" si="26"/>
        <v>#DIV/0!</v>
      </c>
      <c r="P40" s="3">
        <f t="shared" si="14"/>
        <v>0</v>
      </c>
      <c r="Q40" s="3">
        <f t="shared" si="28"/>
        <v>0</v>
      </c>
      <c r="R40" s="3">
        <f t="shared" si="16"/>
        <v>0</v>
      </c>
      <c r="S40" s="3">
        <f t="shared" si="29"/>
        <v>0</v>
      </c>
      <c r="T40" s="3">
        <f t="shared" si="1"/>
        <v>0</v>
      </c>
      <c r="U40" s="3">
        <f t="shared" si="15"/>
        <v>0</v>
      </c>
      <c r="V40" s="3">
        <f t="shared" si="2"/>
        <v>0</v>
      </c>
      <c r="W40" s="3">
        <f t="shared" si="5"/>
        <v>0</v>
      </c>
      <c r="X40" s="3">
        <f t="shared" si="6"/>
        <v>0</v>
      </c>
      <c r="Y40" s="3">
        <f t="shared" si="7"/>
        <v>0</v>
      </c>
      <c r="Z40" s="3">
        <f t="shared" si="18"/>
        <v>0</v>
      </c>
      <c r="AA40" s="3">
        <f t="shared" si="19"/>
        <v>0</v>
      </c>
      <c r="AB40" s="3" t="e">
        <f t="shared" si="20"/>
        <v>#DIV/0!</v>
      </c>
      <c r="AC40" s="3" t="str">
        <f t="shared" si="21"/>
        <v/>
      </c>
      <c r="AD40" s="3">
        <f t="shared" si="8"/>
        <v>0</v>
      </c>
      <c r="AE40" s="3">
        <f t="shared" si="3"/>
        <v>0</v>
      </c>
      <c r="AF40" s="3">
        <f t="shared" si="9"/>
        <v>0</v>
      </c>
      <c r="AG40" s="3" t="e">
        <f>AF40 / SUM(F$2:F40)</f>
        <v>#DIV/0!</v>
      </c>
      <c r="AH40" s="3" t="e">
        <f t="shared" si="10"/>
        <v>#DIV/0!</v>
      </c>
      <c r="AI40" s="3">
        <f t="shared" si="11"/>
        <v>0</v>
      </c>
      <c r="AJ40" s="3" t="e">
        <f t="shared" si="12"/>
        <v>#DIV/0!</v>
      </c>
      <c r="AK40" s="3" t="e">
        <f t="shared" si="27"/>
        <v>#DIV/0!</v>
      </c>
    </row>
    <row r="41" spans="1:37" x14ac:dyDescent="0.3">
      <c r="A41" s="24">
        <v>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f t="shared" si="0"/>
        <v>0</v>
      </c>
      <c r="H41" s="3">
        <f t="shared" si="17"/>
        <v>0</v>
      </c>
      <c r="I41" s="3">
        <f t="shared" si="22"/>
        <v>0</v>
      </c>
      <c r="J41" s="3">
        <f t="shared" si="23"/>
        <v>0</v>
      </c>
      <c r="K41" s="3">
        <f t="shared" si="24"/>
        <v>0</v>
      </c>
      <c r="L41" s="3">
        <f t="shared" si="25"/>
        <v>0</v>
      </c>
      <c r="M41" s="3" t="e">
        <f t="shared" si="4"/>
        <v>#DIV/0!</v>
      </c>
      <c r="N41" s="3" t="e">
        <f t="shared" si="13"/>
        <v>#DIV/0!</v>
      </c>
      <c r="O41" s="3" t="e">
        <f t="shared" si="26"/>
        <v>#DIV/0!</v>
      </c>
      <c r="P41" s="3">
        <f t="shared" si="14"/>
        <v>0</v>
      </c>
      <c r="Q41" s="3">
        <f t="shared" si="28"/>
        <v>0</v>
      </c>
      <c r="R41" s="3">
        <f t="shared" si="16"/>
        <v>0</v>
      </c>
      <c r="S41" s="3">
        <f t="shared" si="29"/>
        <v>0</v>
      </c>
      <c r="T41" s="3">
        <f t="shared" si="1"/>
        <v>0</v>
      </c>
      <c r="U41" s="3">
        <f t="shared" si="15"/>
        <v>0</v>
      </c>
      <c r="V41" s="3">
        <f t="shared" si="2"/>
        <v>0</v>
      </c>
      <c r="W41" s="3">
        <f t="shared" si="5"/>
        <v>0</v>
      </c>
      <c r="X41" s="3">
        <f t="shared" si="6"/>
        <v>0</v>
      </c>
      <c r="Y41" s="3">
        <f t="shared" si="7"/>
        <v>0</v>
      </c>
      <c r="Z41" s="3">
        <f t="shared" si="18"/>
        <v>0</v>
      </c>
      <c r="AA41" s="3">
        <f t="shared" si="19"/>
        <v>0</v>
      </c>
      <c r="AB41" s="3" t="e">
        <f t="shared" si="20"/>
        <v>#DIV/0!</v>
      </c>
      <c r="AC41" s="3" t="str">
        <f t="shared" si="21"/>
        <v/>
      </c>
      <c r="AD41" s="3">
        <f t="shared" si="8"/>
        <v>0</v>
      </c>
      <c r="AE41" s="3">
        <f t="shared" si="3"/>
        <v>0</v>
      </c>
      <c r="AF41" s="3">
        <f t="shared" si="9"/>
        <v>0</v>
      </c>
      <c r="AG41" s="3" t="e">
        <f>AF41 / SUM(F$2:F41)</f>
        <v>#DIV/0!</v>
      </c>
      <c r="AH41" s="3" t="e">
        <f t="shared" si="10"/>
        <v>#DIV/0!</v>
      </c>
      <c r="AI41" s="3">
        <f t="shared" si="11"/>
        <v>0</v>
      </c>
      <c r="AJ41" s="3" t="e">
        <f t="shared" si="12"/>
        <v>#DIV/0!</v>
      </c>
      <c r="AK41" s="3" t="e">
        <f t="shared" si="27"/>
        <v>#DIV/0!</v>
      </c>
    </row>
    <row r="42" spans="1:37" x14ac:dyDescent="0.3">
      <c r="A42" s="24">
        <v>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f t="shared" si="0"/>
        <v>0</v>
      </c>
      <c r="H42" s="3">
        <f t="shared" si="17"/>
        <v>0</v>
      </c>
      <c r="I42" s="3">
        <f t="shared" si="22"/>
        <v>0</v>
      </c>
      <c r="J42" s="3">
        <f t="shared" si="23"/>
        <v>0</v>
      </c>
      <c r="K42" s="3">
        <f t="shared" si="24"/>
        <v>0</v>
      </c>
      <c r="L42" s="3">
        <f t="shared" si="25"/>
        <v>0</v>
      </c>
      <c r="M42" s="3" t="e">
        <f t="shared" si="4"/>
        <v>#DIV/0!</v>
      </c>
      <c r="N42" s="3" t="e">
        <f t="shared" si="13"/>
        <v>#DIV/0!</v>
      </c>
      <c r="O42" s="3" t="e">
        <f t="shared" si="26"/>
        <v>#DIV/0!</v>
      </c>
      <c r="P42" s="3">
        <f t="shared" si="14"/>
        <v>0</v>
      </c>
      <c r="Q42" s="3">
        <f t="shared" si="28"/>
        <v>0</v>
      </c>
      <c r="R42" s="3">
        <f t="shared" si="16"/>
        <v>0</v>
      </c>
      <c r="S42" s="3">
        <f t="shared" si="29"/>
        <v>0</v>
      </c>
      <c r="T42" s="3">
        <f t="shared" si="1"/>
        <v>0</v>
      </c>
      <c r="U42" s="3">
        <f t="shared" si="15"/>
        <v>0</v>
      </c>
      <c r="V42" s="3">
        <f t="shared" si="2"/>
        <v>0</v>
      </c>
      <c r="W42" s="3">
        <f t="shared" si="5"/>
        <v>0</v>
      </c>
      <c r="X42" s="3">
        <f t="shared" si="6"/>
        <v>0</v>
      </c>
      <c r="Y42" s="3">
        <f t="shared" si="7"/>
        <v>0</v>
      </c>
      <c r="Z42" s="3">
        <f t="shared" si="18"/>
        <v>0</v>
      </c>
      <c r="AA42" s="3">
        <f t="shared" si="19"/>
        <v>0</v>
      </c>
      <c r="AB42" s="3" t="e">
        <f t="shared" si="20"/>
        <v>#DIV/0!</v>
      </c>
      <c r="AC42" s="3" t="str">
        <f t="shared" si="21"/>
        <v/>
      </c>
      <c r="AD42" s="3">
        <f t="shared" si="8"/>
        <v>0</v>
      </c>
      <c r="AE42" s="3">
        <f t="shared" si="3"/>
        <v>0</v>
      </c>
      <c r="AF42" s="3">
        <f t="shared" si="9"/>
        <v>0</v>
      </c>
      <c r="AG42" s="3" t="e">
        <f>AF42 / SUM(F$2:F42)</f>
        <v>#DIV/0!</v>
      </c>
      <c r="AH42" s="3" t="e">
        <f t="shared" si="10"/>
        <v>#DIV/0!</v>
      </c>
      <c r="AI42" s="3">
        <f t="shared" si="11"/>
        <v>0</v>
      </c>
      <c r="AJ42" s="3" t="e">
        <f t="shared" si="12"/>
        <v>#DIV/0!</v>
      </c>
      <c r="AK42" s="3" t="e">
        <f t="shared" si="27"/>
        <v>#DIV/0!</v>
      </c>
    </row>
    <row r="43" spans="1:37" x14ac:dyDescent="0.3">
      <c r="A43" s="24">
        <v>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f t="shared" si="0"/>
        <v>0</v>
      </c>
      <c r="H43" s="3">
        <f t="shared" si="17"/>
        <v>0</v>
      </c>
      <c r="I43" s="3">
        <f t="shared" si="22"/>
        <v>0</v>
      </c>
      <c r="J43" s="3">
        <f t="shared" si="23"/>
        <v>0</v>
      </c>
      <c r="K43" s="3">
        <f t="shared" si="24"/>
        <v>0</v>
      </c>
      <c r="L43" s="3">
        <f t="shared" si="25"/>
        <v>0</v>
      </c>
      <c r="M43" s="3" t="e">
        <f t="shared" si="4"/>
        <v>#DIV/0!</v>
      </c>
      <c r="N43" s="3" t="e">
        <f t="shared" si="13"/>
        <v>#DIV/0!</v>
      </c>
      <c r="O43" s="3" t="e">
        <f t="shared" si="26"/>
        <v>#DIV/0!</v>
      </c>
      <c r="P43" s="3">
        <f t="shared" si="14"/>
        <v>0</v>
      </c>
      <c r="Q43" s="3">
        <f t="shared" si="28"/>
        <v>0</v>
      </c>
      <c r="R43" s="3">
        <f t="shared" si="16"/>
        <v>0</v>
      </c>
      <c r="S43" s="3">
        <f t="shared" si="29"/>
        <v>0</v>
      </c>
      <c r="T43" s="3">
        <f t="shared" si="1"/>
        <v>0</v>
      </c>
      <c r="U43" s="3">
        <f t="shared" si="15"/>
        <v>0</v>
      </c>
      <c r="V43" s="3">
        <f t="shared" si="2"/>
        <v>0</v>
      </c>
      <c r="W43" s="3">
        <f t="shared" si="5"/>
        <v>0</v>
      </c>
      <c r="X43" s="3">
        <f t="shared" si="6"/>
        <v>0</v>
      </c>
      <c r="Y43" s="3">
        <f t="shared" si="7"/>
        <v>0</v>
      </c>
      <c r="Z43" s="3">
        <f t="shared" si="18"/>
        <v>0</v>
      </c>
      <c r="AA43" s="3">
        <f t="shared" si="19"/>
        <v>0</v>
      </c>
      <c r="AB43" s="3" t="e">
        <f t="shared" si="20"/>
        <v>#DIV/0!</v>
      </c>
      <c r="AC43" s="3" t="str">
        <f t="shared" si="21"/>
        <v/>
      </c>
      <c r="AD43" s="3">
        <f t="shared" si="8"/>
        <v>0</v>
      </c>
      <c r="AE43" s="3">
        <f t="shared" si="3"/>
        <v>0</v>
      </c>
      <c r="AF43" s="3">
        <f t="shared" si="9"/>
        <v>0</v>
      </c>
      <c r="AG43" s="3" t="e">
        <f>AF43 / SUM(F$2:F43)</f>
        <v>#DIV/0!</v>
      </c>
      <c r="AH43" s="3" t="e">
        <f t="shared" si="10"/>
        <v>#DIV/0!</v>
      </c>
      <c r="AI43" s="3">
        <f t="shared" si="11"/>
        <v>0</v>
      </c>
      <c r="AJ43" s="3" t="e">
        <f t="shared" si="12"/>
        <v>#DIV/0!</v>
      </c>
      <c r="AK43" s="3" t="e">
        <f t="shared" si="27"/>
        <v>#DIV/0!</v>
      </c>
    </row>
    <row r="44" spans="1:37" x14ac:dyDescent="0.3">
      <c r="A44" s="24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f t="shared" si="0"/>
        <v>0</v>
      </c>
      <c r="H44" s="3">
        <f t="shared" si="17"/>
        <v>0</v>
      </c>
      <c r="I44" s="3">
        <f t="shared" si="22"/>
        <v>0</v>
      </c>
      <c r="J44" s="3">
        <f t="shared" si="23"/>
        <v>0</v>
      </c>
      <c r="K44" s="3">
        <f t="shared" si="24"/>
        <v>0</v>
      </c>
      <c r="L44" s="3">
        <f t="shared" si="25"/>
        <v>0</v>
      </c>
      <c r="M44" s="3" t="e">
        <f t="shared" si="4"/>
        <v>#DIV/0!</v>
      </c>
      <c r="N44" s="3" t="e">
        <f t="shared" si="13"/>
        <v>#DIV/0!</v>
      </c>
      <c r="O44" s="3" t="e">
        <f t="shared" si="26"/>
        <v>#DIV/0!</v>
      </c>
      <c r="P44" s="3">
        <f t="shared" si="14"/>
        <v>0</v>
      </c>
      <c r="Q44" s="3">
        <f t="shared" si="28"/>
        <v>0</v>
      </c>
      <c r="R44" s="3">
        <f t="shared" si="16"/>
        <v>0</v>
      </c>
      <c r="S44" s="3">
        <f t="shared" si="29"/>
        <v>0</v>
      </c>
      <c r="T44" s="3">
        <f t="shared" si="1"/>
        <v>0</v>
      </c>
      <c r="U44" s="3">
        <f t="shared" si="15"/>
        <v>0</v>
      </c>
      <c r="V44" s="3">
        <f t="shared" si="2"/>
        <v>0</v>
      </c>
      <c r="W44" s="3">
        <f t="shared" si="5"/>
        <v>0</v>
      </c>
      <c r="X44" s="3">
        <f t="shared" si="6"/>
        <v>0</v>
      </c>
      <c r="Y44" s="3">
        <f t="shared" si="7"/>
        <v>0</v>
      </c>
      <c r="Z44" s="3">
        <f t="shared" si="18"/>
        <v>0</v>
      </c>
      <c r="AA44" s="3">
        <f t="shared" si="19"/>
        <v>0</v>
      </c>
      <c r="AB44" s="3" t="e">
        <f t="shared" si="20"/>
        <v>#DIV/0!</v>
      </c>
      <c r="AC44" s="3" t="str">
        <f t="shared" si="21"/>
        <v/>
      </c>
      <c r="AD44" s="3">
        <f t="shared" si="8"/>
        <v>0</v>
      </c>
      <c r="AE44" s="3">
        <f t="shared" si="3"/>
        <v>0</v>
      </c>
      <c r="AF44" s="3">
        <f t="shared" si="9"/>
        <v>0</v>
      </c>
      <c r="AG44" s="3" t="e">
        <f>AF44 / SUM(F$2:F44)</f>
        <v>#DIV/0!</v>
      </c>
      <c r="AH44" s="3" t="e">
        <f t="shared" si="10"/>
        <v>#DIV/0!</v>
      </c>
      <c r="AI44" s="3">
        <f t="shared" si="11"/>
        <v>0</v>
      </c>
      <c r="AJ44" s="3" t="e">
        <f t="shared" si="12"/>
        <v>#DIV/0!</v>
      </c>
      <c r="AK44" s="3" t="e">
        <f t="shared" si="27"/>
        <v>#DIV/0!</v>
      </c>
    </row>
    <row r="45" spans="1:37" x14ac:dyDescent="0.3">
      <c r="A45" s="24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f t="shared" si="0"/>
        <v>0</v>
      </c>
      <c r="H45" s="3">
        <f t="shared" si="17"/>
        <v>0</v>
      </c>
      <c r="I45" s="3">
        <f t="shared" si="22"/>
        <v>0</v>
      </c>
      <c r="J45" s="3">
        <f t="shared" si="23"/>
        <v>0</v>
      </c>
      <c r="K45" s="3">
        <f t="shared" si="24"/>
        <v>0</v>
      </c>
      <c r="L45" s="3">
        <f t="shared" si="25"/>
        <v>0</v>
      </c>
      <c r="M45" s="3" t="e">
        <f t="shared" si="4"/>
        <v>#DIV/0!</v>
      </c>
      <c r="N45" s="3" t="e">
        <f t="shared" si="13"/>
        <v>#DIV/0!</v>
      </c>
      <c r="O45" s="3" t="e">
        <f t="shared" si="26"/>
        <v>#DIV/0!</v>
      </c>
      <c r="P45" s="3">
        <f t="shared" si="14"/>
        <v>0</v>
      </c>
      <c r="Q45" s="3">
        <f t="shared" si="28"/>
        <v>0</v>
      </c>
      <c r="R45" s="3">
        <f t="shared" si="16"/>
        <v>0</v>
      </c>
      <c r="S45" s="3">
        <f t="shared" si="29"/>
        <v>0</v>
      </c>
      <c r="T45" s="3">
        <f t="shared" si="1"/>
        <v>0</v>
      </c>
      <c r="U45" s="3">
        <f t="shared" si="15"/>
        <v>0</v>
      </c>
      <c r="V45" s="3">
        <f t="shared" si="2"/>
        <v>0</v>
      </c>
      <c r="W45" s="3">
        <f t="shared" si="5"/>
        <v>0</v>
      </c>
      <c r="X45" s="3">
        <f t="shared" si="6"/>
        <v>0</v>
      </c>
      <c r="Y45" s="3">
        <f t="shared" si="7"/>
        <v>0</v>
      </c>
      <c r="Z45" s="3">
        <f t="shared" si="18"/>
        <v>0</v>
      </c>
      <c r="AA45" s="3">
        <f t="shared" si="19"/>
        <v>0</v>
      </c>
      <c r="AB45" s="3" t="e">
        <f t="shared" si="20"/>
        <v>#DIV/0!</v>
      </c>
      <c r="AC45" s="3" t="str">
        <f t="shared" si="21"/>
        <v/>
      </c>
      <c r="AD45" s="3">
        <f t="shared" si="8"/>
        <v>0</v>
      </c>
      <c r="AE45" s="3">
        <f t="shared" si="3"/>
        <v>0</v>
      </c>
      <c r="AF45" s="3">
        <f t="shared" si="9"/>
        <v>0</v>
      </c>
      <c r="AG45" s="3" t="e">
        <f>AF45 / SUM(F$2:F45)</f>
        <v>#DIV/0!</v>
      </c>
      <c r="AH45" s="3" t="e">
        <f t="shared" si="10"/>
        <v>#DIV/0!</v>
      </c>
      <c r="AI45" s="3">
        <f t="shared" si="11"/>
        <v>0</v>
      </c>
      <c r="AJ45" s="3" t="e">
        <f t="shared" si="12"/>
        <v>#DIV/0!</v>
      </c>
      <c r="AK45" s="3" t="e">
        <f t="shared" si="27"/>
        <v>#DIV/0!</v>
      </c>
    </row>
    <row r="46" spans="1:37" x14ac:dyDescent="0.3">
      <c r="A46" s="24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f t="shared" si="0"/>
        <v>0</v>
      </c>
      <c r="H46" s="3">
        <f t="shared" si="17"/>
        <v>0</v>
      </c>
      <c r="I46" s="3">
        <f t="shared" si="22"/>
        <v>0</v>
      </c>
      <c r="J46" s="3">
        <f t="shared" si="23"/>
        <v>0</v>
      </c>
      <c r="K46" s="3">
        <f t="shared" si="24"/>
        <v>0</v>
      </c>
      <c r="L46" s="3">
        <f t="shared" si="25"/>
        <v>0</v>
      </c>
      <c r="M46" s="3" t="e">
        <f t="shared" si="4"/>
        <v>#DIV/0!</v>
      </c>
      <c r="N46" s="3" t="e">
        <f t="shared" si="13"/>
        <v>#DIV/0!</v>
      </c>
      <c r="O46" s="3" t="e">
        <f t="shared" si="26"/>
        <v>#DIV/0!</v>
      </c>
      <c r="P46" s="3">
        <f t="shared" si="14"/>
        <v>0</v>
      </c>
      <c r="Q46" s="3">
        <f t="shared" si="28"/>
        <v>0</v>
      </c>
      <c r="R46" s="3">
        <f t="shared" si="16"/>
        <v>0</v>
      </c>
      <c r="S46" s="3">
        <f t="shared" si="29"/>
        <v>0</v>
      </c>
      <c r="T46" s="3">
        <f t="shared" si="1"/>
        <v>0</v>
      </c>
      <c r="U46" s="3">
        <f t="shared" si="15"/>
        <v>0</v>
      </c>
      <c r="V46" s="3">
        <f t="shared" si="2"/>
        <v>0</v>
      </c>
      <c r="W46" s="3">
        <f t="shared" si="5"/>
        <v>0</v>
      </c>
      <c r="X46" s="3">
        <f t="shared" si="6"/>
        <v>0</v>
      </c>
      <c r="Y46" s="3">
        <f t="shared" si="7"/>
        <v>0</v>
      </c>
      <c r="Z46" s="3">
        <f t="shared" si="18"/>
        <v>0</v>
      </c>
      <c r="AA46" s="3">
        <f t="shared" si="19"/>
        <v>0</v>
      </c>
      <c r="AB46" s="3" t="e">
        <f t="shared" si="20"/>
        <v>#DIV/0!</v>
      </c>
      <c r="AC46" s="3" t="str">
        <f t="shared" si="21"/>
        <v/>
      </c>
      <c r="AD46" s="3">
        <f t="shared" si="8"/>
        <v>0</v>
      </c>
      <c r="AE46" s="3">
        <f t="shared" si="3"/>
        <v>0</v>
      </c>
      <c r="AF46" s="3">
        <f t="shared" si="9"/>
        <v>0</v>
      </c>
      <c r="AG46" s="3" t="e">
        <f>AF46 / SUM(F$2:F46)</f>
        <v>#DIV/0!</v>
      </c>
      <c r="AH46" s="3" t="e">
        <f t="shared" si="10"/>
        <v>#DIV/0!</v>
      </c>
      <c r="AI46" s="3">
        <f t="shared" si="11"/>
        <v>0</v>
      </c>
      <c r="AJ46" s="3" t="e">
        <f t="shared" si="12"/>
        <v>#DIV/0!</v>
      </c>
      <c r="AK46" s="3" t="e">
        <f t="shared" si="27"/>
        <v>#DIV/0!</v>
      </c>
    </row>
    <row r="47" spans="1:37" x14ac:dyDescent="0.3">
      <c r="A47" s="24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f t="shared" si="0"/>
        <v>0</v>
      </c>
      <c r="H47" s="3">
        <f t="shared" si="17"/>
        <v>0</v>
      </c>
      <c r="I47" s="3">
        <f t="shared" si="22"/>
        <v>0</v>
      </c>
      <c r="J47" s="3">
        <f t="shared" si="23"/>
        <v>0</v>
      </c>
      <c r="K47" s="3">
        <f t="shared" si="24"/>
        <v>0</v>
      </c>
      <c r="L47" s="3">
        <f t="shared" si="25"/>
        <v>0</v>
      </c>
      <c r="M47" s="3" t="e">
        <f t="shared" si="4"/>
        <v>#DIV/0!</v>
      </c>
      <c r="N47" s="3" t="e">
        <f t="shared" si="13"/>
        <v>#DIV/0!</v>
      </c>
      <c r="O47" s="3" t="e">
        <f t="shared" si="26"/>
        <v>#DIV/0!</v>
      </c>
      <c r="P47" s="3">
        <f t="shared" si="14"/>
        <v>0</v>
      </c>
      <c r="Q47" s="3">
        <f t="shared" si="28"/>
        <v>0</v>
      </c>
      <c r="R47" s="3">
        <f t="shared" si="16"/>
        <v>0</v>
      </c>
      <c r="S47" s="3">
        <f t="shared" si="29"/>
        <v>0</v>
      </c>
      <c r="T47" s="3">
        <f t="shared" si="1"/>
        <v>0</v>
      </c>
      <c r="U47" s="3">
        <f t="shared" si="15"/>
        <v>0</v>
      </c>
      <c r="V47" s="3">
        <f t="shared" si="2"/>
        <v>0</v>
      </c>
      <c r="W47" s="3">
        <f t="shared" si="5"/>
        <v>0</v>
      </c>
      <c r="X47" s="3">
        <f t="shared" si="6"/>
        <v>0</v>
      </c>
      <c r="Y47" s="3">
        <f t="shared" si="7"/>
        <v>0</v>
      </c>
      <c r="Z47" s="3">
        <f t="shared" si="18"/>
        <v>0</v>
      </c>
      <c r="AA47" s="3">
        <f t="shared" si="19"/>
        <v>0</v>
      </c>
      <c r="AB47" s="3" t="e">
        <f t="shared" si="20"/>
        <v>#DIV/0!</v>
      </c>
      <c r="AC47" s="3" t="str">
        <f t="shared" si="21"/>
        <v/>
      </c>
      <c r="AD47" s="3">
        <f t="shared" si="8"/>
        <v>0</v>
      </c>
      <c r="AE47" s="3">
        <f t="shared" si="3"/>
        <v>0</v>
      </c>
      <c r="AF47" s="3">
        <f t="shared" si="9"/>
        <v>0</v>
      </c>
      <c r="AG47" s="3" t="e">
        <f>AF47 / SUM(F$2:F47)</f>
        <v>#DIV/0!</v>
      </c>
      <c r="AH47" s="3" t="e">
        <f t="shared" si="10"/>
        <v>#DIV/0!</v>
      </c>
      <c r="AI47" s="3">
        <f t="shared" si="11"/>
        <v>0</v>
      </c>
      <c r="AJ47" s="3" t="e">
        <f t="shared" si="12"/>
        <v>#DIV/0!</v>
      </c>
      <c r="AK47" s="3" t="e">
        <f t="shared" si="27"/>
        <v>#DIV/0!</v>
      </c>
    </row>
    <row r="48" spans="1:37" x14ac:dyDescent="0.3">
      <c r="A48" s="24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f t="shared" si="0"/>
        <v>0</v>
      </c>
      <c r="H48" s="3">
        <f t="shared" si="17"/>
        <v>0</v>
      </c>
      <c r="I48" s="3">
        <f t="shared" si="22"/>
        <v>0</v>
      </c>
      <c r="J48" s="3">
        <f t="shared" si="23"/>
        <v>0</v>
      </c>
      <c r="K48" s="3">
        <f t="shared" si="24"/>
        <v>0</v>
      </c>
      <c r="L48" s="3">
        <f t="shared" si="25"/>
        <v>0</v>
      </c>
      <c r="M48" s="3" t="e">
        <f t="shared" si="4"/>
        <v>#DIV/0!</v>
      </c>
      <c r="N48" s="3" t="e">
        <f t="shared" si="13"/>
        <v>#DIV/0!</v>
      </c>
      <c r="O48" s="3" t="e">
        <f t="shared" si="26"/>
        <v>#DIV/0!</v>
      </c>
      <c r="P48" s="3">
        <f t="shared" si="14"/>
        <v>0</v>
      </c>
      <c r="Q48" s="3">
        <f t="shared" si="28"/>
        <v>0</v>
      </c>
      <c r="R48" s="3">
        <f t="shared" si="16"/>
        <v>0</v>
      </c>
      <c r="S48" s="3">
        <f t="shared" si="29"/>
        <v>0</v>
      </c>
      <c r="T48" s="3">
        <f t="shared" si="1"/>
        <v>0</v>
      </c>
      <c r="U48" s="3">
        <f t="shared" si="15"/>
        <v>0</v>
      </c>
      <c r="V48" s="3">
        <f t="shared" si="2"/>
        <v>0</v>
      </c>
      <c r="W48" s="3">
        <f t="shared" si="5"/>
        <v>0</v>
      </c>
      <c r="X48" s="3">
        <f t="shared" si="6"/>
        <v>0</v>
      </c>
      <c r="Y48" s="3">
        <f t="shared" si="7"/>
        <v>0</v>
      </c>
      <c r="Z48" s="3">
        <f t="shared" si="18"/>
        <v>0</v>
      </c>
      <c r="AA48" s="3">
        <f t="shared" si="19"/>
        <v>0</v>
      </c>
      <c r="AB48" s="3" t="e">
        <f t="shared" si="20"/>
        <v>#DIV/0!</v>
      </c>
      <c r="AC48" s="3" t="str">
        <f t="shared" si="21"/>
        <v/>
      </c>
      <c r="AD48" s="3">
        <f t="shared" si="8"/>
        <v>0</v>
      </c>
      <c r="AE48" s="3">
        <f t="shared" si="3"/>
        <v>0</v>
      </c>
      <c r="AF48" s="3">
        <f t="shared" si="9"/>
        <v>0</v>
      </c>
      <c r="AG48" s="3" t="e">
        <f>AF48 / SUM(F$2:F48)</f>
        <v>#DIV/0!</v>
      </c>
      <c r="AH48" s="3" t="e">
        <f t="shared" si="10"/>
        <v>#DIV/0!</v>
      </c>
      <c r="AI48" s="3">
        <f t="shared" si="11"/>
        <v>0</v>
      </c>
      <c r="AJ48" s="3" t="e">
        <f t="shared" si="12"/>
        <v>#DIV/0!</v>
      </c>
      <c r="AK48" s="3" t="e">
        <f t="shared" si="27"/>
        <v>#DIV/0!</v>
      </c>
    </row>
    <row r="49" spans="1:37" x14ac:dyDescent="0.3">
      <c r="A49" s="24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f t="shared" si="0"/>
        <v>0</v>
      </c>
      <c r="H49" s="3">
        <f t="shared" si="17"/>
        <v>0</v>
      </c>
      <c r="I49" s="3">
        <f t="shared" si="22"/>
        <v>0</v>
      </c>
      <c r="J49" s="3">
        <f t="shared" si="23"/>
        <v>0</v>
      </c>
      <c r="K49" s="3">
        <f t="shared" si="24"/>
        <v>0</v>
      </c>
      <c r="L49" s="3">
        <f t="shared" si="25"/>
        <v>0</v>
      </c>
      <c r="M49" s="3" t="e">
        <f t="shared" si="4"/>
        <v>#DIV/0!</v>
      </c>
      <c r="N49" s="3" t="e">
        <f t="shared" si="13"/>
        <v>#DIV/0!</v>
      </c>
      <c r="O49" s="3" t="e">
        <f t="shared" si="26"/>
        <v>#DIV/0!</v>
      </c>
      <c r="P49" s="3">
        <f t="shared" si="14"/>
        <v>0</v>
      </c>
      <c r="Q49" s="3">
        <f t="shared" si="28"/>
        <v>0</v>
      </c>
      <c r="R49" s="3">
        <f t="shared" si="16"/>
        <v>0</v>
      </c>
      <c r="S49" s="3">
        <f t="shared" si="29"/>
        <v>0</v>
      </c>
      <c r="T49" s="3">
        <f t="shared" si="1"/>
        <v>0</v>
      </c>
      <c r="U49" s="3">
        <f t="shared" si="15"/>
        <v>0</v>
      </c>
      <c r="V49" s="3">
        <f t="shared" si="2"/>
        <v>0</v>
      </c>
      <c r="W49" s="3">
        <f t="shared" si="5"/>
        <v>0</v>
      </c>
      <c r="X49" s="3">
        <f t="shared" si="6"/>
        <v>0</v>
      </c>
      <c r="Y49" s="3">
        <f t="shared" si="7"/>
        <v>0</v>
      </c>
      <c r="Z49" s="3">
        <f t="shared" si="18"/>
        <v>0</v>
      </c>
      <c r="AA49" s="3">
        <f t="shared" si="19"/>
        <v>0</v>
      </c>
      <c r="AB49" s="3" t="e">
        <f t="shared" si="20"/>
        <v>#DIV/0!</v>
      </c>
      <c r="AC49" s="3" t="str">
        <f t="shared" si="21"/>
        <v/>
      </c>
      <c r="AD49" s="3">
        <f t="shared" si="8"/>
        <v>0</v>
      </c>
      <c r="AE49" s="3">
        <f t="shared" si="3"/>
        <v>0</v>
      </c>
      <c r="AF49" s="3">
        <f t="shared" si="9"/>
        <v>0</v>
      </c>
      <c r="AG49" s="3" t="e">
        <f>AF49 / SUM(F$2:F49)</f>
        <v>#DIV/0!</v>
      </c>
      <c r="AH49" s="3" t="e">
        <f t="shared" si="10"/>
        <v>#DIV/0!</v>
      </c>
      <c r="AI49" s="3">
        <f t="shared" si="11"/>
        <v>0</v>
      </c>
      <c r="AJ49" s="3" t="e">
        <f t="shared" si="12"/>
        <v>#DIV/0!</v>
      </c>
      <c r="AK49" s="3" t="e">
        <f t="shared" si="27"/>
        <v>#DIV/0!</v>
      </c>
    </row>
    <row r="50" spans="1:37" x14ac:dyDescent="0.3">
      <c r="A50" s="24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f t="shared" si="0"/>
        <v>0</v>
      </c>
      <c r="H50" s="3">
        <f t="shared" si="17"/>
        <v>0</v>
      </c>
      <c r="I50" s="3">
        <f t="shared" si="22"/>
        <v>0</v>
      </c>
      <c r="J50" s="3">
        <f t="shared" si="23"/>
        <v>0</v>
      </c>
      <c r="K50" s="3">
        <f t="shared" si="24"/>
        <v>0</v>
      </c>
      <c r="L50" s="3">
        <f t="shared" si="25"/>
        <v>0</v>
      </c>
      <c r="M50" s="3" t="e">
        <f t="shared" si="4"/>
        <v>#DIV/0!</v>
      </c>
      <c r="N50" s="3" t="e">
        <f t="shared" si="13"/>
        <v>#DIV/0!</v>
      </c>
      <c r="O50" s="3" t="e">
        <f t="shared" si="26"/>
        <v>#DIV/0!</v>
      </c>
      <c r="P50" s="3">
        <f t="shared" si="14"/>
        <v>0</v>
      </c>
      <c r="Q50" s="3">
        <f t="shared" si="28"/>
        <v>0</v>
      </c>
      <c r="R50" s="3">
        <f t="shared" si="16"/>
        <v>0</v>
      </c>
      <c r="S50" s="3">
        <f t="shared" si="29"/>
        <v>0</v>
      </c>
      <c r="T50" s="3">
        <f t="shared" si="1"/>
        <v>0</v>
      </c>
      <c r="U50" s="3">
        <f t="shared" si="15"/>
        <v>0</v>
      </c>
      <c r="V50" s="3">
        <f t="shared" si="2"/>
        <v>0</v>
      </c>
      <c r="W50" s="3">
        <f t="shared" si="5"/>
        <v>0</v>
      </c>
      <c r="X50" s="3">
        <f t="shared" si="6"/>
        <v>0</v>
      </c>
      <c r="Y50" s="3">
        <f t="shared" si="7"/>
        <v>0</v>
      </c>
      <c r="Z50" s="3">
        <f t="shared" si="18"/>
        <v>0</v>
      </c>
      <c r="AA50" s="3">
        <f t="shared" si="19"/>
        <v>0</v>
      </c>
      <c r="AB50" s="3" t="e">
        <f t="shared" si="20"/>
        <v>#DIV/0!</v>
      </c>
      <c r="AC50" s="3" t="str">
        <f t="shared" si="21"/>
        <v/>
      </c>
      <c r="AD50" s="3">
        <f t="shared" si="8"/>
        <v>0</v>
      </c>
      <c r="AE50" s="3">
        <f t="shared" si="3"/>
        <v>0</v>
      </c>
      <c r="AF50" s="3">
        <f t="shared" si="9"/>
        <v>0</v>
      </c>
      <c r="AG50" s="3" t="e">
        <f>AF50 / SUM(F$2:F50)</f>
        <v>#DIV/0!</v>
      </c>
      <c r="AH50" s="3" t="e">
        <f t="shared" si="10"/>
        <v>#DIV/0!</v>
      </c>
      <c r="AI50" s="3">
        <f t="shared" si="11"/>
        <v>0</v>
      </c>
      <c r="AJ50" s="3" t="e">
        <f t="shared" si="12"/>
        <v>#DIV/0!</v>
      </c>
      <c r="AK50" s="3" t="e">
        <f t="shared" si="27"/>
        <v>#DIV/0!</v>
      </c>
    </row>
    <row r="51" spans="1:37" x14ac:dyDescent="0.3">
      <c r="A51" s="24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f t="shared" si="0"/>
        <v>0</v>
      </c>
      <c r="H51" s="3">
        <f t="shared" si="17"/>
        <v>0</v>
      </c>
      <c r="I51" s="3">
        <f t="shared" si="22"/>
        <v>0</v>
      </c>
      <c r="J51" s="3">
        <f t="shared" si="23"/>
        <v>0</v>
      </c>
      <c r="K51" s="3">
        <f t="shared" si="24"/>
        <v>0</v>
      </c>
      <c r="L51" s="3">
        <f t="shared" si="25"/>
        <v>0</v>
      </c>
      <c r="M51" s="3" t="e">
        <f t="shared" si="4"/>
        <v>#DIV/0!</v>
      </c>
      <c r="N51" s="3" t="e">
        <f t="shared" si="13"/>
        <v>#DIV/0!</v>
      </c>
      <c r="O51" s="3" t="e">
        <f t="shared" si="26"/>
        <v>#DIV/0!</v>
      </c>
      <c r="P51" s="3">
        <f t="shared" si="14"/>
        <v>0</v>
      </c>
      <c r="Q51" s="3">
        <f t="shared" si="28"/>
        <v>0</v>
      </c>
      <c r="R51" s="3">
        <f t="shared" si="16"/>
        <v>0</v>
      </c>
      <c r="S51" s="3">
        <f t="shared" si="29"/>
        <v>0</v>
      </c>
      <c r="T51" s="3">
        <f t="shared" si="1"/>
        <v>0</v>
      </c>
      <c r="U51" s="3">
        <f t="shared" si="15"/>
        <v>0</v>
      </c>
      <c r="V51" s="3">
        <f t="shared" si="2"/>
        <v>0</v>
      </c>
      <c r="W51" s="3">
        <f t="shared" si="5"/>
        <v>0</v>
      </c>
      <c r="X51" s="3">
        <f t="shared" si="6"/>
        <v>0</v>
      </c>
      <c r="Y51" s="3">
        <f t="shared" si="7"/>
        <v>0</v>
      </c>
      <c r="Z51" s="3">
        <f t="shared" si="18"/>
        <v>0</v>
      </c>
      <c r="AA51" s="3">
        <f t="shared" si="19"/>
        <v>0</v>
      </c>
      <c r="AB51" s="3" t="e">
        <f t="shared" si="20"/>
        <v>#DIV/0!</v>
      </c>
      <c r="AC51" s="3" t="str">
        <f t="shared" si="21"/>
        <v/>
      </c>
      <c r="AD51" s="3">
        <f t="shared" si="8"/>
        <v>0</v>
      </c>
      <c r="AE51" s="3">
        <f t="shared" si="3"/>
        <v>0</v>
      </c>
      <c r="AF51" s="3">
        <f t="shared" si="9"/>
        <v>0</v>
      </c>
      <c r="AG51" s="3" t="e">
        <f>AF51 / SUM(F$2:F51)</f>
        <v>#DIV/0!</v>
      </c>
      <c r="AH51" s="3" t="e">
        <f t="shared" si="10"/>
        <v>#DIV/0!</v>
      </c>
      <c r="AI51" s="3">
        <f t="shared" si="11"/>
        <v>0</v>
      </c>
      <c r="AJ51" s="3" t="e">
        <f t="shared" si="12"/>
        <v>#DIV/0!</v>
      </c>
      <c r="AK51" s="3" t="e">
        <f t="shared" si="27"/>
        <v>#DIV/0!</v>
      </c>
    </row>
    <row r="52" spans="1:37" x14ac:dyDescent="0.3">
      <c r="A52" s="24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f t="shared" si="0"/>
        <v>0</v>
      </c>
      <c r="H52" s="3">
        <f t="shared" si="17"/>
        <v>0</v>
      </c>
      <c r="I52" s="3">
        <f t="shared" si="22"/>
        <v>0</v>
      </c>
      <c r="J52" s="3">
        <f t="shared" si="23"/>
        <v>0</v>
      </c>
      <c r="K52" s="3">
        <f t="shared" si="24"/>
        <v>0</v>
      </c>
      <c r="L52" s="3">
        <f t="shared" si="25"/>
        <v>0</v>
      </c>
      <c r="M52" s="3" t="e">
        <f t="shared" si="4"/>
        <v>#DIV/0!</v>
      </c>
      <c r="N52" s="3" t="e">
        <f t="shared" si="13"/>
        <v>#DIV/0!</v>
      </c>
      <c r="O52" s="3" t="e">
        <f t="shared" si="26"/>
        <v>#DIV/0!</v>
      </c>
      <c r="P52" s="3">
        <f t="shared" si="14"/>
        <v>0</v>
      </c>
      <c r="Q52" s="3">
        <f t="shared" si="28"/>
        <v>0</v>
      </c>
      <c r="R52" s="3">
        <f t="shared" si="16"/>
        <v>0</v>
      </c>
      <c r="S52" s="3">
        <f t="shared" si="29"/>
        <v>0</v>
      </c>
      <c r="T52" s="3">
        <f t="shared" si="1"/>
        <v>0</v>
      </c>
      <c r="U52" s="3">
        <f t="shared" si="15"/>
        <v>0</v>
      </c>
      <c r="V52" s="3">
        <f t="shared" si="2"/>
        <v>0</v>
      </c>
      <c r="W52" s="3">
        <f t="shared" si="5"/>
        <v>0</v>
      </c>
      <c r="X52" s="3">
        <f t="shared" si="6"/>
        <v>0</v>
      </c>
      <c r="Y52" s="3">
        <f t="shared" si="7"/>
        <v>0</v>
      </c>
      <c r="Z52" s="3">
        <f t="shared" si="18"/>
        <v>0</v>
      </c>
      <c r="AA52" s="3">
        <f t="shared" si="19"/>
        <v>0</v>
      </c>
      <c r="AB52" s="3" t="e">
        <f t="shared" si="20"/>
        <v>#DIV/0!</v>
      </c>
      <c r="AC52" s="3" t="str">
        <f t="shared" si="21"/>
        <v/>
      </c>
      <c r="AD52" s="3">
        <f t="shared" si="8"/>
        <v>0</v>
      </c>
      <c r="AE52" s="3">
        <f t="shared" si="3"/>
        <v>0</v>
      </c>
      <c r="AF52" s="3">
        <f t="shared" si="9"/>
        <v>0</v>
      </c>
      <c r="AG52" s="3" t="e">
        <f>AF52 / SUM(F$2:F52)</f>
        <v>#DIV/0!</v>
      </c>
      <c r="AH52" s="3" t="e">
        <f t="shared" si="10"/>
        <v>#DIV/0!</v>
      </c>
      <c r="AI52" s="3">
        <f t="shared" si="11"/>
        <v>0</v>
      </c>
      <c r="AJ52" s="3" t="e">
        <f t="shared" si="12"/>
        <v>#DIV/0!</v>
      </c>
      <c r="AK52" s="3" t="e">
        <f t="shared" si="27"/>
        <v>#DIV/0!</v>
      </c>
    </row>
    <row r="53" spans="1:37" x14ac:dyDescent="0.3">
      <c r="A53" s="24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f t="shared" si="0"/>
        <v>0</v>
      </c>
      <c r="H53" s="3">
        <f t="shared" si="17"/>
        <v>0</v>
      </c>
      <c r="I53" s="3">
        <f t="shared" si="22"/>
        <v>0</v>
      </c>
      <c r="J53" s="3">
        <f t="shared" si="23"/>
        <v>0</v>
      </c>
      <c r="K53" s="3">
        <f t="shared" si="24"/>
        <v>0</v>
      </c>
      <c r="L53" s="3">
        <f t="shared" si="25"/>
        <v>0</v>
      </c>
      <c r="M53" s="3" t="e">
        <f t="shared" si="4"/>
        <v>#DIV/0!</v>
      </c>
      <c r="N53" s="3" t="e">
        <f t="shared" si="13"/>
        <v>#DIV/0!</v>
      </c>
      <c r="O53" s="3" t="e">
        <f t="shared" si="26"/>
        <v>#DIV/0!</v>
      </c>
      <c r="P53" s="3">
        <f t="shared" si="14"/>
        <v>0</v>
      </c>
      <c r="Q53" s="3">
        <f t="shared" si="28"/>
        <v>0</v>
      </c>
      <c r="R53" s="3">
        <f t="shared" si="16"/>
        <v>0</v>
      </c>
      <c r="S53" s="3">
        <f t="shared" si="29"/>
        <v>0</v>
      </c>
      <c r="T53" s="3">
        <f t="shared" si="1"/>
        <v>0</v>
      </c>
      <c r="U53" s="3">
        <f t="shared" si="15"/>
        <v>0</v>
      </c>
      <c r="V53" s="3">
        <f t="shared" si="2"/>
        <v>0</v>
      </c>
      <c r="W53" s="3">
        <f t="shared" si="5"/>
        <v>0</v>
      </c>
      <c r="X53" s="3">
        <f t="shared" si="6"/>
        <v>0</v>
      </c>
      <c r="Y53" s="3">
        <f t="shared" si="7"/>
        <v>0</v>
      </c>
      <c r="Z53" s="3">
        <f t="shared" si="18"/>
        <v>0</v>
      </c>
      <c r="AA53" s="3">
        <f t="shared" si="19"/>
        <v>0</v>
      </c>
      <c r="AB53" s="3" t="e">
        <f t="shared" si="20"/>
        <v>#DIV/0!</v>
      </c>
      <c r="AC53" s="3" t="str">
        <f t="shared" si="21"/>
        <v/>
      </c>
      <c r="AD53" s="3">
        <f t="shared" si="8"/>
        <v>0</v>
      </c>
      <c r="AE53" s="3">
        <f t="shared" si="3"/>
        <v>0</v>
      </c>
      <c r="AF53" s="3">
        <f t="shared" si="9"/>
        <v>0</v>
      </c>
      <c r="AG53" s="3" t="e">
        <f>AF53 / SUM(F$2:F53)</f>
        <v>#DIV/0!</v>
      </c>
      <c r="AH53" s="3" t="e">
        <f t="shared" si="10"/>
        <v>#DIV/0!</v>
      </c>
      <c r="AI53" s="3">
        <f t="shared" si="11"/>
        <v>0</v>
      </c>
      <c r="AJ53" s="3" t="e">
        <f t="shared" si="12"/>
        <v>#DIV/0!</v>
      </c>
      <c r="AK53" s="3" t="e">
        <f t="shared" si="27"/>
        <v>#DIV/0!</v>
      </c>
    </row>
    <row r="54" spans="1:37" x14ac:dyDescent="0.3">
      <c r="A54" s="24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f t="shared" si="0"/>
        <v>0</v>
      </c>
      <c r="H54" s="3">
        <f t="shared" si="17"/>
        <v>0</v>
      </c>
      <c r="I54" s="3">
        <f t="shared" si="22"/>
        <v>0</v>
      </c>
      <c r="J54" s="3">
        <f t="shared" si="23"/>
        <v>0</v>
      </c>
      <c r="K54" s="3">
        <f t="shared" si="24"/>
        <v>0</v>
      </c>
      <c r="L54" s="3">
        <f t="shared" si="25"/>
        <v>0</v>
      </c>
      <c r="M54" s="3" t="e">
        <f t="shared" si="4"/>
        <v>#DIV/0!</v>
      </c>
      <c r="N54" s="3" t="e">
        <f t="shared" si="13"/>
        <v>#DIV/0!</v>
      </c>
      <c r="O54" s="3" t="e">
        <f t="shared" si="26"/>
        <v>#DIV/0!</v>
      </c>
      <c r="P54" s="3">
        <f t="shared" si="14"/>
        <v>0</v>
      </c>
      <c r="Q54" s="3">
        <f t="shared" si="28"/>
        <v>0</v>
      </c>
      <c r="R54" s="3">
        <f t="shared" si="16"/>
        <v>0</v>
      </c>
      <c r="S54" s="3">
        <f t="shared" si="29"/>
        <v>0</v>
      </c>
      <c r="T54" s="3">
        <f t="shared" si="1"/>
        <v>0</v>
      </c>
      <c r="U54" s="3">
        <f t="shared" si="15"/>
        <v>0</v>
      </c>
      <c r="V54" s="3">
        <f t="shared" si="2"/>
        <v>0</v>
      </c>
      <c r="W54" s="3">
        <f t="shared" si="5"/>
        <v>0</v>
      </c>
      <c r="X54" s="3">
        <f t="shared" si="6"/>
        <v>0</v>
      </c>
      <c r="Y54" s="3">
        <f t="shared" si="7"/>
        <v>0</v>
      </c>
      <c r="Z54" s="3">
        <f t="shared" si="18"/>
        <v>0</v>
      </c>
      <c r="AA54" s="3">
        <f t="shared" si="19"/>
        <v>0</v>
      </c>
      <c r="AB54" s="3" t="e">
        <f t="shared" si="20"/>
        <v>#DIV/0!</v>
      </c>
      <c r="AC54" s="3" t="str">
        <f t="shared" si="21"/>
        <v/>
      </c>
      <c r="AD54" s="3">
        <f t="shared" si="8"/>
        <v>0</v>
      </c>
      <c r="AE54" s="3">
        <f t="shared" si="3"/>
        <v>0</v>
      </c>
      <c r="AF54" s="3">
        <f t="shared" si="9"/>
        <v>0</v>
      </c>
      <c r="AG54" s="3" t="e">
        <f>AF54 / SUM(F$2:F54)</f>
        <v>#DIV/0!</v>
      </c>
      <c r="AH54" s="3" t="e">
        <f t="shared" si="10"/>
        <v>#DIV/0!</v>
      </c>
      <c r="AI54" s="3">
        <f t="shared" si="11"/>
        <v>0</v>
      </c>
      <c r="AJ54" s="3" t="e">
        <f t="shared" si="12"/>
        <v>#DIV/0!</v>
      </c>
      <c r="AK54" s="3" t="e">
        <f t="shared" si="27"/>
        <v>#DIV/0!</v>
      </c>
    </row>
    <row r="55" spans="1:37" x14ac:dyDescent="0.3">
      <c r="A55" s="24">
        <v>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f t="shared" si="0"/>
        <v>0</v>
      </c>
      <c r="H55" s="3">
        <f t="shared" si="17"/>
        <v>0</v>
      </c>
      <c r="I55" s="3">
        <f t="shared" si="22"/>
        <v>0</v>
      </c>
      <c r="J55" s="3">
        <f t="shared" si="23"/>
        <v>0</v>
      </c>
      <c r="K55" s="3">
        <f t="shared" si="24"/>
        <v>0</v>
      </c>
      <c r="L55" s="3">
        <f t="shared" si="25"/>
        <v>0</v>
      </c>
      <c r="M55" s="3" t="e">
        <f t="shared" si="4"/>
        <v>#DIV/0!</v>
      </c>
      <c r="N55" s="3" t="e">
        <f t="shared" si="13"/>
        <v>#DIV/0!</v>
      </c>
      <c r="O55" s="3" t="e">
        <f t="shared" si="26"/>
        <v>#DIV/0!</v>
      </c>
      <c r="P55" s="3">
        <f t="shared" si="14"/>
        <v>0</v>
      </c>
      <c r="Q55" s="3">
        <f t="shared" si="28"/>
        <v>0</v>
      </c>
      <c r="R55" s="3">
        <f t="shared" si="16"/>
        <v>0</v>
      </c>
      <c r="S55" s="3">
        <f t="shared" si="29"/>
        <v>0</v>
      </c>
      <c r="T55" s="3">
        <f t="shared" si="1"/>
        <v>0</v>
      </c>
      <c r="U55" s="3">
        <f t="shared" si="15"/>
        <v>0</v>
      </c>
      <c r="V55" s="3">
        <f t="shared" si="2"/>
        <v>0</v>
      </c>
      <c r="W55" s="3">
        <f t="shared" si="5"/>
        <v>0</v>
      </c>
      <c r="X55" s="3">
        <f t="shared" si="6"/>
        <v>0</v>
      </c>
      <c r="Y55" s="3">
        <f t="shared" si="7"/>
        <v>0</v>
      </c>
      <c r="Z55" s="3">
        <f t="shared" si="18"/>
        <v>0</v>
      </c>
      <c r="AA55" s="3">
        <f t="shared" si="19"/>
        <v>0</v>
      </c>
      <c r="AB55" s="3" t="e">
        <f t="shared" si="20"/>
        <v>#DIV/0!</v>
      </c>
      <c r="AC55" s="3" t="str">
        <f t="shared" si="21"/>
        <v/>
      </c>
      <c r="AD55" s="3">
        <f t="shared" si="8"/>
        <v>0</v>
      </c>
      <c r="AE55" s="3">
        <f t="shared" si="3"/>
        <v>0</v>
      </c>
      <c r="AF55" s="3">
        <f t="shared" si="9"/>
        <v>0</v>
      </c>
      <c r="AG55" s="3" t="e">
        <f>AF55 / SUM(F$2:F55)</f>
        <v>#DIV/0!</v>
      </c>
      <c r="AH55" s="3" t="e">
        <f t="shared" si="10"/>
        <v>#DIV/0!</v>
      </c>
      <c r="AI55" s="3">
        <f t="shared" si="11"/>
        <v>0</v>
      </c>
      <c r="AJ55" s="3" t="e">
        <f t="shared" si="12"/>
        <v>#DIV/0!</v>
      </c>
      <c r="AK55" s="3" t="e">
        <f t="shared" si="27"/>
        <v>#DIV/0!</v>
      </c>
    </row>
    <row r="56" spans="1:37" x14ac:dyDescent="0.3">
      <c r="A56" s="24">
        <v>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f t="shared" si="0"/>
        <v>0</v>
      </c>
      <c r="H56" s="3">
        <f t="shared" si="17"/>
        <v>0</v>
      </c>
      <c r="I56" s="3">
        <f t="shared" si="22"/>
        <v>0</v>
      </c>
      <c r="J56" s="3">
        <f t="shared" si="23"/>
        <v>0</v>
      </c>
      <c r="K56" s="3">
        <f t="shared" si="24"/>
        <v>0</v>
      </c>
      <c r="L56" s="3">
        <f t="shared" si="25"/>
        <v>0</v>
      </c>
      <c r="M56" s="3" t="e">
        <f t="shared" si="4"/>
        <v>#DIV/0!</v>
      </c>
      <c r="N56" s="3" t="e">
        <f t="shared" si="13"/>
        <v>#DIV/0!</v>
      </c>
      <c r="O56" s="3" t="e">
        <f t="shared" si="26"/>
        <v>#DIV/0!</v>
      </c>
      <c r="P56" s="3">
        <f t="shared" si="14"/>
        <v>0</v>
      </c>
      <c r="Q56" s="3">
        <f t="shared" si="28"/>
        <v>0</v>
      </c>
      <c r="R56" s="3">
        <f t="shared" si="16"/>
        <v>0</v>
      </c>
      <c r="S56" s="3">
        <f t="shared" si="29"/>
        <v>0</v>
      </c>
      <c r="T56" s="3">
        <f t="shared" si="1"/>
        <v>0</v>
      </c>
      <c r="U56" s="3">
        <f t="shared" si="15"/>
        <v>0</v>
      </c>
      <c r="V56" s="3">
        <f t="shared" si="2"/>
        <v>0</v>
      </c>
      <c r="W56" s="3">
        <f t="shared" si="5"/>
        <v>0</v>
      </c>
      <c r="X56" s="3">
        <f t="shared" si="6"/>
        <v>0</v>
      </c>
      <c r="Y56" s="3">
        <f t="shared" si="7"/>
        <v>0</v>
      </c>
      <c r="Z56" s="3">
        <f t="shared" si="18"/>
        <v>0</v>
      </c>
      <c r="AA56" s="3">
        <f t="shared" si="19"/>
        <v>0</v>
      </c>
      <c r="AB56" s="3" t="e">
        <f t="shared" si="20"/>
        <v>#DIV/0!</v>
      </c>
      <c r="AC56" s="3" t="str">
        <f t="shared" si="21"/>
        <v/>
      </c>
      <c r="AD56" s="3">
        <f t="shared" si="8"/>
        <v>0</v>
      </c>
      <c r="AE56" s="3">
        <f t="shared" si="3"/>
        <v>0</v>
      </c>
      <c r="AF56" s="3">
        <f t="shared" si="9"/>
        <v>0</v>
      </c>
      <c r="AG56" s="3" t="e">
        <f>AF56 / SUM(F$2:F56)</f>
        <v>#DIV/0!</v>
      </c>
      <c r="AH56" s="3" t="e">
        <f t="shared" si="10"/>
        <v>#DIV/0!</v>
      </c>
      <c r="AI56" s="3">
        <f t="shared" si="11"/>
        <v>0</v>
      </c>
      <c r="AJ56" s="3" t="e">
        <f t="shared" si="12"/>
        <v>#DIV/0!</v>
      </c>
      <c r="AK56" s="3" t="e">
        <f t="shared" si="27"/>
        <v>#DIV/0!</v>
      </c>
    </row>
    <row r="57" spans="1:37" x14ac:dyDescent="0.3">
      <c r="A57" s="24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f t="shared" si="0"/>
        <v>0</v>
      </c>
      <c r="H57" s="3">
        <f t="shared" si="17"/>
        <v>0</v>
      </c>
      <c r="I57" s="3">
        <f t="shared" si="22"/>
        <v>0</v>
      </c>
      <c r="J57" s="3">
        <f t="shared" si="23"/>
        <v>0</v>
      </c>
      <c r="K57" s="3">
        <f t="shared" si="24"/>
        <v>0</v>
      </c>
      <c r="L57" s="3">
        <f t="shared" si="25"/>
        <v>0</v>
      </c>
      <c r="M57" s="3" t="e">
        <f t="shared" si="4"/>
        <v>#DIV/0!</v>
      </c>
      <c r="N57" s="3" t="e">
        <f t="shared" si="13"/>
        <v>#DIV/0!</v>
      </c>
      <c r="O57" s="3" t="e">
        <f t="shared" si="26"/>
        <v>#DIV/0!</v>
      </c>
      <c r="P57" s="3">
        <f t="shared" si="14"/>
        <v>0</v>
      </c>
      <c r="Q57" s="3">
        <f t="shared" si="28"/>
        <v>0</v>
      </c>
      <c r="R57" s="3">
        <f t="shared" si="16"/>
        <v>0</v>
      </c>
      <c r="S57" s="3">
        <f t="shared" si="29"/>
        <v>0</v>
      </c>
      <c r="T57" s="3">
        <f t="shared" si="1"/>
        <v>0</v>
      </c>
      <c r="U57" s="3">
        <f t="shared" si="15"/>
        <v>0</v>
      </c>
      <c r="V57" s="3">
        <f t="shared" si="2"/>
        <v>0</v>
      </c>
      <c r="W57" s="3">
        <f t="shared" si="5"/>
        <v>0</v>
      </c>
      <c r="X57" s="3">
        <f t="shared" si="6"/>
        <v>0</v>
      </c>
      <c r="Y57" s="3">
        <f t="shared" si="7"/>
        <v>0</v>
      </c>
      <c r="Z57" s="3">
        <f t="shared" si="18"/>
        <v>0</v>
      </c>
      <c r="AA57" s="3">
        <f t="shared" si="19"/>
        <v>0</v>
      </c>
      <c r="AB57" s="3" t="e">
        <f t="shared" si="20"/>
        <v>#DIV/0!</v>
      </c>
      <c r="AC57" s="3" t="str">
        <f t="shared" si="21"/>
        <v/>
      </c>
      <c r="AD57" s="3">
        <f t="shared" si="8"/>
        <v>0</v>
      </c>
      <c r="AE57" s="3">
        <f t="shared" si="3"/>
        <v>0</v>
      </c>
      <c r="AF57" s="3">
        <f t="shared" si="9"/>
        <v>0</v>
      </c>
      <c r="AG57" s="3" t="e">
        <f>AF57 / SUM(F$2:F57)</f>
        <v>#DIV/0!</v>
      </c>
      <c r="AH57" s="3" t="e">
        <f t="shared" si="10"/>
        <v>#DIV/0!</v>
      </c>
      <c r="AI57" s="3">
        <f t="shared" si="11"/>
        <v>0</v>
      </c>
      <c r="AJ57" s="3" t="e">
        <f t="shared" si="12"/>
        <v>#DIV/0!</v>
      </c>
      <c r="AK57" s="3" t="e">
        <f t="shared" si="27"/>
        <v>#DIV/0!</v>
      </c>
    </row>
    <row r="58" spans="1:37" x14ac:dyDescent="0.3">
      <c r="A58" s="24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f t="shared" si="0"/>
        <v>0</v>
      </c>
      <c r="H58" s="3">
        <f t="shared" si="17"/>
        <v>0</v>
      </c>
      <c r="I58" s="3">
        <f t="shared" si="22"/>
        <v>0</v>
      </c>
      <c r="J58" s="3">
        <f t="shared" si="23"/>
        <v>0</v>
      </c>
      <c r="K58" s="3">
        <f t="shared" si="24"/>
        <v>0</v>
      </c>
      <c r="L58" s="3">
        <f t="shared" si="25"/>
        <v>0</v>
      </c>
      <c r="M58" s="3" t="e">
        <f t="shared" si="4"/>
        <v>#DIV/0!</v>
      </c>
      <c r="N58" s="3" t="e">
        <f t="shared" si="13"/>
        <v>#DIV/0!</v>
      </c>
      <c r="O58" s="3" t="e">
        <f t="shared" si="26"/>
        <v>#DIV/0!</v>
      </c>
      <c r="P58" s="3">
        <f t="shared" si="14"/>
        <v>0</v>
      </c>
      <c r="Q58" s="3">
        <f t="shared" si="28"/>
        <v>0</v>
      </c>
      <c r="R58" s="3">
        <f t="shared" si="16"/>
        <v>0</v>
      </c>
      <c r="S58" s="3">
        <f t="shared" si="29"/>
        <v>0</v>
      </c>
      <c r="T58" s="3">
        <f t="shared" si="1"/>
        <v>0</v>
      </c>
      <c r="U58" s="3">
        <f t="shared" si="15"/>
        <v>0</v>
      </c>
      <c r="V58" s="3">
        <f t="shared" si="2"/>
        <v>0</v>
      </c>
      <c r="W58" s="3">
        <f t="shared" si="5"/>
        <v>0</v>
      </c>
      <c r="X58" s="3">
        <f t="shared" si="6"/>
        <v>0</v>
      </c>
      <c r="Y58" s="3">
        <f t="shared" si="7"/>
        <v>0</v>
      </c>
      <c r="Z58" s="3">
        <f t="shared" si="18"/>
        <v>0</v>
      </c>
      <c r="AA58" s="3">
        <f t="shared" si="19"/>
        <v>0</v>
      </c>
      <c r="AB58" s="3" t="e">
        <f t="shared" si="20"/>
        <v>#DIV/0!</v>
      </c>
      <c r="AC58" s="3" t="str">
        <f t="shared" si="21"/>
        <v/>
      </c>
      <c r="AD58" s="3">
        <f t="shared" si="8"/>
        <v>0</v>
      </c>
      <c r="AE58" s="3">
        <f t="shared" si="3"/>
        <v>0</v>
      </c>
      <c r="AF58" s="3">
        <f t="shared" si="9"/>
        <v>0</v>
      </c>
      <c r="AG58" s="3" t="e">
        <f>AF58 / SUM(F$2:F58)</f>
        <v>#DIV/0!</v>
      </c>
      <c r="AH58" s="3" t="e">
        <f t="shared" si="10"/>
        <v>#DIV/0!</v>
      </c>
      <c r="AI58" s="3">
        <f t="shared" si="11"/>
        <v>0</v>
      </c>
      <c r="AJ58" s="3" t="e">
        <f t="shared" si="12"/>
        <v>#DIV/0!</v>
      </c>
      <c r="AK58" s="3" t="e">
        <f t="shared" si="27"/>
        <v>#DIV/0!</v>
      </c>
    </row>
    <row r="59" spans="1:37" x14ac:dyDescent="0.3">
      <c r="A59" s="24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f t="shared" si="0"/>
        <v>0</v>
      </c>
      <c r="H59" s="3">
        <f t="shared" si="17"/>
        <v>0</v>
      </c>
      <c r="I59" s="3">
        <f t="shared" si="22"/>
        <v>0</v>
      </c>
      <c r="J59" s="3">
        <f t="shared" si="23"/>
        <v>0</v>
      </c>
      <c r="K59" s="3">
        <f t="shared" si="24"/>
        <v>0</v>
      </c>
      <c r="L59" s="3">
        <f t="shared" si="25"/>
        <v>0</v>
      </c>
      <c r="M59" s="3" t="e">
        <f t="shared" si="4"/>
        <v>#DIV/0!</v>
      </c>
      <c r="N59" s="3" t="e">
        <f t="shared" si="13"/>
        <v>#DIV/0!</v>
      </c>
      <c r="O59" s="3" t="e">
        <f t="shared" si="26"/>
        <v>#DIV/0!</v>
      </c>
      <c r="P59" s="3">
        <f t="shared" si="14"/>
        <v>0</v>
      </c>
      <c r="Q59" s="3">
        <f t="shared" si="28"/>
        <v>0</v>
      </c>
      <c r="R59" s="3">
        <f t="shared" si="16"/>
        <v>0</v>
      </c>
      <c r="S59" s="3">
        <f t="shared" si="29"/>
        <v>0</v>
      </c>
      <c r="T59" s="3">
        <f t="shared" si="1"/>
        <v>0</v>
      </c>
      <c r="U59" s="3">
        <f t="shared" si="15"/>
        <v>0</v>
      </c>
      <c r="V59" s="3">
        <f t="shared" si="2"/>
        <v>0</v>
      </c>
      <c r="W59" s="3">
        <f t="shared" si="5"/>
        <v>0</v>
      </c>
      <c r="X59" s="3">
        <f t="shared" si="6"/>
        <v>0</v>
      </c>
      <c r="Y59" s="3">
        <f t="shared" si="7"/>
        <v>0</v>
      </c>
      <c r="Z59" s="3">
        <f t="shared" si="18"/>
        <v>0</v>
      </c>
      <c r="AA59" s="3">
        <f t="shared" si="19"/>
        <v>0</v>
      </c>
      <c r="AB59" s="3" t="e">
        <f t="shared" si="20"/>
        <v>#DIV/0!</v>
      </c>
      <c r="AC59" s="3" t="str">
        <f t="shared" si="21"/>
        <v/>
      </c>
      <c r="AD59" s="3">
        <f t="shared" si="8"/>
        <v>0</v>
      </c>
      <c r="AE59" s="3">
        <f t="shared" si="3"/>
        <v>0</v>
      </c>
      <c r="AF59" s="3">
        <f t="shared" si="9"/>
        <v>0</v>
      </c>
      <c r="AG59" s="3" t="e">
        <f>AF59 / SUM(F$2:F59)</f>
        <v>#DIV/0!</v>
      </c>
      <c r="AH59" s="3" t="e">
        <f t="shared" si="10"/>
        <v>#DIV/0!</v>
      </c>
      <c r="AI59" s="3">
        <f t="shared" si="11"/>
        <v>0</v>
      </c>
      <c r="AJ59" s="3" t="e">
        <f t="shared" si="12"/>
        <v>#DIV/0!</v>
      </c>
      <c r="AK59" s="3" t="e">
        <f t="shared" si="27"/>
        <v>#DIV/0!</v>
      </c>
    </row>
    <row r="60" spans="1:37" x14ac:dyDescent="0.3">
      <c r="A60" s="24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f t="shared" si="0"/>
        <v>0</v>
      </c>
      <c r="H60" s="3">
        <f t="shared" si="17"/>
        <v>0</v>
      </c>
      <c r="I60" s="3">
        <f t="shared" si="22"/>
        <v>0</v>
      </c>
      <c r="J60" s="3">
        <f t="shared" si="23"/>
        <v>0</v>
      </c>
      <c r="K60" s="3">
        <f t="shared" si="24"/>
        <v>0</v>
      </c>
      <c r="L60" s="3">
        <f t="shared" si="25"/>
        <v>0</v>
      </c>
      <c r="M60" s="3" t="e">
        <f t="shared" si="4"/>
        <v>#DIV/0!</v>
      </c>
      <c r="N60" s="3" t="e">
        <f t="shared" si="13"/>
        <v>#DIV/0!</v>
      </c>
      <c r="O60" s="3" t="e">
        <f t="shared" si="26"/>
        <v>#DIV/0!</v>
      </c>
      <c r="P60" s="3">
        <f t="shared" si="14"/>
        <v>0</v>
      </c>
      <c r="Q60" s="3">
        <f t="shared" si="28"/>
        <v>0</v>
      </c>
      <c r="R60" s="3">
        <f t="shared" si="16"/>
        <v>0</v>
      </c>
      <c r="S60" s="3">
        <f t="shared" si="29"/>
        <v>0</v>
      </c>
      <c r="T60" s="3">
        <f t="shared" si="1"/>
        <v>0</v>
      </c>
      <c r="U60" s="3">
        <f t="shared" si="15"/>
        <v>0</v>
      </c>
      <c r="V60" s="3">
        <f t="shared" si="2"/>
        <v>0</v>
      </c>
      <c r="W60" s="3">
        <f t="shared" si="5"/>
        <v>0</v>
      </c>
      <c r="X60" s="3">
        <f t="shared" si="6"/>
        <v>0</v>
      </c>
      <c r="Y60" s="3">
        <f t="shared" si="7"/>
        <v>0</v>
      </c>
      <c r="Z60" s="3">
        <f t="shared" si="18"/>
        <v>0</v>
      </c>
      <c r="AA60" s="3">
        <f t="shared" si="19"/>
        <v>0</v>
      </c>
      <c r="AB60" s="3" t="e">
        <f t="shared" si="20"/>
        <v>#DIV/0!</v>
      </c>
      <c r="AC60" s="3" t="str">
        <f t="shared" si="21"/>
        <v/>
      </c>
      <c r="AD60" s="3">
        <f t="shared" si="8"/>
        <v>0</v>
      </c>
      <c r="AE60" s="3">
        <f t="shared" si="3"/>
        <v>0</v>
      </c>
      <c r="AF60" s="3">
        <f t="shared" si="9"/>
        <v>0</v>
      </c>
      <c r="AG60" s="3" t="e">
        <f>AF60 / SUM(F$2:F60)</f>
        <v>#DIV/0!</v>
      </c>
      <c r="AH60" s="3" t="e">
        <f t="shared" si="10"/>
        <v>#DIV/0!</v>
      </c>
      <c r="AI60" s="3">
        <f t="shared" si="11"/>
        <v>0</v>
      </c>
      <c r="AJ60" s="3" t="e">
        <f t="shared" si="12"/>
        <v>#DIV/0!</v>
      </c>
      <c r="AK60" s="3" t="e">
        <f t="shared" si="27"/>
        <v>#DIV/0!</v>
      </c>
    </row>
    <row r="61" spans="1:37" x14ac:dyDescent="0.3">
      <c r="A61" s="24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f t="shared" si="0"/>
        <v>0</v>
      </c>
      <c r="H61" s="3">
        <f t="shared" si="17"/>
        <v>0</v>
      </c>
      <c r="I61" s="3">
        <f t="shared" si="22"/>
        <v>0</v>
      </c>
      <c r="J61" s="3">
        <f t="shared" si="23"/>
        <v>0</v>
      </c>
      <c r="K61" s="3">
        <f t="shared" si="24"/>
        <v>0</v>
      </c>
      <c r="L61" s="3">
        <f t="shared" si="25"/>
        <v>0</v>
      </c>
      <c r="M61" s="3" t="e">
        <f t="shared" si="4"/>
        <v>#DIV/0!</v>
      </c>
      <c r="N61" s="3" t="e">
        <f t="shared" si="13"/>
        <v>#DIV/0!</v>
      </c>
      <c r="O61" s="3" t="e">
        <f t="shared" si="26"/>
        <v>#DIV/0!</v>
      </c>
      <c r="P61" s="3">
        <f t="shared" si="14"/>
        <v>0</v>
      </c>
      <c r="Q61" s="3">
        <f t="shared" si="28"/>
        <v>0</v>
      </c>
      <c r="R61" s="3">
        <f t="shared" si="16"/>
        <v>0</v>
      </c>
      <c r="S61" s="3">
        <f t="shared" si="29"/>
        <v>0</v>
      </c>
      <c r="T61" s="3">
        <f t="shared" si="1"/>
        <v>0</v>
      </c>
      <c r="U61" s="3">
        <f t="shared" si="15"/>
        <v>0</v>
      </c>
      <c r="V61" s="3">
        <f t="shared" si="2"/>
        <v>0</v>
      </c>
      <c r="W61" s="3">
        <f t="shared" si="5"/>
        <v>0</v>
      </c>
      <c r="X61" s="3">
        <f t="shared" si="6"/>
        <v>0</v>
      </c>
      <c r="Y61" s="3">
        <f t="shared" si="7"/>
        <v>0</v>
      </c>
      <c r="Z61" s="3">
        <f t="shared" si="18"/>
        <v>0</v>
      </c>
      <c r="AA61" s="3">
        <f t="shared" si="19"/>
        <v>0</v>
      </c>
      <c r="AB61" s="3" t="e">
        <f t="shared" si="20"/>
        <v>#DIV/0!</v>
      </c>
      <c r="AC61" s="3" t="str">
        <f t="shared" si="21"/>
        <v/>
      </c>
      <c r="AD61" s="3">
        <f t="shared" si="8"/>
        <v>0</v>
      </c>
      <c r="AE61" s="3">
        <f t="shared" si="3"/>
        <v>0</v>
      </c>
      <c r="AF61" s="3">
        <f t="shared" si="9"/>
        <v>0</v>
      </c>
      <c r="AG61" s="3" t="e">
        <f>AF61 / SUM(F$2:F61)</f>
        <v>#DIV/0!</v>
      </c>
      <c r="AH61" s="3" t="e">
        <f t="shared" si="10"/>
        <v>#DIV/0!</v>
      </c>
      <c r="AI61" s="3">
        <f t="shared" si="11"/>
        <v>0</v>
      </c>
      <c r="AJ61" s="3" t="e">
        <f t="shared" si="12"/>
        <v>#DIV/0!</v>
      </c>
      <c r="AK61" s="3" t="e">
        <f t="shared" si="27"/>
        <v>#DIV/0!</v>
      </c>
    </row>
    <row r="62" spans="1:37" x14ac:dyDescent="0.3">
      <c r="A62" s="24">
        <v>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f t="shared" si="0"/>
        <v>0</v>
      </c>
      <c r="H62" s="3">
        <f t="shared" si="17"/>
        <v>0</v>
      </c>
      <c r="I62" s="3">
        <f t="shared" si="22"/>
        <v>0</v>
      </c>
      <c r="J62" s="3">
        <f t="shared" si="23"/>
        <v>0</v>
      </c>
      <c r="K62" s="3">
        <f t="shared" si="24"/>
        <v>0</v>
      </c>
      <c r="L62" s="3">
        <f t="shared" si="25"/>
        <v>0</v>
      </c>
      <c r="M62" s="3" t="e">
        <f t="shared" si="4"/>
        <v>#DIV/0!</v>
      </c>
      <c r="N62" s="3" t="e">
        <f t="shared" si="13"/>
        <v>#DIV/0!</v>
      </c>
      <c r="O62" s="3" t="e">
        <f t="shared" si="26"/>
        <v>#DIV/0!</v>
      </c>
      <c r="P62" s="3">
        <f t="shared" si="14"/>
        <v>0</v>
      </c>
      <c r="Q62" s="3">
        <f t="shared" si="28"/>
        <v>0</v>
      </c>
      <c r="R62" s="3">
        <f t="shared" si="16"/>
        <v>0</v>
      </c>
      <c r="S62" s="3">
        <f t="shared" si="29"/>
        <v>0</v>
      </c>
      <c r="T62" s="3">
        <f t="shared" si="1"/>
        <v>0</v>
      </c>
      <c r="U62" s="3">
        <f t="shared" si="15"/>
        <v>0</v>
      </c>
      <c r="V62" s="3">
        <f t="shared" si="2"/>
        <v>0</v>
      </c>
      <c r="W62" s="3">
        <f t="shared" si="5"/>
        <v>0</v>
      </c>
      <c r="X62" s="3">
        <f t="shared" si="6"/>
        <v>0</v>
      </c>
      <c r="Y62" s="3">
        <f t="shared" si="7"/>
        <v>0</v>
      </c>
      <c r="Z62" s="3">
        <f t="shared" si="18"/>
        <v>0</v>
      </c>
      <c r="AA62" s="3">
        <f t="shared" si="19"/>
        <v>0</v>
      </c>
      <c r="AB62" s="3" t="e">
        <f t="shared" si="20"/>
        <v>#DIV/0!</v>
      </c>
      <c r="AC62" s="3" t="str">
        <f t="shared" si="21"/>
        <v/>
      </c>
      <c r="AD62" s="3">
        <f t="shared" si="8"/>
        <v>0</v>
      </c>
      <c r="AE62" s="3">
        <f t="shared" si="3"/>
        <v>0</v>
      </c>
      <c r="AF62" s="3">
        <f t="shared" si="9"/>
        <v>0</v>
      </c>
      <c r="AG62" s="3" t="e">
        <f>AF62 / SUM(F$2:F62)</f>
        <v>#DIV/0!</v>
      </c>
      <c r="AH62" s="3" t="e">
        <f t="shared" si="10"/>
        <v>#DIV/0!</v>
      </c>
      <c r="AI62" s="3">
        <f t="shared" si="11"/>
        <v>0</v>
      </c>
      <c r="AJ62" s="3" t="e">
        <f t="shared" si="12"/>
        <v>#DIV/0!</v>
      </c>
      <c r="AK62" s="3" t="e">
        <f t="shared" si="27"/>
        <v>#DIV/0!</v>
      </c>
    </row>
    <row r="63" spans="1:37" x14ac:dyDescent="0.3">
      <c r="A63" s="24">
        <v>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f t="shared" si="0"/>
        <v>0</v>
      </c>
      <c r="H63" s="3">
        <f t="shared" si="17"/>
        <v>0</v>
      </c>
      <c r="I63" s="3">
        <f t="shared" si="22"/>
        <v>0</v>
      </c>
      <c r="J63" s="3">
        <f t="shared" si="23"/>
        <v>0</v>
      </c>
      <c r="K63" s="3">
        <f t="shared" si="24"/>
        <v>0</v>
      </c>
      <c r="L63" s="3">
        <f t="shared" si="25"/>
        <v>0</v>
      </c>
      <c r="M63" s="3" t="e">
        <f t="shared" si="4"/>
        <v>#DIV/0!</v>
      </c>
      <c r="N63" s="3" t="e">
        <f t="shared" si="13"/>
        <v>#DIV/0!</v>
      </c>
      <c r="O63" s="3" t="e">
        <f t="shared" si="26"/>
        <v>#DIV/0!</v>
      </c>
      <c r="P63" s="3">
        <f t="shared" si="14"/>
        <v>0</v>
      </c>
      <c r="Q63" s="3">
        <f t="shared" si="28"/>
        <v>0</v>
      </c>
      <c r="R63" s="3">
        <f t="shared" si="16"/>
        <v>0</v>
      </c>
      <c r="S63" s="3">
        <f t="shared" si="29"/>
        <v>0</v>
      </c>
      <c r="T63" s="3">
        <f t="shared" si="1"/>
        <v>0</v>
      </c>
      <c r="U63" s="3">
        <f t="shared" si="15"/>
        <v>0</v>
      </c>
      <c r="V63" s="3">
        <f t="shared" si="2"/>
        <v>0</v>
      </c>
      <c r="W63" s="3">
        <f t="shared" si="5"/>
        <v>0</v>
      </c>
      <c r="X63" s="3">
        <f t="shared" si="6"/>
        <v>0</v>
      </c>
      <c r="Y63" s="3">
        <f t="shared" si="7"/>
        <v>0</v>
      </c>
      <c r="Z63" s="3">
        <f t="shared" si="18"/>
        <v>0</v>
      </c>
      <c r="AA63" s="3">
        <f t="shared" si="19"/>
        <v>0</v>
      </c>
      <c r="AB63" s="3" t="e">
        <f t="shared" si="20"/>
        <v>#DIV/0!</v>
      </c>
      <c r="AC63" s="3" t="str">
        <f t="shared" si="21"/>
        <v/>
      </c>
      <c r="AD63" s="3">
        <f t="shared" si="8"/>
        <v>0</v>
      </c>
      <c r="AE63" s="3">
        <f t="shared" si="3"/>
        <v>0</v>
      </c>
      <c r="AF63" s="3">
        <f t="shared" si="9"/>
        <v>0</v>
      </c>
      <c r="AG63" s="3" t="e">
        <f>AF63 / SUM(F$2:F63)</f>
        <v>#DIV/0!</v>
      </c>
      <c r="AH63" s="3" t="e">
        <f t="shared" si="10"/>
        <v>#DIV/0!</v>
      </c>
      <c r="AI63" s="3">
        <f t="shared" si="11"/>
        <v>0</v>
      </c>
      <c r="AJ63" s="3" t="e">
        <f t="shared" si="12"/>
        <v>#DIV/0!</v>
      </c>
      <c r="AK63" s="3" t="e">
        <f t="shared" si="27"/>
        <v>#DIV/0!</v>
      </c>
    </row>
    <row r="64" spans="1:37" x14ac:dyDescent="0.3">
      <c r="A64" s="24">
        <v>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f t="shared" si="0"/>
        <v>0</v>
      </c>
      <c r="H64" s="3">
        <f t="shared" si="17"/>
        <v>0</v>
      </c>
      <c r="I64" s="3">
        <f t="shared" si="22"/>
        <v>0</v>
      </c>
      <c r="J64" s="3">
        <f t="shared" si="23"/>
        <v>0</v>
      </c>
      <c r="K64" s="3">
        <f t="shared" si="24"/>
        <v>0</v>
      </c>
      <c r="L64" s="3">
        <f t="shared" si="25"/>
        <v>0</v>
      </c>
      <c r="M64" s="3" t="e">
        <f t="shared" si="4"/>
        <v>#DIV/0!</v>
      </c>
      <c r="N64" s="3" t="e">
        <f t="shared" si="13"/>
        <v>#DIV/0!</v>
      </c>
      <c r="O64" s="3" t="e">
        <f t="shared" si="26"/>
        <v>#DIV/0!</v>
      </c>
      <c r="P64" s="3">
        <f t="shared" si="14"/>
        <v>0</v>
      </c>
      <c r="Q64" s="3">
        <f t="shared" si="28"/>
        <v>0</v>
      </c>
      <c r="R64" s="3">
        <f t="shared" si="16"/>
        <v>0</v>
      </c>
      <c r="S64" s="3">
        <f t="shared" si="29"/>
        <v>0</v>
      </c>
      <c r="T64" s="3">
        <f t="shared" si="1"/>
        <v>0</v>
      </c>
      <c r="U64" s="3">
        <f t="shared" si="15"/>
        <v>0</v>
      </c>
      <c r="V64" s="3">
        <f t="shared" si="2"/>
        <v>0</v>
      </c>
      <c r="W64" s="3">
        <f t="shared" si="5"/>
        <v>0</v>
      </c>
      <c r="X64" s="3">
        <f t="shared" si="6"/>
        <v>0</v>
      </c>
      <c r="Y64" s="3">
        <f t="shared" si="7"/>
        <v>0</v>
      </c>
      <c r="Z64" s="3">
        <f t="shared" si="18"/>
        <v>0</v>
      </c>
      <c r="AA64" s="3">
        <f t="shared" si="19"/>
        <v>0</v>
      </c>
      <c r="AB64" s="3" t="e">
        <f t="shared" si="20"/>
        <v>#DIV/0!</v>
      </c>
      <c r="AC64" s="3" t="str">
        <f t="shared" si="21"/>
        <v/>
      </c>
      <c r="AD64" s="3">
        <f t="shared" si="8"/>
        <v>0</v>
      </c>
      <c r="AE64" s="3">
        <f t="shared" si="3"/>
        <v>0</v>
      </c>
      <c r="AF64" s="3">
        <f t="shared" si="9"/>
        <v>0</v>
      </c>
      <c r="AG64" s="3" t="e">
        <f>AF64 / SUM(F$2:F64)</f>
        <v>#DIV/0!</v>
      </c>
      <c r="AH64" s="3" t="e">
        <f t="shared" si="10"/>
        <v>#DIV/0!</v>
      </c>
      <c r="AI64" s="3">
        <f t="shared" si="11"/>
        <v>0</v>
      </c>
      <c r="AJ64" s="3" t="e">
        <f t="shared" si="12"/>
        <v>#DIV/0!</v>
      </c>
      <c r="AK64" s="3" t="e">
        <f t="shared" si="27"/>
        <v>#DIV/0!</v>
      </c>
    </row>
    <row r="65" spans="1:37" x14ac:dyDescent="0.3">
      <c r="A65" s="24">
        <v>0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f t="shared" si="0"/>
        <v>0</v>
      </c>
      <c r="H65" s="3">
        <f t="shared" si="17"/>
        <v>0</v>
      </c>
      <c r="I65" s="3">
        <f t="shared" si="22"/>
        <v>0</v>
      </c>
      <c r="J65" s="3">
        <f t="shared" si="23"/>
        <v>0</v>
      </c>
      <c r="K65" s="3">
        <f t="shared" si="24"/>
        <v>0</v>
      </c>
      <c r="L65" s="3">
        <f t="shared" si="25"/>
        <v>0</v>
      </c>
      <c r="M65" s="3" t="e">
        <f t="shared" si="4"/>
        <v>#DIV/0!</v>
      </c>
      <c r="N65" s="3" t="e">
        <f t="shared" si="13"/>
        <v>#DIV/0!</v>
      </c>
      <c r="O65" s="3" t="e">
        <f t="shared" si="26"/>
        <v>#DIV/0!</v>
      </c>
      <c r="P65" s="3">
        <f t="shared" si="14"/>
        <v>0</v>
      </c>
      <c r="Q65" s="3">
        <f t="shared" si="28"/>
        <v>0</v>
      </c>
      <c r="R65" s="3">
        <f t="shared" si="16"/>
        <v>0</v>
      </c>
      <c r="S65" s="3">
        <f t="shared" si="29"/>
        <v>0</v>
      </c>
      <c r="T65" s="3">
        <f t="shared" si="1"/>
        <v>0</v>
      </c>
      <c r="U65" s="3">
        <f t="shared" si="15"/>
        <v>0</v>
      </c>
      <c r="V65" s="3">
        <f t="shared" si="2"/>
        <v>0</v>
      </c>
      <c r="W65" s="3">
        <f t="shared" si="5"/>
        <v>0</v>
      </c>
      <c r="X65" s="3">
        <f t="shared" si="6"/>
        <v>0</v>
      </c>
      <c r="Y65" s="3">
        <f t="shared" si="7"/>
        <v>0</v>
      </c>
      <c r="Z65" s="3">
        <f t="shared" si="18"/>
        <v>0</v>
      </c>
      <c r="AA65" s="3">
        <f t="shared" si="19"/>
        <v>0</v>
      </c>
      <c r="AB65" s="3" t="e">
        <f t="shared" si="20"/>
        <v>#DIV/0!</v>
      </c>
      <c r="AC65" s="3" t="str">
        <f t="shared" si="21"/>
        <v/>
      </c>
      <c r="AD65" s="3">
        <f t="shared" si="8"/>
        <v>0</v>
      </c>
      <c r="AE65" s="3">
        <f t="shared" si="3"/>
        <v>0</v>
      </c>
      <c r="AF65" s="3">
        <f t="shared" si="9"/>
        <v>0</v>
      </c>
      <c r="AG65" s="3" t="e">
        <f>AF65 / SUM(F$2:F65)</f>
        <v>#DIV/0!</v>
      </c>
      <c r="AH65" s="3" t="e">
        <f t="shared" si="10"/>
        <v>#DIV/0!</v>
      </c>
      <c r="AI65" s="3">
        <f t="shared" si="11"/>
        <v>0</v>
      </c>
      <c r="AJ65" s="3" t="e">
        <f t="shared" si="12"/>
        <v>#DIV/0!</v>
      </c>
      <c r="AK65" s="3" t="e">
        <f t="shared" si="27"/>
        <v>#DIV/0!</v>
      </c>
    </row>
    <row r="66" spans="1:37" x14ac:dyDescent="0.3">
      <c r="A66" s="24">
        <v>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f t="shared" si="0"/>
        <v>0</v>
      </c>
      <c r="H66" s="3">
        <f t="shared" si="17"/>
        <v>0</v>
      </c>
      <c r="I66" s="3">
        <f t="shared" si="22"/>
        <v>0</v>
      </c>
      <c r="J66" s="3">
        <f t="shared" si="23"/>
        <v>0</v>
      </c>
      <c r="K66" s="3">
        <f t="shared" si="24"/>
        <v>0</v>
      </c>
      <c r="L66" s="3">
        <f t="shared" si="25"/>
        <v>0</v>
      </c>
      <c r="M66" s="3" t="e">
        <f t="shared" si="4"/>
        <v>#DIV/0!</v>
      </c>
      <c r="N66" s="3" t="e">
        <f t="shared" si="13"/>
        <v>#DIV/0!</v>
      </c>
      <c r="O66" s="3" t="e">
        <f t="shared" si="26"/>
        <v>#DIV/0!</v>
      </c>
      <c r="P66" s="3">
        <f t="shared" si="14"/>
        <v>0</v>
      </c>
      <c r="Q66" s="3">
        <f t="shared" si="28"/>
        <v>0</v>
      </c>
      <c r="R66" s="3">
        <f t="shared" si="16"/>
        <v>0</v>
      </c>
      <c r="S66" s="3">
        <f t="shared" si="29"/>
        <v>0</v>
      </c>
      <c r="T66" s="3">
        <f t="shared" si="1"/>
        <v>0</v>
      </c>
      <c r="U66" s="3">
        <f t="shared" si="15"/>
        <v>0</v>
      </c>
      <c r="V66" s="3">
        <f t="shared" si="2"/>
        <v>0</v>
      </c>
      <c r="W66" s="3">
        <f t="shared" si="5"/>
        <v>0</v>
      </c>
      <c r="X66" s="3">
        <f t="shared" si="6"/>
        <v>0</v>
      </c>
      <c r="Y66" s="3">
        <f t="shared" si="7"/>
        <v>0</v>
      </c>
      <c r="Z66" s="3">
        <f t="shared" si="18"/>
        <v>0</v>
      </c>
      <c r="AA66" s="3">
        <f t="shared" si="19"/>
        <v>0</v>
      </c>
      <c r="AB66" s="3" t="e">
        <f t="shared" si="20"/>
        <v>#DIV/0!</v>
      </c>
      <c r="AC66" s="3" t="str">
        <f t="shared" si="21"/>
        <v/>
      </c>
      <c r="AD66" s="3">
        <f t="shared" si="8"/>
        <v>0</v>
      </c>
      <c r="AE66" s="3">
        <f t="shared" si="3"/>
        <v>0</v>
      </c>
      <c r="AF66" s="3">
        <f t="shared" si="9"/>
        <v>0</v>
      </c>
      <c r="AG66" s="3" t="e">
        <f>AF66 / SUM(F$2:F66)</f>
        <v>#DIV/0!</v>
      </c>
      <c r="AH66" s="3" t="e">
        <f t="shared" si="10"/>
        <v>#DIV/0!</v>
      </c>
      <c r="AI66" s="3">
        <f t="shared" si="11"/>
        <v>0</v>
      </c>
      <c r="AJ66" s="3" t="e">
        <f t="shared" si="12"/>
        <v>#DIV/0!</v>
      </c>
      <c r="AK66" s="3" t="e">
        <f t="shared" si="27"/>
        <v>#DIV/0!</v>
      </c>
    </row>
    <row r="67" spans="1:37" x14ac:dyDescent="0.3">
      <c r="A67" s="24">
        <v>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f t="shared" ref="G67:G130" si="30">MAX(C67-D67, ABS(C67-E68), ABS(D67-E68))</f>
        <v>0</v>
      </c>
      <c r="H67" s="3">
        <f t="shared" si="17"/>
        <v>0</v>
      </c>
      <c r="I67" s="3">
        <f t="shared" si="22"/>
        <v>0</v>
      </c>
      <c r="J67" s="3">
        <f t="shared" si="23"/>
        <v>0</v>
      </c>
      <c r="K67" s="3">
        <f t="shared" si="24"/>
        <v>0</v>
      </c>
      <c r="L67" s="3">
        <f t="shared" si="25"/>
        <v>0</v>
      </c>
      <c r="M67" s="3" t="e">
        <f t="shared" si="4"/>
        <v>#DIV/0!</v>
      </c>
      <c r="N67" s="3" t="e">
        <f t="shared" si="13"/>
        <v>#DIV/0!</v>
      </c>
      <c r="O67" s="3" t="e">
        <f t="shared" si="26"/>
        <v>#DIV/0!</v>
      </c>
      <c r="P67" s="3">
        <f t="shared" si="14"/>
        <v>0</v>
      </c>
      <c r="Q67" s="3">
        <f t="shared" si="28"/>
        <v>0</v>
      </c>
      <c r="R67" s="3">
        <f t="shared" si="16"/>
        <v>0</v>
      </c>
      <c r="S67" s="3">
        <f t="shared" si="29"/>
        <v>0</v>
      </c>
      <c r="T67" s="3">
        <f t="shared" ref="T67:T130" si="31">R67 - S67</f>
        <v>0</v>
      </c>
      <c r="U67" s="3">
        <f t="shared" si="15"/>
        <v>0</v>
      </c>
      <c r="V67" s="3">
        <f t="shared" ref="V67:V130" si="32">T67 - U67</f>
        <v>0</v>
      </c>
      <c r="W67" s="3">
        <f t="shared" si="5"/>
        <v>0</v>
      </c>
      <c r="X67" s="3">
        <f t="shared" si="6"/>
        <v>0</v>
      </c>
      <c r="Y67" s="3">
        <f t="shared" si="7"/>
        <v>0</v>
      </c>
      <c r="Z67" s="3">
        <f t="shared" si="18"/>
        <v>0</v>
      </c>
      <c r="AA67" s="3">
        <f t="shared" si="19"/>
        <v>0</v>
      </c>
      <c r="AB67" s="3" t="e">
        <f t="shared" si="20"/>
        <v>#DIV/0!</v>
      </c>
      <c r="AC67" s="3" t="str">
        <f t="shared" si="21"/>
        <v/>
      </c>
      <c r="AD67" s="3">
        <f t="shared" si="8"/>
        <v>0</v>
      </c>
      <c r="AE67" s="3">
        <f t="shared" ref="AE67:AE130" si="33">(C67+D67+E67)/3</f>
        <v>0</v>
      </c>
      <c r="AF67" s="3">
        <f t="shared" si="9"/>
        <v>0</v>
      </c>
      <c r="AG67" s="3" t="e">
        <f>AF67 / SUM(F$2:F67)</f>
        <v>#DIV/0!</v>
      </c>
      <c r="AH67" s="3" t="e">
        <f t="shared" si="10"/>
        <v>#DIV/0!</v>
      </c>
      <c r="AI67" s="3">
        <f t="shared" si="11"/>
        <v>0</v>
      </c>
      <c r="AJ67" s="3" t="e">
        <f t="shared" si="12"/>
        <v>#DIV/0!</v>
      </c>
      <c r="AK67" s="3" t="e">
        <f t="shared" si="27"/>
        <v>#DIV/0!</v>
      </c>
    </row>
    <row r="68" spans="1:37" x14ac:dyDescent="0.3">
      <c r="A68" s="24">
        <v>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f t="shared" si="30"/>
        <v>0</v>
      </c>
      <c r="H68" s="3">
        <f t="shared" si="17"/>
        <v>0</v>
      </c>
      <c r="I68" s="3">
        <f t="shared" si="22"/>
        <v>0</v>
      </c>
      <c r="J68" s="3">
        <f t="shared" si="23"/>
        <v>0</v>
      </c>
      <c r="K68" s="3">
        <f t="shared" si="24"/>
        <v>0</v>
      </c>
      <c r="L68" s="3">
        <f t="shared" si="25"/>
        <v>0</v>
      </c>
      <c r="M68" s="3" t="e">
        <f t="shared" ref="M68:M131" si="34">LN(E67/E68)</f>
        <v>#DIV/0!</v>
      </c>
      <c r="N68" s="3" t="e">
        <f t="shared" si="13"/>
        <v>#DIV/0!</v>
      </c>
      <c r="O68" s="3" t="e">
        <f t="shared" si="26"/>
        <v>#DIV/0!</v>
      </c>
      <c r="P68" s="3">
        <f t="shared" si="14"/>
        <v>0</v>
      </c>
      <c r="Q68" s="3">
        <f t="shared" si="28"/>
        <v>0</v>
      </c>
      <c r="R68" s="3">
        <f t="shared" si="16"/>
        <v>0</v>
      </c>
      <c r="S68" s="3">
        <f t="shared" si="29"/>
        <v>0</v>
      </c>
      <c r="T68" s="3">
        <f t="shared" si="31"/>
        <v>0</v>
      </c>
      <c r="U68" s="3">
        <f t="shared" si="15"/>
        <v>0</v>
      </c>
      <c r="V68" s="3">
        <f t="shared" si="32"/>
        <v>0</v>
      </c>
      <c r="W68" s="3">
        <f t="shared" ref="W68:W131" si="35">E67-E68</f>
        <v>0</v>
      </c>
      <c r="X68" s="3">
        <f t="shared" ref="X68:X131" si="36">MAX(W68,0)</f>
        <v>0</v>
      </c>
      <c r="Y68" s="3">
        <f t="shared" ref="Y68:Y131" si="37">MAX(-W68,0)</f>
        <v>0</v>
      </c>
      <c r="Z68" s="3">
        <f t="shared" si="18"/>
        <v>0</v>
      </c>
      <c r="AA68" s="3">
        <f t="shared" si="19"/>
        <v>0</v>
      </c>
      <c r="AB68" s="3" t="e">
        <f t="shared" si="20"/>
        <v>#DIV/0!</v>
      </c>
      <c r="AC68" s="3" t="str">
        <f t="shared" si="21"/>
        <v/>
      </c>
      <c r="AD68" s="3">
        <f t="shared" ref="AD68:AD131" si="38">IF(E67&gt;E68,AD67+F67,IF(E67&lt;E68,AD67-F67,AD67))</f>
        <v>0</v>
      </c>
      <c r="AE68" s="3">
        <f t="shared" si="33"/>
        <v>0</v>
      </c>
      <c r="AF68" s="3">
        <f t="shared" ref="AF68:AF131" si="39">AF67 + AE68*F68</f>
        <v>0</v>
      </c>
      <c r="AG68" s="3" t="e">
        <f>AF68 / SUM(F$2:F68)</f>
        <v>#DIV/0!</v>
      </c>
      <c r="AH68" s="3" t="e">
        <f t="shared" ref="AH68:AH131" si="40">(E67-E68)/E68</f>
        <v>#DIV/0!</v>
      </c>
      <c r="AI68" s="3">
        <f t="shared" ref="AI68:AI131" si="41">MAX(AI67,E68)</f>
        <v>0</v>
      </c>
      <c r="AJ68" s="3" t="e">
        <f t="shared" ref="AJ68:AJ131" si="42">(E68-AI68)/AI68</f>
        <v>#DIV/0!</v>
      </c>
      <c r="AK68" s="3" t="e">
        <f t="shared" si="27"/>
        <v>#DIV/0!</v>
      </c>
    </row>
    <row r="69" spans="1:37" x14ac:dyDescent="0.3">
      <c r="A69" s="24">
        <v>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f t="shared" si="30"/>
        <v>0</v>
      </c>
      <c r="H69" s="3">
        <f t="shared" si="17"/>
        <v>0</v>
      </c>
      <c r="I69" s="3">
        <f t="shared" si="22"/>
        <v>0</v>
      </c>
      <c r="J69" s="3">
        <f t="shared" si="23"/>
        <v>0</v>
      </c>
      <c r="K69" s="3">
        <f t="shared" si="24"/>
        <v>0</v>
      </c>
      <c r="L69" s="3">
        <f t="shared" si="25"/>
        <v>0</v>
      </c>
      <c r="M69" s="3" t="e">
        <f t="shared" si="34"/>
        <v>#DIV/0!</v>
      </c>
      <c r="N69" s="3" t="e">
        <f t="shared" si="13"/>
        <v>#DIV/0!</v>
      </c>
      <c r="O69" s="3" t="e">
        <f t="shared" si="26"/>
        <v>#DIV/0!</v>
      </c>
      <c r="P69" s="3">
        <f t="shared" si="14"/>
        <v>0</v>
      </c>
      <c r="Q69" s="3">
        <f t="shared" si="28"/>
        <v>0</v>
      </c>
      <c r="R69" s="3">
        <f t="shared" si="16"/>
        <v>0</v>
      </c>
      <c r="S69" s="3">
        <f t="shared" si="29"/>
        <v>0</v>
      </c>
      <c r="T69" s="3">
        <f t="shared" si="31"/>
        <v>0</v>
      </c>
      <c r="U69" s="3">
        <f t="shared" si="15"/>
        <v>0</v>
      </c>
      <c r="V69" s="3">
        <f t="shared" si="32"/>
        <v>0</v>
      </c>
      <c r="W69" s="3">
        <f t="shared" si="35"/>
        <v>0</v>
      </c>
      <c r="X69" s="3">
        <f t="shared" si="36"/>
        <v>0</v>
      </c>
      <c r="Y69" s="3">
        <f t="shared" si="37"/>
        <v>0</v>
      </c>
      <c r="Z69" s="3">
        <f t="shared" si="18"/>
        <v>0</v>
      </c>
      <c r="AA69" s="3">
        <f t="shared" si="19"/>
        <v>0</v>
      </c>
      <c r="AB69" s="3" t="e">
        <f t="shared" si="20"/>
        <v>#DIV/0!</v>
      </c>
      <c r="AC69" s="3" t="str">
        <f t="shared" si="21"/>
        <v/>
      </c>
      <c r="AD69" s="3">
        <f t="shared" si="38"/>
        <v>0</v>
      </c>
      <c r="AE69" s="3">
        <f t="shared" si="33"/>
        <v>0</v>
      </c>
      <c r="AF69" s="3">
        <f t="shared" si="39"/>
        <v>0</v>
      </c>
      <c r="AG69" s="3" t="e">
        <f>AF69 / SUM(F$2:F69)</f>
        <v>#DIV/0!</v>
      </c>
      <c r="AH69" s="3" t="e">
        <f t="shared" si="40"/>
        <v>#DIV/0!</v>
      </c>
      <c r="AI69" s="3">
        <f t="shared" si="41"/>
        <v>0</v>
      </c>
      <c r="AJ69" s="3" t="e">
        <f t="shared" si="42"/>
        <v>#DIV/0!</v>
      </c>
      <c r="AK69" s="3" t="e">
        <f t="shared" si="27"/>
        <v>#DIV/0!</v>
      </c>
    </row>
    <row r="70" spans="1:37" x14ac:dyDescent="0.3">
      <c r="A70" s="24">
        <v>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f t="shared" si="30"/>
        <v>0</v>
      </c>
      <c r="H70" s="3">
        <f t="shared" si="17"/>
        <v>0</v>
      </c>
      <c r="I70" s="3">
        <f t="shared" si="22"/>
        <v>0</v>
      </c>
      <c r="J70" s="3">
        <f t="shared" si="23"/>
        <v>0</v>
      </c>
      <c r="K70" s="3">
        <f t="shared" si="24"/>
        <v>0</v>
      </c>
      <c r="L70" s="3">
        <f t="shared" si="25"/>
        <v>0</v>
      </c>
      <c r="M70" s="3" t="e">
        <f t="shared" si="34"/>
        <v>#DIV/0!</v>
      </c>
      <c r="N70" s="3" t="e">
        <f t="shared" si="13"/>
        <v>#DIV/0!</v>
      </c>
      <c r="O70" s="3" t="e">
        <f t="shared" si="26"/>
        <v>#DIV/0!</v>
      </c>
      <c r="P70" s="3">
        <f t="shared" si="14"/>
        <v>0</v>
      </c>
      <c r="Q70" s="3">
        <f t="shared" si="28"/>
        <v>0</v>
      </c>
      <c r="R70" s="3">
        <f t="shared" si="16"/>
        <v>0</v>
      </c>
      <c r="S70" s="3">
        <f t="shared" si="29"/>
        <v>0</v>
      </c>
      <c r="T70" s="3">
        <f t="shared" si="31"/>
        <v>0</v>
      </c>
      <c r="U70" s="3">
        <f t="shared" si="15"/>
        <v>0</v>
      </c>
      <c r="V70" s="3">
        <f t="shared" si="32"/>
        <v>0</v>
      </c>
      <c r="W70" s="3">
        <f t="shared" si="35"/>
        <v>0</v>
      </c>
      <c r="X70" s="3">
        <f t="shared" si="36"/>
        <v>0</v>
      </c>
      <c r="Y70" s="3">
        <f t="shared" si="37"/>
        <v>0</v>
      </c>
      <c r="Z70" s="3">
        <f t="shared" si="18"/>
        <v>0</v>
      </c>
      <c r="AA70" s="3">
        <f t="shared" si="19"/>
        <v>0</v>
      </c>
      <c r="AB70" s="3" t="e">
        <f t="shared" si="20"/>
        <v>#DIV/0!</v>
      </c>
      <c r="AC70" s="3" t="str">
        <f t="shared" si="21"/>
        <v/>
      </c>
      <c r="AD70" s="3">
        <f t="shared" si="38"/>
        <v>0</v>
      </c>
      <c r="AE70" s="3">
        <f t="shared" si="33"/>
        <v>0</v>
      </c>
      <c r="AF70" s="3">
        <f t="shared" si="39"/>
        <v>0</v>
      </c>
      <c r="AG70" s="3" t="e">
        <f>AF70 / SUM(F$2:F70)</f>
        <v>#DIV/0!</v>
      </c>
      <c r="AH70" s="3" t="e">
        <f t="shared" si="40"/>
        <v>#DIV/0!</v>
      </c>
      <c r="AI70" s="3">
        <f t="shared" si="41"/>
        <v>0</v>
      </c>
      <c r="AJ70" s="3" t="e">
        <f t="shared" si="42"/>
        <v>#DIV/0!</v>
      </c>
      <c r="AK70" s="3" t="e">
        <f t="shared" si="27"/>
        <v>#DIV/0!</v>
      </c>
    </row>
    <row r="71" spans="1:37" x14ac:dyDescent="0.3">
      <c r="A71" s="24">
        <v>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f t="shared" si="30"/>
        <v>0</v>
      </c>
      <c r="H71" s="3">
        <f t="shared" si="17"/>
        <v>0</v>
      </c>
      <c r="I71" s="3">
        <f t="shared" si="22"/>
        <v>0</v>
      </c>
      <c r="J71" s="3">
        <f t="shared" si="23"/>
        <v>0</v>
      </c>
      <c r="K71" s="3">
        <f t="shared" si="24"/>
        <v>0</v>
      </c>
      <c r="L71" s="3">
        <f t="shared" si="25"/>
        <v>0</v>
      </c>
      <c r="M71" s="3" t="e">
        <f t="shared" si="34"/>
        <v>#DIV/0!</v>
      </c>
      <c r="N71" s="3" t="e">
        <f t="shared" si="13"/>
        <v>#DIV/0!</v>
      </c>
      <c r="O71" s="3" t="e">
        <f t="shared" si="26"/>
        <v>#DIV/0!</v>
      </c>
      <c r="P71" s="3">
        <f t="shared" si="14"/>
        <v>0</v>
      </c>
      <c r="Q71" s="3">
        <f t="shared" si="28"/>
        <v>0</v>
      </c>
      <c r="R71" s="3">
        <f t="shared" si="16"/>
        <v>0</v>
      </c>
      <c r="S71" s="3">
        <f t="shared" si="29"/>
        <v>0</v>
      </c>
      <c r="T71" s="3">
        <f t="shared" si="31"/>
        <v>0</v>
      </c>
      <c r="U71" s="3">
        <f t="shared" si="15"/>
        <v>0</v>
      </c>
      <c r="V71" s="3">
        <f t="shared" si="32"/>
        <v>0</v>
      </c>
      <c r="W71" s="3">
        <f t="shared" si="35"/>
        <v>0</v>
      </c>
      <c r="X71" s="3">
        <f t="shared" si="36"/>
        <v>0</v>
      </c>
      <c r="Y71" s="3">
        <f t="shared" si="37"/>
        <v>0</v>
      </c>
      <c r="Z71" s="3">
        <f t="shared" si="18"/>
        <v>0</v>
      </c>
      <c r="AA71" s="3">
        <f t="shared" si="19"/>
        <v>0</v>
      </c>
      <c r="AB71" s="3" t="e">
        <f t="shared" si="20"/>
        <v>#DIV/0!</v>
      </c>
      <c r="AC71" s="3" t="str">
        <f t="shared" si="21"/>
        <v/>
      </c>
      <c r="AD71" s="3">
        <f t="shared" si="38"/>
        <v>0</v>
      </c>
      <c r="AE71" s="3">
        <f t="shared" si="33"/>
        <v>0</v>
      </c>
      <c r="AF71" s="3">
        <f t="shared" si="39"/>
        <v>0</v>
      </c>
      <c r="AG71" s="3" t="e">
        <f>AF71 / SUM(F$2:F71)</f>
        <v>#DIV/0!</v>
      </c>
      <c r="AH71" s="3" t="e">
        <f t="shared" si="40"/>
        <v>#DIV/0!</v>
      </c>
      <c r="AI71" s="3">
        <f t="shared" si="41"/>
        <v>0</v>
      </c>
      <c r="AJ71" s="3" t="e">
        <f t="shared" si="42"/>
        <v>#DIV/0!</v>
      </c>
      <c r="AK71" s="3" t="e">
        <f t="shared" si="27"/>
        <v>#DIV/0!</v>
      </c>
    </row>
    <row r="72" spans="1:37" x14ac:dyDescent="0.3">
      <c r="A72" s="24">
        <v>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f t="shared" si="30"/>
        <v>0</v>
      </c>
      <c r="H72" s="3">
        <f t="shared" si="17"/>
        <v>0</v>
      </c>
      <c r="I72" s="3">
        <f t="shared" si="22"/>
        <v>0</v>
      </c>
      <c r="J72" s="3">
        <f t="shared" si="23"/>
        <v>0</v>
      </c>
      <c r="K72" s="3">
        <f t="shared" si="24"/>
        <v>0</v>
      </c>
      <c r="L72" s="3">
        <f t="shared" si="25"/>
        <v>0</v>
      </c>
      <c r="M72" s="3" t="e">
        <f t="shared" si="34"/>
        <v>#DIV/0!</v>
      </c>
      <c r="N72" s="3" t="e">
        <f t="shared" si="13"/>
        <v>#DIV/0!</v>
      </c>
      <c r="O72" s="3" t="e">
        <f t="shared" si="26"/>
        <v>#DIV/0!</v>
      </c>
      <c r="P72" s="3">
        <f t="shared" si="14"/>
        <v>0</v>
      </c>
      <c r="Q72" s="3">
        <f t="shared" si="28"/>
        <v>0</v>
      </c>
      <c r="R72" s="3">
        <f t="shared" si="16"/>
        <v>0</v>
      </c>
      <c r="S72" s="3">
        <f t="shared" si="29"/>
        <v>0</v>
      </c>
      <c r="T72" s="3">
        <f t="shared" si="31"/>
        <v>0</v>
      </c>
      <c r="U72" s="3">
        <f t="shared" si="15"/>
        <v>0</v>
      </c>
      <c r="V72" s="3">
        <f t="shared" si="32"/>
        <v>0</v>
      </c>
      <c r="W72" s="3">
        <f t="shared" si="35"/>
        <v>0</v>
      </c>
      <c r="X72" s="3">
        <f t="shared" si="36"/>
        <v>0</v>
      </c>
      <c r="Y72" s="3">
        <f t="shared" si="37"/>
        <v>0</v>
      </c>
      <c r="Z72" s="3">
        <f t="shared" si="18"/>
        <v>0</v>
      </c>
      <c r="AA72" s="3">
        <f t="shared" si="19"/>
        <v>0</v>
      </c>
      <c r="AB72" s="3" t="e">
        <f t="shared" si="20"/>
        <v>#DIV/0!</v>
      </c>
      <c r="AC72" s="3" t="str">
        <f t="shared" si="21"/>
        <v/>
      </c>
      <c r="AD72" s="3">
        <f t="shared" si="38"/>
        <v>0</v>
      </c>
      <c r="AE72" s="3">
        <f t="shared" si="33"/>
        <v>0</v>
      </c>
      <c r="AF72" s="3">
        <f t="shared" si="39"/>
        <v>0</v>
      </c>
      <c r="AG72" s="3" t="e">
        <f>AF72 / SUM(F$2:F72)</f>
        <v>#DIV/0!</v>
      </c>
      <c r="AH72" s="3" t="e">
        <f t="shared" si="40"/>
        <v>#DIV/0!</v>
      </c>
      <c r="AI72" s="3">
        <f t="shared" si="41"/>
        <v>0</v>
      </c>
      <c r="AJ72" s="3" t="e">
        <f t="shared" si="42"/>
        <v>#DIV/0!</v>
      </c>
      <c r="AK72" s="3" t="e">
        <f t="shared" si="27"/>
        <v>#DIV/0!</v>
      </c>
    </row>
    <row r="73" spans="1:37" x14ac:dyDescent="0.3">
      <c r="A73" s="24">
        <v>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f t="shared" si="30"/>
        <v>0</v>
      </c>
      <c r="H73" s="3">
        <f t="shared" si="17"/>
        <v>0</v>
      </c>
      <c r="I73" s="3">
        <f t="shared" si="22"/>
        <v>0</v>
      </c>
      <c r="J73" s="3">
        <f t="shared" si="23"/>
        <v>0</v>
      </c>
      <c r="K73" s="3">
        <f t="shared" si="24"/>
        <v>0</v>
      </c>
      <c r="L73" s="3">
        <f t="shared" si="25"/>
        <v>0</v>
      </c>
      <c r="M73" s="3" t="e">
        <f t="shared" si="34"/>
        <v>#DIV/0!</v>
      </c>
      <c r="N73" s="3" t="e">
        <f t="shared" si="13"/>
        <v>#DIV/0!</v>
      </c>
      <c r="O73" s="3" t="e">
        <f t="shared" si="26"/>
        <v>#DIV/0!</v>
      </c>
      <c r="P73" s="3">
        <f t="shared" si="14"/>
        <v>0</v>
      </c>
      <c r="Q73" s="3">
        <f t="shared" si="28"/>
        <v>0</v>
      </c>
      <c r="R73" s="3">
        <f t="shared" si="16"/>
        <v>0</v>
      </c>
      <c r="S73" s="3">
        <f t="shared" si="29"/>
        <v>0</v>
      </c>
      <c r="T73" s="3">
        <f t="shared" si="31"/>
        <v>0</v>
      </c>
      <c r="U73" s="3">
        <f t="shared" si="15"/>
        <v>0</v>
      </c>
      <c r="V73" s="3">
        <f t="shared" si="32"/>
        <v>0</v>
      </c>
      <c r="W73" s="3">
        <f t="shared" si="35"/>
        <v>0</v>
      </c>
      <c r="X73" s="3">
        <f t="shared" si="36"/>
        <v>0</v>
      </c>
      <c r="Y73" s="3">
        <f t="shared" si="37"/>
        <v>0</v>
      </c>
      <c r="Z73" s="3">
        <f t="shared" si="18"/>
        <v>0</v>
      </c>
      <c r="AA73" s="3">
        <f t="shared" si="19"/>
        <v>0</v>
      </c>
      <c r="AB73" s="3" t="e">
        <f t="shared" si="20"/>
        <v>#DIV/0!</v>
      </c>
      <c r="AC73" s="3" t="str">
        <f t="shared" si="21"/>
        <v/>
      </c>
      <c r="AD73" s="3">
        <f t="shared" si="38"/>
        <v>0</v>
      </c>
      <c r="AE73" s="3">
        <f t="shared" si="33"/>
        <v>0</v>
      </c>
      <c r="AF73" s="3">
        <f t="shared" si="39"/>
        <v>0</v>
      </c>
      <c r="AG73" s="3" t="e">
        <f>AF73 / SUM(F$2:F73)</f>
        <v>#DIV/0!</v>
      </c>
      <c r="AH73" s="3" t="e">
        <f t="shared" si="40"/>
        <v>#DIV/0!</v>
      </c>
      <c r="AI73" s="3">
        <f t="shared" si="41"/>
        <v>0</v>
      </c>
      <c r="AJ73" s="3" t="e">
        <f t="shared" si="42"/>
        <v>#DIV/0!</v>
      </c>
      <c r="AK73" s="3" t="e">
        <f t="shared" si="27"/>
        <v>#DIV/0!</v>
      </c>
    </row>
    <row r="74" spans="1:37" x14ac:dyDescent="0.3">
      <c r="A74" s="24">
        <v>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f t="shared" si="30"/>
        <v>0</v>
      </c>
      <c r="H74" s="3">
        <f t="shared" si="17"/>
        <v>0</v>
      </c>
      <c r="I74" s="3">
        <f t="shared" si="22"/>
        <v>0</v>
      </c>
      <c r="J74" s="3">
        <f t="shared" si="23"/>
        <v>0</v>
      </c>
      <c r="K74" s="3">
        <f t="shared" si="24"/>
        <v>0</v>
      </c>
      <c r="L74" s="3">
        <f t="shared" si="25"/>
        <v>0</v>
      </c>
      <c r="M74" s="3" t="e">
        <f t="shared" si="34"/>
        <v>#DIV/0!</v>
      </c>
      <c r="N74" s="3" t="e">
        <f t="shared" si="13"/>
        <v>#DIV/0!</v>
      </c>
      <c r="O74" s="3" t="e">
        <f t="shared" si="26"/>
        <v>#DIV/0!</v>
      </c>
      <c r="P74" s="3">
        <f t="shared" si="14"/>
        <v>0</v>
      </c>
      <c r="Q74" s="3">
        <f t="shared" si="28"/>
        <v>0</v>
      </c>
      <c r="R74" s="3">
        <f t="shared" si="16"/>
        <v>0</v>
      </c>
      <c r="S74" s="3">
        <f t="shared" si="29"/>
        <v>0</v>
      </c>
      <c r="T74" s="3">
        <f t="shared" si="31"/>
        <v>0</v>
      </c>
      <c r="U74" s="3">
        <f t="shared" si="15"/>
        <v>0</v>
      </c>
      <c r="V74" s="3">
        <f t="shared" si="32"/>
        <v>0</v>
      </c>
      <c r="W74" s="3">
        <f t="shared" si="35"/>
        <v>0</v>
      </c>
      <c r="X74" s="3">
        <f t="shared" si="36"/>
        <v>0</v>
      </c>
      <c r="Y74" s="3">
        <f t="shared" si="37"/>
        <v>0</v>
      </c>
      <c r="Z74" s="3">
        <f t="shared" si="18"/>
        <v>0</v>
      </c>
      <c r="AA74" s="3">
        <f t="shared" si="19"/>
        <v>0</v>
      </c>
      <c r="AB74" s="3" t="e">
        <f t="shared" si="20"/>
        <v>#DIV/0!</v>
      </c>
      <c r="AC74" s="3" t="str">
        <f t="shared" si="21"/>
        <v/>
      </c>
      <c r="AD74" s="3">
        <f t="shared" si="38"/>
        <v>0</v>
      </c>
      <c r="AE74" s="3">
        <f t="shared" si="33"/>
        <v>0</v>
      </c>
      <c r="AF74" s="3">
        <f t="shared" si="39"/>
        <v>0</v>
      </c>
      <c r="AG74" s="3" t="e">
        <f>AF74 / SUM(F$2:F74)</f>
        <v>#DIV/0!</v>
      </c>
      <c r="AH74" s="3" t="e">
        <f t="shared" si="40"/>
        <v>#DIV/0!</v>
      </c>
      <c r="AI74" s="3">
        <f t="shared" si="41"/>
        <v>0</v>
      </c>
      <c r="AJ74" s="3" t="e">
        <f t="shared" si="42"/>
        <v>#DIV/0!</v>
      </c>
      <c r="AK74" s="3" t="e">
        <f t="shared" si="27"/>
        <v>#DIV/0!</v>
      </c>
    </row>
    <row r="75" spans="1:37" x14ac:dyDescent="0.3">
      <c r="A75" s="24">
        <v>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f t="shared" si="30"/>
        <v>0</v>
      </c>
      <c r="H75" s="3">
        <f t="shared" si="17"/>
        <v>0</v>
      </c>
      <c r="I75" s="3">
        <f t="shared" si="22"/>
        <v>0</v>
      </c>
      <c r="J75" s="3">
        <f t="shared" si="23"/>
        <v>0</v>
      </c>
      <c r="K75" s="3">
        <f t="shared" si="24"/>
        <v>0</v>
      </c>
      <c r="L75" s="3">
        <f t="shared" si="25"/>
        <v>0</v>
      </c>
      <c r="M75" s="3" t="e">
        <f t="shared" si="34"/>
        <v>#DIV/0!</v>
      </c>
      <c r="N75" s="3" t="e">
        <f t="shared" si="13"/>
        <v>#DIV/0!</v>
      </c>
      <c r="O75" s="3" t="e">
        <f t="shared" si="26"/>
        <v>#DIV/0!</v>
      </c>
      <c r="P75" s="3">
        <f t="shared" si="14"/>
        <v>0</v>
      </c>
      <c r="Q75" s="3">
        <f t="shared" si="28"/>
        <v>0</v>
      </c>
      <c r="R75" s="3">
        <f t="shared" si="16"/>
        <v>0</v>
      </c>
      <c r="S75" s="3">
        <f t="shared" si="29"/>
        <v>0</v>
      </c>
      <c r="T75" s="3">
        <f t="shared" si="31"/>
        <v>0</v>
      </c>
      <c r="U75" s="3">
        <f t="shared" si="15"/>
        <v>0</v>
      </c>
      <c r="V75" s="3">
        <f t="shared" si="32"/>
        <v>0</v>
      </c>
      <c r="W75" s="3">
        <f t="shared" si="35"/>
        <v>0</v>
      </c>
      <c r="X75" s="3">
        <f t="shared" si="36"/>
        <v>0</v>
      </c>
      <c r="Y75" s="3">
        <f t="shared" si="37"/>
        <v>0</v>
      </c>
      <c r="Z75" s="3">
        <f t="shared" si="18"/>
        <v>0</v>
      </c>
      <c r="AA75" s="3">
        <f t="shared" si="19"/>
        <v>0</v>
      </c>
      <c r="AB75" s="3" t="e">
        <f t="shared" si="20"/>
        <v>#DIV/0!</v>
      </c>
      <c r="AC75" s="3" t="str">
        <f t="shared" si="21"/>
        <v/>
      </c>
      <c r="AD75" s="3">
        <f t="shared" si="38"/>
        <v>0</v>
      </c>
      <c r="AE75" s="3">
        <f t="shared" si="33"/>
        <v>0</v>
      </c>
      <c r="AF75" s="3">
        <f t="shared" si="39"/>
        <v>0</v>
      </c>
      <c r="AG75" s="3" t="e">
        <f>AF75 / SUM(F$2:F75)</f>
        <v>#DIV/0!</v>
      </c>
      <c r="AH75" s="3" t="e">
        <f t="shared" si="40"/>
        <v>#DIV/0!</v>
      </c>
      <c r="AI75" s="3">
        <f t="shared" si="41"/>
        <v>0</v>
      </c>
      <c r="AJ75" s="3" t="e">
        <f t="shared" si="42"/>
        <v>#DIV/0!</v>
      </c>
      <c r="AK75" s="3" t="e">
        <f t="shared" si="27"/>
        <v>#DIV/0!</v>
      </c>
    </row>
    <row r="76" spans="1:37" x14ac:dyDescent="0.3">
      <c r="A76" s="24">
        <v>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f t="shared" si="30"/>
        <v>0</v>
      </c>
      <c r="H76" s="3">
        <f t="shared" si="17"/>
        <v>0</v>
      </c>
      <c r="I76" s="3">
        <f t="shared" si="22"/>
        <v>0</v>
      </c>
      <c r="J76" s="3">
        <f t="shared" si="23"/>
        <v>0</v>
      </c>
      <c r="K76" s="3">
        <f t="shared" si="24"/>
        <v>0</v>
      </c>
      <c r="L76" s="3">
        <f t="shared" si="25"/>
        <v>0</v>
      </c>
      <c r="M76" s="3" t="e">
        <f t="shared" si="34"/>
        <v>#DIV/0!</v>
      </c>
      <c r="N76" s="3" t="e">
        <f t="shared" ref="N76:N139" si="43">_xlfn.STDEV.S(M67:M76)*SQRT(10)</f>
        <v>#DIV/0!</v>
      </c>
      <c r="O76" s="3" t="e">
        <f t="shared" si="26"/>
        <v>#DIV/0!</v>
      </c>
      <c r="P76" s="3">
        <f t="shared" ref="P76:P139" si="44">E76*(2/(9+1)) + P75*(1-(2/(9+1)))</f>
        <v>0</v>
      </c>
      <c r="Q76" s="3">
        <f t="shared" si="28"/>
        <v>0</v>
      </c>
      <c r="R76" s="3">
        <f t="shared" si="16"/>
        <v>0</v>
      </c>
      <c r="S76" s="3">
        <f t="shared" si="29"/>
        <v>0</v>
      </c>
      <c r="T76" s="3">
        <f t="shared" si="31"/>
        <v>0</v>
      </c>
      <c r="U76" s="3">
        <f t="shared" ref="U76:U139" si="45">T76*0.2 + U75*0.8</f>
        <v>0</v>
      </c>
      <c r="V76" s="3">
        <f t="shared" si="32"/>
        <v>0</v>
      </c>
      <c r="W76" s="3">
        <f t="shared" si="35"/>
        <v>0</v>
      </c>
      <c r="X76" s="3">
        <f t="shared" si="36"/>
        <v>0</v>
      </c>
      <c r="Y76" s="3">
        <f t="shared" si="37"/>
        <v>0</v>
      </c>
      <c r="Z76" s="3">
        <f t="shared" si="18"/>
        <v>0</v>
      </c>
      <c r="AA76" s="3">
        <f t="shared" si="19"/>
        <v>0</v>
      </c>
      <c r="AB76" s="3" t="e">
        <f t="shared" si="20"/>
        <v>#DIV/0!</v>
      </c>
      <c r="AC76" s="3" t="str">
        <f t="shared" si="21"/>
        <v/>
      </c>
      <c r="AD76" s="3">
        <f t="shared" si="38"/>
        <v>0</v>
      </c>
      <c r="AE76" s="3">
        <f t="shared" si="33"/>
        <v>0</v>
      </c>
      <c r="AF76" s="3">
        <f t="shared" si="39"/>
        <v>0</v>
      </c>
      <c r="AG76" s="3" t="e">
        <f>AF76 / SUM(F$2:F76)</f>
        <v>#DIV/0!</v>
      </c>
      <c r="AH76" s="3" t="e">
        <f t="shared" si="40"/>
        <v>#DIV/0!</v>
      </c>
      <c r="AI76" s="3">
        <f t="shared" si="41"/>
        <v>0</v>
      </c>
      <c r="AJ76" s="3" t="e">
        <f t="shared" si="42"/>
        <v>#DIV/0!</v>
      </c>
      <c r="AK76" s="3" t="e">
        <f t="shared" si="27"/>
        <v>#DIV/0!</v>
      </c>
    </row>
    <row r="77" spans="1:37" x14ac:dyDescent="0.3">
      <c r="A77" s="24">
        <v>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f t="shared" si="30"/>
        <v>0</v>
      </c>
      <c r="H77" s="3">
        <f t="shared" si="17"/>
        <v>0</v>
      </c>
      <c r="I77" s="3">
        <f t="shared" si="22"/>
        <v>0</v>
      </c>
      <c r="J77" s="3">
        <f t="shared" si="23"/>
        <v>0</v>
      </c>
      <c r="K77" s="3">
        <f t="shared" si="24"/>
        <v>0</v>
      </c>
      <c r="L77" s="3">
        <f t="shared" si="25"/>
        <v>0</v>
      </c>
      <c r="M77" s="3" t="e">
        <f t="shared" si="34"/>
        <v>#DIV/0!</v>
      </c>
      <c r="N77" s="3" t="e">
        <f t="shared" si="43"/>
        <v>#DIV/0!</v>
      </c>
      <c r="O77" s="3" t="e">
        <f t="shared" si="26"/>
        <v>#DIV/0!</v>
      </c>
      <c r="P77" s="3">
        <f t="shared" si="44"/>
        <v>0</v>
      </c>
      <c r="Q77" s="3">
        <f t="shared" si="28"/>
        <v>0</v>
      </c>
      <c r="R77" s="3">
        <f t="shared" si="16"/>
        <v>0</v>
      </c>
      <c r="S77" s="3">
        <f t="shared" si="29"/>
        <v>0</v>
      </c>
      <c r="T77" s="3">
        <f t="shared" si="31"/>
        <v>0</v>
      </c>
      <c r="U77" s="3">
        <f t="shared" si="45"/>
        <v>0</v>
      </c>
      <c r="V77" s="3">
        <f t="shared" si="32"/>
        <v>0</v>
      </c>
      <c r="W77" s="3">
        <f t="shared" si="35"/>
        <v>0</v>
      </c>
      <c r="X77" s="3">
        <f t="shared" si="36"/>
        <v>0</v>
      </c>
      <c r="Y77" s="3">
        <f t="shared" si="37"/>
        <v>0</v>
      </c>
      <c r="Z77" s="3">
        <f t="shared" si="18"/>
        <v>0</v>
      </c>
      <c r="AA77" s="3">
        <f t="shared" si="19"/>
        <v>0</v>
      </c>
      <c r="AB77" s="3" t="e">
        <f t="shared" si="20"/>
        <v>#DIV/0!</v>
      </c>
      <c r="AC77" s="3" t="str">
        <f t="shared" si="21"/>
        <v/>
      </c>
      <c r="AD77" s="3">
        <f t="shared" si="38"/>
        <v>0</v>
      </c>
      <c r="AE77" s="3">
        <f t="shared" si="33"/>
        <v>0</v>
      </c>
      <c r="AF77" s="3">
        <f t="shared" si="39"/>
        <v>0</v>
      </c>
      <c r="AG77" s="3" t="e">
        <f>AF77 / SUM(F$2:F77)</f>
        <v>#DIV/0!</v>
      </c>
      <c r="AH77" s="3" t="e">
        <f t="shared" si="40"/>
        <v>#DIV/0!</v>
      </c>
      <c r="AI77" s="3">
        <f t="shared" si="41"/>
        <v>0</v>
      </c>
      <c r="AJ77" s="3" t="e">
        <f t="shared" si="42"/>
        <v>#DIV/0!</v>
      </c>
      <c r="AK77" s="3" t="e">
        <f t="shared" si="27"/>
        <v>#DIV/0!</v>
      </c>
    </row>
    <row r="78" spans="1:37" x14ac:dyDescent="0.3">
      <c r="A78" s="24">
        <v>0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f t="shared" si="30"/>
        <v>0</v>
      </c>
      <c r="H78" s="3">
        <f t="shared" si="17"/>
        <v>0</v>
      </c>
      <c r="I78" s="3">
        <f t="shared" si="22"/>
        <v>0</v>
      </c>
      <c r="J78" s="3">
        <f t="shared" si="23"/>
        <v>0</v>
      </c>
      <c r="K78" s="3">
        <f t="shared" si="24"/>
        <v>0</v>
      </c>
      <c r="L78" s="3">
        <f t="shared" si="25"/>
        <v>0</v>
      </c>
      <c r="M78" s="3" t="e">
        <f t="shared" si="34"/>
        <v>#DIV/0!</v>
      </c>
      <c r="N78" s="3" t="e">
        <f t="shared" si="43"/>
        <v>#DIV/0!</v>
      </c>
      <c r="O78" s="3" t="e">
        <f t="shared" si="26"/>
        <v>#DIV/0!</v>
      </c>
      <c r="P78" s="3">
        <f t="shared" si="44"/>
        <v>0</v>
      </c>
      <c r="Q78" s="3">
        <f t="shared" si="28"/>
        <v>0</v>
      </c>
      <c r="R78" s="3">
        <f t="shared" si="16"/>
        <v>0</v>
      </c>
      <c r="S78" s="3">
        <f t="shared" si="29"/>
        <v>0</v>
      </c>
      <c r="T78" s="3">
        <f t="shared" si="31"/>
        <v>0</v>
      </c>
      <c r="U78" s="3">
        <f t="shared" si="45"/>
        <v>0</v>
      </c>
      <c r="V78" s="3">
        <f t="shared" si="32"/>
        <v>0</v>
      </c>
      <c r="W78" s="3">
        <f t="shared" si="35"/>
        <v>0</v>
      </c>
      <c r="X78" s="3">
        <f t="shared" si="36"/>
        <v>0</v>
      </c>
      <c r="Y78" s="3">
        <f t="shared" si="37"/>
        <v>0</v>
      </c>
      <c r="Z78" s="3">
        <f t="shared" si="18"/>
        <v>0</v>
      </c>
      <c r="AA78" s="3">
        <f t="shared" si="19"/>
        <v>0</v>
      </c>
      <c r="AB78" s="3" t="e">
        <f t="shared" si="20"/>
        <v>#DIV/0!</v>
      </c>
      <c r="AC78" s="3" t="str">
        <f t="shared" si="21"/>
        <v/>
      </c>
      <c r="AD78" s="3">
        <f t="shared" si="38"/>
        <v>0</v>
      </c>
      <c r="AE78" s="3">
        <f t="shared" si="33"/>
        <v>0</v>
      </c>
      <c r="AF78" s="3">
        <f t="shared" si="39"/>
        <v>0</v>
      </c>
      <c r="AG78" s="3" t="e">
        <f>AF78 / SUM(F$2:F78)</f>
        <v>#DIV/0!</v>
      </c>
      <c r="AH78" s="3" t="e">
        <f t="shared" si="40"/>
        <v>#DIV/0!</v>
      </c>
      <c r="AI78" s="3">
        <f t="shared" si="41"/>
        <v>0</v>
      </c>
      <c r="AJ78" s="3" t="e">
        <f t="shared" si="42"/>
        <v>#DIV/0!</v>
      </c>
      <c r="AK78" s="3" t="e">
        <f t="shared" si="27"/>
        <v>#DIV/0!</v>
      </c>
    </row>
    <row r="79" spans="1:37" x14ac:dyDescent="0.3">
      <c r="A79" s="24">
        <v>0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f t="shared" si="30"/>
        <v>0</v>
      </c>
      <c r="H79" s="3">
        <f t="shared" si="17"/>
        <v>0</v>
      </c>
      <c r="I79" s="3">
        <f t="shared" si="22"/>
        <v>0</v>
      </c>
      <c r="J79" s="3">
        <f t="shared" si="23"/>
        <v>0</v>
      </c>
      <c r="K79" s="3">
        <f t="shared" si="24"/>
        <v>0</v>
      </c>
      <c r="L79" s="3">
        <f t="shared" si="25"/>
        <v>0</v>
      </c>
      <c r="M79" s="3" t="e">
        <f t="shared" si="34"/>
        <v>#DIV/0!</v>
      </c>
      <c r="N79" s="3" t="e">
        <f t="shared" si="43"/>
        <v>#DIV/0!</v>
      </c>
      <c r="O79" s="3" t="e">
        <f t="shared" si="26"/>
        <v>#DIV/0!</v>
      </c>
      <c r="P79" s="3">
        <f t="shared" si="44"/>
        <v>0</v>
      </c>
      <c r="Q79" s="3">
        <f t="shared" si="28"/>
        <v>0</v>
      </c>
      <c r="R79" s="3">
        <f t="shared" ref="R79:R142" si="46">E79*(2/(12+1)) + R78*(1-(2/(12+1)))</f>
        <v>0</v>
      </c>
      <c r="S79" s="3">
        <f t="shared" si="29"/>
        <v>0</v>
      </c>
      <c r="T79" s="3">
        <f t="shared" si="31"/>
        <v>0</v>
      </c>
      <c r="U79" s="3">
        <f t="shared" si="45"/>
        <v>0</v>
      </c>
      <c r="V79" s="3">
        <f t="shared" si="32"/>
        <v>0</v>
      </c>
      <c r="W79" s="3">
        <f t="shared" si="35"/>
        <v>0</v>
      </c>
      <c r="X79" s="3">
        <f t="shared" si="36"/>
        <v>0</v>
      </c>
      <c r="Y79" s="3">
        <f t="shared" si="37"/>
        <v>0</v>
      </c>
      <c r="Z79" s="3">
        <f t="shared" si="18"/>
        <v>0</v>
      </c>
      <c r="AA79" s="3">
        <f t="shared" si="19"/>
        <v>0</v>
      </c>
      <c r="AB79" s="3" t="e">
        <f t="shared" si="20"/>
        <v>#DIV/0!</v>
      </c>
      <c r="AC79" s="3" t="str">
        <f t="shared" si="21"/>
        <v/>
      </c>
      <c r="AD79" s="3">
        <f t="shared" si="38"/>
        <v>0</v>
      </c>
      <c r="AE79" s="3">
        <f t="shared" si="33"/>
        <v>0</v>
      </c>
      <c r="AF79" s="3">
        <f t="shared" si="39"/>
        <v>0</v>
      </c>
      <c r="AG79" s="3" t="e">
        <f>AF79 / SUM(F$2:F79)</f>
        <v>#DIV/0!</v>
      </c>
      <c r="AH79" s="3" t="e">
        <f t="shared" si="40"/>
        <v>#DIV/0!</v>
      </c>
      <c r="AI79" s="3">
        <f t="shared" si="41"/>
        <v>0</v>
      </c>
      <c r="AJ79" s="3" t="e">
        <f t="shared" si="42"/>
        <v>#DIV/0!</v>
      </c>
      <c r="AK79" s="3" t="e">
        <f t="shared" si="27"/>
        <v>#DIV/0!</v>
      </c>
    </row>
    <row r="80" spans="1:37" x14ac:dyDescent="0.3">
      <c r="A80" s="24">
        <v>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f t="shared" si="30"/>
        <v>0</v>
      </c>
      <c r="H80" s="3">
        <f t="shared" ref="H80:H143" si="47">AVERAGE(G67:G80)</f>
        <v>0</v>
      </c>
      <c r="I80" s="3">
        <f t="shared" si="22"/>
        <v>0</v>
      </c>
      <c r="J80" s="3">
        <f t="shared" si="23"/>
        <v>0</v>
      </c>
      <c r="K80" s="3">
        <f t="shared" si="24"/>
        <v>0</v>
      </c>
      <c r="L80" s="3">
        <f t="shared" si="25"/>
        <v>0</v>
      </c>
      <c r="M80" s="3" t="e">
        <f t="shared" si="34"/>
        <v>#DIV/0!</v>
      </c>
      <c r="N80" s="3" t="e">
        <f t="shared" si="43"/>
        <v>#DIV/0!</v>
      </c>
      <c r="O80" s="3" t="e">
        <f t="shared" si="26"/>
        <v>#DIV/0!</v>
      </c>
      <c r="P80" s="3">
        <f t="shared" si="44"/>
        <v>0</v>
      </c>
      <c r="Q80" s="3">
        <f t="shared" si="28"/>
        <v>0</v>
      </c>
      <c r="R80" s="3">
        <f t="shared" si="46"/>
        <v>0</v>
      </c>
      <c r="S80" s="3">
        <f t="shared" si="29"/>
        <v>0</v>
      </c>
      <c r="T80" s="3">
        <f t="shared" si="31"/>
        <v>0</v>
      </c>
      <c r="U80" s="3">
        <f t="shared" si="45"/>
        <v>0</v>
      </c>
      <c r="V80" s="3">
        <f t="shared" si="32"/>
        <v>0</v>
      </c>
      <c r="W80" s="3">
        <f t="shared" si="35"/>
        <v>0</v>
      </c>
      <c r="X80" s="3">
        <f t="shared" si="36"/>
        <v>0</v>
      </c>
      <c r="Y80" s="3">
        <f t="shared" si="37"/>
        <v>0</v>
      </c>
      <c r="Z80" s="3">
        <f t="shared" ref="Z80:Z143" si="48">AVERAGE(X67:X80)</f>
        <v>0</v>
      </c>
      <c r="AA80" s="3">
        <f t="shared" ref="AA80:AA143" si="49">AVERAGE(Y67:Y80)</f>
        <v>0</v>
      </c>
      <c r="AB80" s="3" t="e">
        <f t="shared" ref="AB80:AB143" si="50">100-(100/(1+(Z80/AA80)))</f>
        <v>#DIV/0!</v>
      </c>
      <c r="AC80" s="3" t="str">
        <f t="shared" ref="AC80:AC143" si="51">IF(
COUNT(AB67:AB80)&lt;14,
"",
IF(
MAX(AB67:AB80)=MIN(AB67:AB80),
0.5,
(AB80-MIN(AB67:AB80)) / (MAX(AB67:AB80)-MIN(AB67:AB80))
)
)</f>
        <v/>
      </c>
      <c r="AD80" s="3">
        <f t="shared" si="38"/>
        <v>0</v>
      </c>
      <c r="AE80" s="3">
        <f t="shared" si="33"/>
        <v>0</v>
      </c>
      <c r="AF80" s="3">
        <f t="shared" si="39"/>
        <v>0</v>
      </c>
      <c r="AG80" s="3" t="e">
        <f>AF80 / SUM(F$2:F80)</f>
        <v>#DIV/0!</v>
      </c>
      <c r="AH80" s="3" t="e">
        <f t="shared" si="40"/>
        <v>#DIV/0!</v>
      </c>
      <c r="AI80" s="3">
        <f t="shared" si="41"/>
        <v>0</v>
      </c>
      <c r="AJ80" s="3" t="e">
        <f t="shared" si="42"/>
        <v>#DIV/0!</v>
      </c>
      <c r="AK80" s="3" t="e">
        <f t="shared" si="27"/>
        <v>#DIV/0!</v>
      </c>
    </row>
    <row r="81" spans="1:37" x14ac:dyDescent="0.3">
      <c r="A81" s="24">
        <v>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f t="shared" si="30"/>
        <v>0</v>
      </c>
      <c r="H81" s="3">
        <f t="shared" si="47"/>
        <v>0</v>
      </c>
      <c r="I81" s="3">
        <f t="shared" si="22"/>
        <v>0</v>
      </c>
      <c r="J81" s="3">
        <f t="shared" si="23"/>
        <v>0</v>
      </c>
      <c r="K81" s="3">
        <f t="shared" si="24"/>
        <v>0</v>
      </c>
      <c r="L81" s="3">
        <f t="shared" si="25"/>
        <v>0</v>
      </c>
      <c r="M81" s="3" t="e">
        <f t="shared" si="34"/>
        <v>#DIV/0!</v>
      </c>
      <c r="N81" s="3" t="e">
        <f t="shared" si="43"/>
        <v>#DIV/0!</v>
      </c>
      <c r="O81" s="3" t="e">
        <f t="shared" si="26"/>
        <v>#DIV/0!</v>
      </c>
      <c r="P81" s="3">
        <f t="shared" si="44"/>
        <v>0</v>
      </c>
      <c r="Q81" s="3">
        <f t="shared" si="28"/>
        <v>0</v>
      </c>
      <c r="R81" s="3">
        <f t="shared" si="46"/>
        <v>0</v>
      </c>
      <c r="S81" s="3">
        <f t="shared" si="29"/>
        <v>0</v>
      </c>
      <c r="T81" s="3">
        <f t="shared" si="31"/>
        <v>0</v>
      </c>
      <c r="U81" s="3">
        <f t="shared" si="45"/>
        <v>0</v>
      </c>
      <c r="V81" s="3">
        <f t="shared" si="32"/>
        <v>0</v>
      </c>
      <c r="W81" s="3">
        <f t="shared" si="35"/>
        <v>0</v>
      </c>
      <c r="X81" s="3">
        <f t="shared" si="36"/>
        <v>0</v>
      </c>
      <c r="Y81" s="3">
        <f t="shared" si="37"/>
        <v>0</v>
      </c>
      <c r="Z81" s="3">
        <f t="shared" si="48"/>
        <v>0</v>
      </c>
      <c r="AA81" s="3">
        <f t="shared" si="49"/>
        <v>0</v>
      </c>
      <c r="AB81" s="3" t="e">
        <f t="shared" si="50"/>
        <v>#DIV/0!</v>
      </c>
      <c r="AC81" s="3" t="str">
        <f t="shared" si="51"/>
        <v/>
      </c>
      <c r="AD81" s="3">
        <f t="shared" si="38"/>
        <v>0</v>
      </c>
      <c r="AE81" s="3">
        <f t="shared" si="33"/>
        <v>0</v>
      </c>
      <c r="AF81" s="3">
        <f t="shared" si="39"/>
        <v>0</v>
      </c>
      <c r="AG81" s="3" t="e">
        <f>AF81 / SUM(F$2:F81)</f>
        <v>#DIV/0!</v>
      </c>
      <c r="AH81" s="3" t="e">
        <f t="shared" si="40"/>
        <v>#DIV/0!</v>
      </c>
      <c r="AI81" s="3">
        <f t="shared" si="41"/>
        <v>0</v>
      </c>
      <c r="AJ81" s="3" t="e">
        <f t="shared" si="42"/>
        <v>#DIV/0!</v>
      </c>
      <c r="AK81" s="3" t="e">
        <f t="shared" si="27"/>
        <v>#DIV/0!</v>
      </c>
    </row>
    <row r="82" spans="1:37" x14ac:dyDescent="0.3">
      <c r="A82" s="24">
        <v>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f t="shared" si="30"/>
        <v>0</v>
      </c>
      <c r="H82" s="3">
        <f t="shared" si="47"/>
        <v>0</v>
      </c>
      <c r="I82" s="3">
        <f t="shared" si="22"/>
        <v>0</v>
      </c>
      <c r="J82" s="3">
        <f t="shared" si="23"/>
        <v>0</v>
      </c>
      <c r="K82" s="3">
        <f t="shared" si="24"/>
        <v>0</v>
      </c>
      <c r="L82" s="3">
        <f t="shared" si="25"/>
        <v>0</v>
      </c>
      <c r="M82" s="3" t="e">
        <f t="shared" si="34"/>
        <v>#DIV/0!</v>
      </c>
      <c r="N82" s="3" t="e">
        <f t="shared" si="43"/>
        <v>#DIV/0!</v>
      </c>
      <c r="O82" s="3" t="e">
        <f t="shared" si="26"/>
        <v>#DIV/0!</v>
      </c>
      <c r="P82" s="3">
        <f t="shared" si="44"/>
        <v>0</v>
      </c>
      <c r="Q82" s="3">
        <f t="shared" si="28"/>
        <v>0</v>
      </c>
      <c r="R82" s="3">
        <f t="shared" si="46"/>
        <v>0</v>
      </c>
      <c r="S82" s="3">
        <f t="shared" si="29"/>
        <v>0</v>
      </c>
      <c r="T82" s="3">
        <f t="shared" si="31"/>
        <v>0</v>
      </c>
      <c r="U82" s="3">
        <f t="shared" si="45"/>
        <v>0</v>
      </c>
      <c r="V82" s="3">
        <f t="shared" si="32"/>
        <v>0</v>
      </c>
      <c r="W82" s="3">
        <f t="shared" si="35"/>
        <v>0</v>
      </c>
      <c r="X82" s="3">
        <f t="shared" si="36"/>
        <v>0</v>
      </c>
      <c r="Y82" s="3">
        <f t="shared" si="37"/>
        <v>0</v>
      </c>
      <c r="Z82" s="3">
        <f t="shared" si="48"/>
        <v>0</v>
      </c>
      <c r="AA82" s="3">
        <f t="shared" si="49"/>
        <v>0</v>
      </c>
      <c r="AB82" s="3" t="e">
        <f t="shared" si="50"/>
        <v>#DIV/0!</v>
      </c>
      <c r="AC82" s="3" t="str">
        <f t="shared" si="51"/>
        <v/>
      </c>
      <c r="AD82" s="3">
        <f t="shared" si="38"/>
        <v>0</v>
      </c>
      <c r="AE82" s="3">
        <f t="shared" si="33"/>
        <v>0</v>
      </c>
      <c r="AF82" s="3">
        <f t="shared" si="39"/>
        <v>0</v>
      </c>
      <c r="AG82" s="3" t="e">
        <f>AF82 / SUM(F$2:F82)</f>
        <v>#DIV/0!</v>
      </c>
      <c r="AH82" s="3" t="e">
        <f t="shared" si="40"/>
        <v>#DIV/0!</v>
      </c>
      <c r="AI82" s="3">
        <f t="shared" si="41"/>
        <v>0</v>
      </c>
      <c r="AJ82" s="3" t="e">
        <f t="shared" si="42"/>
        <v>#DIV/0!</v>
      </c>
      <c r="AK82" s="3" t="e">
        <f t="shared" si="27"/>
        <v>#DIV/0!</v>
      </c>
    </row>
    <row r="83" spans="1:37" x14ac:dyDescent="0.3">
      <c r="A83" s="24">
        <v>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f t="shared" si="30"/>
        <v>0</v>
      </c>
      <c r="H83" s="3">
        <f t="shared" si="47"/>
        <v>0</v>
      </c>
      <c r="I83" s="3">
        <f t="shared" si="22"/>
        <v>0</v>
      </c>
      <c r="J83" s="3">
        <f t="shared" si="23"/>
        <v>0</v>
      </c>
      <c r="K83" s="3">
        <f t="shared" si="24"/>
        <v>0</v>
      </c>
      <c r="L83" s="3">
        <f t="shared" si="25"/>
        <v>0</v>
      </c>
      <c r="M83" s="3" t="e">
        <f t="shared" si="34"/>
        <v>#DIV/0!</v>
      </c>
      <c r="N83" s="3" t="e">
        <f t="shared" si="43"/>
        <v>#DIV/0!</v>
      </c>
      <c r="O83" s="3" t="e">
        <f t="shared" si="26"/>
        <v>#DIV/0!</v>
      </c>
      <c r="P83" s="3">
        <f t="shared" si="44"/>
        <v>0</v>
      </c>
      <c r="Q83" s="3">
        <f t="shared" si="28"/>
        <v>0</v>
      </c>
      <c r="R83" s="3">
        <f t="shared" si="46"/>
        <v>0</v>
      </c>
      <c r="S83" s="3">
        <f t="shared" si="29"/>
        <v>0</v>
      </c>
      <c r="T83" s="3">
        <f t="shared" si="31"/>
        <v>0</v>
      </c>
      <c r="U83" s="3">
        <f t="shared" si="45"/>
        <v>0</v>
      </c>
      <c r="V83" s="3">
        <f t="shared" si="32"/>
        <v>0</v>
      </c>
      <c r="W83" s="3">
        <f t="shared" si="35"/>
        <v>0</v>
      </c>
      <c r="X83" s="3">
        <f t="shared" si="36"/>
        <v>0</v>
      </c>
      <c r="Y83" s="3">
        <f t="shared" si="37"/>
        <v>0</v>
      </c>
      <c r="Z83" s="3">
        <f t="shared" si="48"/>
        <v>0</v>
      </c>
      <c r="AA83" s="3">
        <f t="shared" si="49"/>
        <v>0</v>
      </c>
      <c r="AB83" s="3" t="e">
        <f t="shared" si="50"/>
        <v>#DIV/0!</v>
      </c>
      <c r="AC83" s="3" t="str">
        <f t="shared" si="51"/>
        <v/>
      </c>
      <c r="AD83" s="3">
        <f t="shared" si="38"/>
        <v>0</v>
      </c>
      <c r="AE83" s="3">
        <f t="shared" si="33"/>
        <v>0</v>
      </c>
      <c r="AF83" s="3">
        <f t="shared" si="39"/>
        <v>0</v>
      </c>
      <c r="AG83" s="3" t="e">
        <f>AF83 / SUM(F$2:F83)</f>
        <v>#DIV/0!</v>
      </c>
      <c r="AH83" s="3" t="e">
        <f t="shared" si="40"/>
        <v>#DIV/0!</v>
      </c>
      <c r="AI83" s="3">
        <f t="shared" si="41"/>
        <v>0</v>
      </c>
      <c r="AJ83" s="3" t="e">
        <f t="shared" si="42"/>
        <v>#DIV/0!</v>
      </c>
      <c r="AK83" s="3" t="e">
        <f t="shared" si="27"/>
        <v>#DIV/0!</v>
      </c>
    </row>
    <row r="84" spans="1:37" x14ac:dyDescent="0.3">
      <c r="A84" s="24">
        <v>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f t="shared" si="30"/>
        <v>0</v>
      </c>
      <c r="H84" s="3">
        <f t="shared" si="47"/>
        <v>0</v>
      </c>
      <c r="I84" s="3">
        <f t="shared" si="22"/>
        <v>0</v>
      </c>
      <c r="J84" s="3">
        <f t="shared" si="23"/>
        <v>0</v>
      </c>
      <c r="K84" s="3">
        <f t="shared" si="24"/>
        <v>0</v>
      </c>
      <c r="L84" s="3">
        <f t="shared" si="25"/>
        <v>0</v>
      </c>
      <c r="M84" s="3" t="e">
        <f t="shared" si="34"/>
        <v>#DIV/0!</v>
      </c>
      <c r="N84" s="3" t="e">
        <f t="shared" si="43"/>
        <v>#DIV/0!</v>
      </c>
      <c r="O84" s="3" t="e">
        <f t="shared" si="26"/>
        <v>#DIV/0!</v>
      </c>
      <c r="P84" s="3">
        <f t="shared" si="44"/>
        <v>0</v>
      </c>
      <c r="Q84" s="3">
        <f t="shared" si="28"/>
        <v>0</v>
      </c>
      <c r="R84" s="3">
        <f t="shared" si="46"/>
        <v>0</v>
      </c>
      <c r="S84" s="3">
        <f t="shared" si="29"/>
        <v>0</v>
      </c>
      <c r="T84" s="3">
        <f t="shared" si="31"/>
        <v>0</v>
      </c>
      <c r="U84" s="3">
        <f t="shared" si="45"/>
        <v>0</v>
      </c>
      <c r="V84" s="3">
        <f t="shared" si="32"/>
        <v>0</v>
      </c>
      <c r="W84" s="3">
        <f t="shared" si="35"/>
        <v>0</v>
      </c>
      <c r="X84" s="3">
        <f t="shared" si="36"/>
        <v>0</v>
      </c>
      <c r="Y84" s="3">
        <f t="shared" si="37"/>
        <v>0</v>
      </c>
      <c r="Z84" s="3">
        <f t="shared" si="48"/>
        <v>0</v>
      </c>
      <c r="AA84" s="3">
        <f t="shared" si="49"/>
        <v>0</v>
      </c>
      <c r="AB84" s="3" t="e">
        <f t="shared" si="50"/>
        <v>#DIV/0!</v>
      </c>
      <c r="AC84" s="3" t="str">
        <f t="shared" si="51"/>
        <v/>
      </c>
      <c r="AD84" s="3">
        <f t="shared" si="38"/>
        <v>0</v>
      </c>
      <c r="AE84" s="3">
        <f t="shared" si="33"/>
        <v>0</v>
      </c>
      <c r="AF84" s="3">
        <f t="shared" si="39"/>
        <v>0</v>
      </c>
      <c r="AG84" s="3" t="e">
        <f>AF84 / SUM(F$2:F84)</f>
        <v>#DIV/0!</v>
      </c>
      <c r="AH84" s="3" t="e">
        <f t="shared" si="40"/>
        <v>#DIV/0!</v>
      </c>
      <c r="AI84" s="3">
        <f t="shared" si="41"/>
        <v>0</v>
      </c>
      <c r="AJ84" s="3" t="e">
        <f t="shared" si="42"/>
        <v>#DIV/0!</v>
      </c>
      <c r="AK84" s="3" t="e">
        <f t="shared" si="27"/>
        <v>#DIV/0!</v>
      </c>
    </row>
    <row r="85" spans="1:37" x14ac:dyDescent="0.3">
      <c r="A85" s="24">
        <v>0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f t="shared" si="30"/>
        <v>0</v>
      </c>
      <c r="H85" s="3">
        <f t="shared" si="47"/>
        <v>0</v>
      </c>
      <c r="I85" s="3">
        <f t="shared" si="22"/>
        <v>0</v>
      </c>
      <c r="J85" s="3">
        <f t="shared" si="23"/>
        <v>0</v>
      </c>
      <c r="K85" s="3">
        <f t="shared" si="24"/>
        <v>0</v>
      </c>
      <c r="L85" s="3">
        <f t="shared" si="25"/>
        <v>0</v>
      </c>
      <c r="M85" s="3" t="e">
        <f t="shared" si="34"/>
        <v>#DIV/0!</v>
      </c>
      <c r="N85" s="3" t="e">
        <f t="shared" si="43"/>
        <v>#DIV/0!</v>
      </c>
      <c r="O85" s="3" t="e">
        <f t="shared" si="26"/>
        <v>#DIV/0!</v>
      </c>
      <c r="P85" s="3">
        <f t="shared" si="44"/>
        <v>0</v>
      </c>
      <c r="Q85" s="3">
        <f t="shared" si="28"/>
        <v>0</v>
      </c>
      <c r="R85" s="3">
        <f t="shared" si="46"/>
        <v>0</v>
      </c>
      <c r="S85" s="3">
        <f t="shared" si="29"/>
        <v>0</v>
      </c>
      <c r="T85" s="3">
        <f t="shared" si="31"/>
        <v>0</v>
      </c>
      <c r="U85" s="3">
        <f t="shared" si="45"/>
        <v>0</v>
      </c>
      <c r="V85" s="3">
        <f t="shared" si="32"/>
        <v>0</v>
      </c>
      <c r="W85" s="3">
        <f t="shared" si="35"/>
        <v>0</v>
      </c>
      <c r="X85" s="3">
        <f t="shared" si="36"/>
        <v>0</v>
      </c>
      <c r="Y85" s="3">
        <f t="shared" si="37"/>
        <v>0</v>
      </c>
      <c r="Z85" s="3">
        <f t="shared" si="48"/>
        <v>0</v>
      </c>
      <c r="AA85" s="3">
        <f t="shared" si="49"/>
        <v>0</v>
      </c>
      <c r="AB85" s="3" t="e">
        <f t="shared" si="50"/>
        <v>#DIV/0!</v>
      </c>
      <c r="AC85" s="3" t="str">
        <f t="shared" si="51"/>
        <v/>
      </c>
      <c r="AD85" s="3">
        <f t="shared" si="38"/>
        <v>0</v>
      </c>
      <c r="AE85" s="3">
        <f t="shared" si="33"/>
        <v>0</v>
      </c>
      <c r="AF85" s="3">
        <f t="shared" si="39"/>
        <v>0</v>
      </c>
      <c r="AG85" s="3" t="e">
        <f>AF85 / SUM(F$2:F85)</f>
        <v>#DIV/0!</v>
      </c>
      <c r="AH85" s="3" t="e">
        <f t="shared" si="40"/>
        <v>#DIV/0!</v>
      </c>
      <c r="AI85" s="3">
        <f t="shared" si="41"/>
        <v>0</v>
      </c>
      <c r="AJ85" s="3" t="e">
        <f t="shared" si="42"/>
        <v>#DIV/0!</v>
      </c>
      <c r="AK85" s="3" t="e">
        <f t="shared" si="27"/>
        <v>#DIV/0!</v>
      </c>
    </row>
    <row r="86" spans="1:37" x14ac:dyDescent="0.3">
      <c r="A86" s="24">
        <v>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f t="shared" si="30"/>
        <v>0</v>
      </c>
      <c r="H86" s="3">
        <f t="shared" si="47"/>
        <v>0</v>
      </c>
      <c r="I86" s="3">
        <f t="shared" ref="I86:I149" si="52">AVERAGE(E67:E86)</f>
        <v>0</v>
      </c>
      <c r="J86" s="3">
        <f t="shared" ref="J86:J149" si="53">_xlfn.STDEV.S(E67:E86)</f>
        <v>0</v>
      </c>
      <c r="K86" s="3">
        <f t="shared" ref="K86:K149" si="54">I86 + 2*J86</f>
        <v>0</v>
      </c>
      <c r="L86" s="3">
        <f t="shared" ref="L86:L149" si="55">I86 - 2*J86</f>
        <v>0</v>
      </c>
      <c r="M86" s="3" t="e">
        <f t="shared" si="34"/>
        <v>#DIV/0!</v>
      </c>
      <c r="N86" s="3" t="e">
        <f t="shared" si="43"/>
        <v>#DIV/0!</v>
      </c>
      <c r="O86" s="3" t="e">
        <f t="shared" ref="O86:O149" si="56">_xlfn.STDEV.S(M67:M86)*SQRT(20)</f>
        <v>#DIV/0!</v>
      </c>
      <c r="P86" s="3">
        <f t="shared" si="44"/>
        <v>0</v>
      </c>
      <c r="Q86" s="3">
        <f t="shared" si="28"/>
        <v>0</v>
      </c>
      <c r="R86" s="3">
        <f t="shared" si="46"/>
        <v>0</v>
      </c>
      <c r="S86" s="3">
        <f t="shared" si="29"/>
        <v>0</v>
      </c>
      <c r="T86" s="3">
        <f t="shared" si="31"/>
        <v>0</v>
      </c>
      <c r="U86" s="3">
        <f t="shared" si="45"/>
        <v>0</v>
      </c>
      <c r="V86" s="3">
        <f t="shared" si="32"/>
        <v>0</v>
      </c>
      <c r="W86" s="3">
        <f t="shared" si="35"/>
        <v>0</v>
      </c>
      <c r="X86" s="3">
        <f t="shared" si="36"/>
        <v>0</v>
      </c>
      <c r="Y86" s="3">
        <f t="shared" si="37"/>
        <v>0</v>
      </c>
      <c r="Z86" s="3">
        <f t="shared" si="48"/>
        <v>0</v>
      </c>
      <c r="AA86" s="3">
        <f t="shared" si="49"/>
        <v>0</v>
      </c>
      <c r="AB86" s="3" t="e">
        <f t="shared" si="50"/>
        <v>#DIV/0!</v>
      </c>
      <c r="AC86" s="3" t="str">
        <f t="shared" si="51"/>
        <v/>
      </c>
      <c r="AD86" s="3">
        <f t="shared" si="38"/>
        <v>0</v>
      </c>
      <c r="AE86" s="3">
        <f t="shared" si="33"/>
        <v>0</v>
      </c>
      <c r="AF86" s="3">
        <f t="shared" si="39"/>
        <v>0</v>
      </c>
      <c r="AG86" s="3" t="e">
        <f>AF86 / SUM(F$2:F86)</f>
        <v>#DIV/0!</v>
      </c>
      <c r="AH86" s="3" t="e">
        <f t="shared" si="40"/>
        <v>#DIV/0!</v>
      </c>
      <c r="AI86" s="3">
        <f t="shared" si="41"/>
        <v>0</v>
      </c>
      <c r="AJ86" s="3" t="e">
        <f t="shared" si="42"/>
        <v>#DIV/0!</v>
      </c>
      <c r="AK86" s="3" t="e">
        <f t="shared" ref="AK86:AK149" si="57">F67 / AVERAGE(F67:F86)</f>
        <v>#DIV/0!</v>
      </c>
    </row>
    <row r="87" spans="1:37" x14ac:dyDescent="0.3">
      <c r="A87" s="24">
        <v>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f t="shared" si="30"/>
        <v>0</v>
      </c>
      <c r="H87" s="3">
        <f t="shared" si="47"/>
        <v>0</v>
      </c>
      <c r="I87" s="3">
        <f t="shared" si="52"/>
        <v>0</v>
      </c>
      <c r="J87" s="3">
        <f t="shared" si="53"/>
        <v>0</v>
      </c>
      <c r="K87" s="3">
        <f t="shared" si="54"/>
        <v>0</v>
      </c>
      <c r="L87" s="3">
        <f t="shared" si="55"/>
        <v>0</v>
      </c>
      <c r="M87" s="3" t="e">
        <f t="shared" si="34"/>
        <v>#DIV/0!</v>
      </c>
      <c r="N87" s="3" t="e">
        <f t="shared" si="43"/>
        <v>#DIV/0!</v>
      </c>
      <c r="O87" s="3" t="e">
        <f t="shared" si="56"/>
        <v>#DIV/0!</v>
      </c>
      <c r="P87" s="3">
        <f t="shared" si="44"/>
        <v>0</v>
      </c>
      <c r="Q87" s="3">
        <f t="shared" si="28"/>
        <v>0</v>
      </c>
      <c r="R87" s="3">
        <f t="shared" si="46"/>
        <v>0</v>
      </c>
      <c r="S87" s="3">
        <f t="shared" si="29"/>
        <v>0</v>
      </c>
      <c r="T87" s="3">
        <f t="shared" si="31"/>
        <v>0</v>
      </c>
      <c r="U87" s="3">
        <f t="shared" si="45"/>
        <v>0</v>
      </c>
      <c r="V87" s="3">
        <f t="shared" si="32"/>
        <v>0</v>
      </c>
      <c r="W87" s="3">
        <f t="shared" si="35"/>
        <v>0</v>
      </c>
      <c r="X87" s="3">
        <f t="shared" si="36"/>
        <v>0</v>
      </c>
      <c r="Y87" s="3">
        <f t="shared" si="37"/>
        <v>0</v>
      </c>
      <c r="Z87" s="3">
        <f t="shared" si="48"/>
        <v>0</v>
      </c>
      <c r="AA87" s="3">
        <f t="shared" si="49"/>
        <v>0</v>
      </c>
      <c r="AB87" s="3" t="e">
        <f t="shared" si="50"/>
        <v>#DIV/0!</v>
      </c>
      <c r="AC87" s="3" t="str">
        <f t="shared" si="51"/>
        <v/>
      </c>
      <c r="AD87" s="3">
        <f t="shared" si="38"/>
        <v>0</v>
      </c>
      <c r="AE87" s="3">
        <f t="shared" si="33"/>
        <v>0</v>
      </c>
      <c r="AF87" s="3">
        <f t="shared" si="39"/>
        <v>0</v>
      </c>
      <c r="AG87" s="3" t="e">
        <f>AF87 / SUM(F$2:F87)</f>
        <v>#DIV/0!</v>
      </c>
      <c r="AH87" s="3" t="e">
        <f t="shared" si="40"/>
        <v>#DIV/0!</v>
      </c>
      <c r="AI87" s="3">
        <f t="shared" si="41"/>
        <v>0</v>
      </c>
      <c r="AJ87" s="3" t="e">
        <f t="shared" si="42"/>
        <v>#DIV/0!</v>
      </c>
      <c r="AK87" s="3" t="e">
        <f t="shared" si="57"/>
        <v>#DIV/0!</v>
      </c>
    </row>
    <row r="88" spans="1:37" x14ac:dyDescent="0.3">
      <c r="A88" s="24">
        <v>0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f t="shared" si="30"/>
        <v>0</v>
      </c>
      <c r="H88" s="3">
        <f t="shared" si="47"/>
        <v>0</v>
      </c>
      <c r="I88" s="3">
        <f t="shared" si="52"/>
        <v>0</v>
      </c>
      <c r="J88" s="3">
        <f t="shared" si="53"/>
        <v>0</v>
      </c>
      <c r="K88" s="3">
        <f t="shared" si="54"/>
        <v>0</v>
      </c>
      <c r="L88" s="3">
        <f t="shared" si="55"/>
        <v>0</v>
      </c>
      <c r="M88" s="3" t="e">
        <f t="shared" si="34"/>
        <v>#DIV/0!</v>
      </c>
      <c r="N88" s="3" t="e">
        <f t="shared" si="43"/>
        <v>#DIV/0!</v>
      </c>
      <c r="O88" s="3" t="e">
        <f t="shared" si="56"/>
        <v>#DIV/0!</v>
      </c>
      <c r="P88" s="3">
        <f t="shared" si="44"/>
        <v>0</v>
      </c>
      <c r="Q88" s="3">
        <f t="shared" ref="Q88:Q151" si="58">E88*(2/(21+1)) + Q87*(1-(2/(21+1)))</f>
        <v>0</v>
      </c>
      <c r="R88" s="3">
        <f t="shared" si="46"/>
        <v>0</v>
      </c>
      <c r="S88" s="3">
        <f t="shared" si="29"/>
        <v>0</v>
      </c>
      <c r="T88" s="3">
        <f t="shared" si="31"/>
        <v>0</v>
      </c>
      <c r="U88" s="3">
        <f t="shared" si="45"/>
        <v>0</v>
      </c>
      <c r="V88" s="3">
        <f t="shared" si="32"/>
        <v>0</v>
      </c>
      <c r="W88" s="3">
        <f t="shared" si="35"/>
        <v>0</v>
      </c>
      <c r="X88" s="3">
        <f t="shared" si="36"/>
        <v>0</v>
      </c>
      <c r="Y88" s="3">
        <f t="shared" si="37"/>
        <v>0</v>
      </c>
      <c r="Z88" s="3">
        <f t="shared" si="48"/>
        <v>0</v>
      </c>
      <c r="AA88" s="3">
        <f t="shared" si="49"/>
        <v>0</v>
      </c>
      <c r="AB88" s="3" t="e">
        <f t="shared" si="50"/>
        <v>#DIV/0!</v>
      </c>
      <c r="AC88" s="3" t="str">
        <f t="shared" si="51"/>
        <v/>
      </c>
      <c r="AD88" s="3">
        <f t="shared" si="38"/>
        <v>0</v>
      </c>
      <c r="AE88" s="3">
        <f t="shared" si="33"/>
        <v>0</v>
      </c>
      <c r="AF88" s="3">
        <f t="shared" si="39"/>
        <v>0</v>
      </c>
      <c r="AG88" s="3" t="e">
        <f>AF88 / SUM(F$2:F88)</f>
        <v>#DIV/0!</v>
      </c>
      <c r="AH88" s="3" t="e">
        <f t="shared" si="40"/>
        <v>#DIV/0!</v>
      </c>
      <c r="AI88" s="3">
        <f t="shared" si="41"/>
        <v>0</v>
      </c>
      <c r="AJ88" s="3" t="e">
        <f t="shared" si="42"/>
        <v>#DIV/0!</v>
      </c>
      <c r="AK88" s="3" t="e">
        <f t="shared" si="57"/>
        <v>#DIV/0!</v>
      </c>
    </row>
    <row r="89" spans="1:37" x14ac:dyDescent="0.3">
      <c r="A89" s="24">
        <v>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f t="shared" si="30"/>
        <v>0</v>
      </c>
      <c r="H89" s="3">
        <f t="shared" si="47"/>
        <v>0</v>
      </c>
      <c r="I89" s="3">
        <f t="shared" si="52"/>
        <v>0</v>
      </c>
      <c r="J89" s="3">
        <f t="shared" si="53"/>
        <v>0</v>
      </c>
      <c r="K89" s="3">
        <f t="shared" si="54"/>
        <v>0</v>
      </c>
      <c r="L89" s="3">
        <f t="shared" si="55"/>
        <v>0</v>
      </c>
      <c r="M89" s="3" t="e">
        <f t="shared" si="34"/>
        <v>#DIV/0!</v>
      </c>
      <c r="N89" s="3" t="e">
        <f t="shared" si="43"/>
        <v>#DIV/0!</v>
      </c>
      <c r="O89" s="3" t="e">
        <f t="shared" si="56"/>
        <v>#DIV/0!</v>
      </c>
      <c r="P89" s="3">
        <f t="shared" si="44"/>
        <v>0</v>
      </c>
      <c r="Q89" s="3">
        <f t="shared" si="58"/>
        <v>0</v>
      </c>
      <c r="R89" s="3">
        <f t="shared" si="46"/>
        <v>0</v>
      </c>
      <c r="S89" s="3">
        <f t="shared" si="29"/>
        <v>0</v>
      </c>
      <c r="T89" s="3">
        <f t="shared" si="31"/>
        <v>0</v>
      </c>
      <c r="U89" s="3">
        <f t="shared" si="45"/>
        <v>0</v>
      </c>
      <c r="V89" s="3">
        <f t="shared" si="32"/>
        <v>0</v>
      </c>
      <c r="W89" s="3">
        <f t="shared" si="35"/>
        <v>0</v>
      </c>
      <c r="X89" s="3">
        <f t="shared" si="36"/>
        <v>0</v>
      </c>
      <c r="Y89" s="3">
        <f t="shared" si="37"/>
        <v>0</v>
      </c>
      <c r="Z89" s="3">
        <f t="shared" si="48"/>
        <v>0</v>
      </c>
      <c r="AA89" s="3">
        <f t="shared" si="49"/>
        <v>0</v>
      </c>
      <c r="AB89" s="3" t="e">
        <f t="shared" si="50"/>
        <v>#DIV/0!</v>
      </c>
      <c r="AC89" s="3" t="str">
        <f t="shared" si="51"/>
        <v/>
      </c>
      <c r="AD89" s="3">
        <f t="shared" si="38"/>
        <v>0</v>
      </c>
      <c r="AE89" s="3">
        <f t="shared" si="33"/>
        <v>0</v>
      </c>
      <c r="AF89" s="3">
        <f t="shared" si="39"/>
        <v>0</v>
      </c>
      <c r="AG89" s="3" t="e">
        <f>AF89 / SUM(F$2:F89)</f>
        <v>#DIV/0!</v>
      </c>
      <c r="AH89" s="3" t="e">
        <f t="shared" si="40"/>
        <v>#DIV/0!</v>
      </c>
      <c r="AI89" s="3">
        <f t="shared" si="41"/>
        <v>0</v>
      </c>
      <c r="AJ89" s="3" t="e">
        <f t="shared" si="42"/>
        <v>#DIV/0!</v>
      </c>
      <c r="AK89" s="3" t="e">
        <f t="shared" si="57"/>
        <v>#DIV/0!</v>
      </c>
    </row>
    <row r="90" spans="1:37" x14ac:dyDescent="0.3">
      <c r="A90" s="24">
        <v>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f t="shared" si="30"/>
        <v>0</v>
      </c>
      <c r="H90" s="3">
        <f t="shared" si="47"/>
        <v>0</v>
      </c>
      <c r="I90" s="3">
        <f t="shared" si="52"/>
        <v>0</v>
      </c>
      <c r="J90" s="3">
        <f t="shared" si="53"/>
        <v>0</v>
      </c>
      <c r="K90" s="3">
        <f t="shared" si="54"/>
        <v>0</v>
      </c>
      <c r="L90" s="3">
        <f t="shared" si="55"/>
        <v>0</v>
      </c>
      <c r="M90" s="3" t="e">
        <f t="shared" si="34"/>
        <v>#DIV/0!</v>
      </c>
      <c r="N90" s="3" t="e">
        <f t="shared" si="43"/>
        <v>#DIV/0!</v>
      </c>
      <c r="O90" s="3" t="e">
        <f t="shared" si="56"/>
        <v>#DIV/0!</v>
      </c>
      <c r="P90" s="3">
        <f t="shared" si="44"/>
        <v>0</v>
      </c>
      <c r="Q90" s="3">
        <f t="shared" si="58"/>
        <v>0</v>
      </c>
      <c r="R90" s="3">
        <f t="shared" si="46"/>
        <v>0</v>
      </c>
      <c r="S90" s="3">
        <f t="shared" si="29"/>
        <v>0</v>
      </c>
      <c r="T90" s="3">
        <f t="shared" si="31"/>
        <v>0</v>
      </c>
      <c r="U90" s="3">
        <f t="shared" si="45"/>
        <v>0</v>
      </c>
      <c r="V90" s="3">
        <f t="shared" si="32"/>
        <v>0</v>
      </c>
      <c r="W90" s="3">
        <f t="shared" si="35"/>
        <v>0</v>
      </c>
      <c r="X90" s="3">
        <f t="shared" si="36"/>
        <v>0</v>
      </c>
      <c r="Y90" s="3">
        <f t="shared" si="37"/>
        <v>0</v>
      </c>
      <c r="Z90" s="3">
        <f t="shared" si="48"/>
        <v>0</v>
      </c>
      <c r="AA90" s="3">
        <f t="shared" si="49"/>
        <v>0</v>
      </c>
      <c r="AB90" s="3" t="e">
        <f t="shared" si="50"/>
        <v>#DIV/0!</v>
      </c>
      <c r="AC90" s="3" t="str">
        <f t="shared" si="51"/>
        <v/>
      </c>
      <c r="AD90" s="3">
        <f t="shared" si="38"/>
        <v>0</v>
      </c>
      <c r="AE90" s="3">
        <f t="shared" si="33"/>
        <v>0</v>
      </c>
      <c r="AF90" s="3">
        <f t="shared" si="39"/>
        <v>0</v>
      </c>
      <c r="AG90" s="3" t="e">
        <f>AF90 / SUM(F$2:F90)</f>
        <v>#DIV/0!</v>
      </c>
      <c r="AH90" s="3" t="e">
        <f t="shared" si="40"/>
        <v>#DIV/0!</v>
      </c>
      <c r="AI90" s="3">
        <f t="shared" si="41"/>
        <v>0</v>
      </c>
      <c r="AJ90" s="3" t="e">
        <f t="shared" si="42"/>
        <v>#DIV/0!</v>
      </c>
      <c r="AK90" s="3" t="e">
        <f t="shared" si="57"/>
        <v>#DIV/0!</v>
      </c>
    </row>
    <row r="91" spans="1:37" x14ac:dyDescent="0.3">
      <c r="A91" s="24">
        <v>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f t="shared" si="30"/>
        <v>0</v>
      </c>
      <c r="H91" s="3">
        <f t="shared" si="47"/>
        <v>0</v>
      </c>
      <c r="I91" s="3">
        <f t="shared" si="52"/>
        <v>0</v>
      </c>
      <c r="J91" s="3">
        <f t="shared" si="53"/>
        <v>0</v>
      </c>
      <c r="K91" s="3">
        <f t="shared" si="54"/>
        <v>0</v>
      </c>
      <c r="L91" s="3">
        <f t="shared" si="55"/>
        <v>0</v>
      </c>
      <c r="M91" s="3" t="e">
        <f t="shared" si="34"/>
        <v>#DIV/0!</v>
      </c>
      <c r="N91" s="3" t="e">
        <f t="shared" si="43"/>
        <v>#DIV/0!</v>
      </c>
      <c r="O91" s="3" t="e">
        <f t="shared" si="56"/>
        <v>#DIV/0!</v>
      </c>
      <c r="P91" s="3">
        <f t="shared" si="44"/>
        <v>0</v>
      </c>
      <c r="Q91" s="3">
        <f t="shared" si="58"/>
        <v>0</v>
      </c>
      <c r="R91" s="3">
        <f t="shared" si="46"/>
        <v>0</v>
      </c>
      <c r="S91" s="3">
        <f t="shared" si="29"/>
        <v>0</v>
      </c>
      <c r="T91" s="3">
        <f t="shared" si="31"/>
        <v>0</v>
      </c>
      <c r="U91" s="3">
        <f t="shared" si="45"/>
        <v>0</v>
      </c>
      <c r="V91" s="3">
        <f t="shared" si="32"/>
        <v>0</v>
      </c>
      <c r="W91" s="3">
        <f t="shared" si="35"/>
        <v>0</v>
      </c>
      <c r="X91" s="3">
        <f t="shared" si="36"/>
        <v>0</v>
      </c>
      <c r="Y91" s="3">
        <f t="shared" si="37"/>
        <v>0</v>
      </c>
      <c r="Z91" s="3">
        <f t="shared" si="48"/>
        <v>0</v>
      </c>
      <c r="AA91" s="3">
        <f t="shared" si="49"/>
        <v>0</v>
      </c>
      <c r="AB91" s="3" t="e">
        <f t="shared" si="50"/>
        <v>#DIV/0!</v>
      </c>
      <c r="AC91" s="3" t="str">
        <f t="shared" si="51"/>
        <v/>
      </c>
      <c r="AD91" s="3">
        <f t="shared" si="38"/>
        <v>0</v>
      </c>
      <c r="AE91" s="3">
        <f t="shared" si="33"/>
        <v>0</v>
      </c>
      <c r="AF91" s="3">
        <f t="shared" si="39"/>
        <v>0</v>
      </c>
      <c r="AG91" s="3" t="e">
        <f>AF91 / SUM(F$2:F91)</f>
        <v>#DIV/0!</v>
      </c>
      <c r="AH91" s="3" t="e">
        <f t="shared" si="40"/>
        <v>#DIV/0!</v>
      </c>
      <c r="AI91" s="3">
        <f t="shared" si="41"/>
        <v>0</v>
      </c>
      <c r="AJ91" s="3" t="e">
        <f t="shared" si="42"/>
        <v>#DIV/0!</v>
      </c>
      <c r="AK91" s="3" t="e">
        <f t="shared" si="57"/>
        <v>#DIV/0!</v>
      </c>
    </row>
    <row r="92" spans="1:37" x14ac:dyDescent="0.3">
      <c r="A92" s="24">
        <v>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f t="shared" si="30"/>
        <v>0</v>
      </c>
      <c r="H92" s="3">
        <f t="shared" si="47"/>
        <v>0</v>
      </c>
      <c r="I92" s="3">
        <f t="shared" si="52"/>
        <v>0</v>
      </c>
      <c r="J92" s="3">
        <f t="shared" si="53"/>
        <v>0</v>
      </c>
      <c r="K92" s="3">
        <f t="shared" si="54"/>
        <v>0</v>
      </c>
      <c r="L92" s="3">
        <f t="shared" si="55"/>
        <v>0</v>
      </c>
      <c r="M92" s="3" t="e">
        <f t="shared" si="34"/>
        <v>#DIV/0!</v>
      </c>
      <c r="N92" s="3" t="e">
        <f t="shared" si="43"/>
        <v>#DIV/0!</v>
      </c>
      <c r="O92" s="3" t="e">
        <f t="shared" si="56"/>
        <v>#DIV/0!</v>
      </c>
      <c r="P92" s="3">
        <f t="shared" si="44"/>
        <v>0</v>
      </c>
      <c r="Q92" s="3">
        <f t="shared" si="58"/>
        <v>0</v>
      </c>
      <c r="R92" s="3">
        <f t="shared" si="46"/>
        <v>0</v>
      </c>
      <c r="S92" s="3">
        <f t="shared" si="29"/>
        <v>0</v>
      </c>
      <c r="T92" s="3">
        <f t="shared" si="31"/>
        <v>0</v>
      </c>
      <c r="U92" s="3">
        <f t="shared" si="45"/>
        <v>0</v>
      </c>
      <c r="V92" s="3">
        <f t="shared" si="32"/>
        <v>0</v>
      </c>
      <c r="W92" s="3">
        <f t="shared" si="35"/>
        <v>0</v>
      </c>
      <c r="X92" s="3">
        <f t="shared" si="36"/>
        <v>0</v>
      </c>
      <c r="Y92" s="3">
        <f t="shared" si="37"/>
        <v>0</v>
      </c>
      <c r="Z92" s="3">
        <f t="shared" si="48"/>
        <v>0</v>
      </c>
      <c r="AA92" s="3">
        <f t="shared" si="49"/>
        <v>0</v>
      </c>
      <c r="AB92" s="3" t="e">
        <f t="shared" si="50"/>
        <v>#DIV/0!</v>
      </c>
      <c r="AC92" s="3" t="str">
        <f t="shared" si="51"/>
        <v/>
      </c>
      <c r="AD92" s="3">
        <f t="shared" si="38"/>
        <v>0</v>
      </c>
      <c r="AE92" s="3">
        <f t="shared" si="33"/>
        <v>0</v>
      </c>
      <c r="AF92" s="3">
        <f t="shared" si="39"/>
        <v>0</v>
      </c>
      <c r="AG92" s="3" t="e">
        <f>AF92 / SUM(F$2:F92)</f>
        <v>#DIV/0!</v>
      </c>
      <c r="AH92" s="3" t="e">
        <f t="shared" si="40"/>
        <v>#DIV/0!</v>
      </c>
      <c r="AI92" s="3">
        <f t="shared" si="41"/>
        <v>0</v>
      </c>
      <c r="AJ92" s="3" t="e">
        <f t="shared" si="42"/>
        <v>#DIV/0!</v>
      </c>
      <c r="AK92" s="3" t="e">
        <f t="shared" si="57"/>
        <v>#DIV/0!</v>
      </c>
    </row>
    <row r="93" spans="1:37" x14ac:dyDescent="0.3">
      <c r="A93" s="24">
        <v>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f t="shared" si="30"/>
        <v>0</v>
      </c>
      <c r="H93" s="3">
        <f t="shared" si="47"/>
        <v>0</v>
      </c>
      <c r="I93" s="3">
        <f t="shared" si="52"/>
        <v>0</v>
      </c>
      <c r="J93" s="3">
        <f t="shared" si="53"/>
        <v>0</v>
      </c>
      <c r="K93" s="3">
        <f t="shared" si="54"/>
        <v>0</v>
      </c>
      <c r="L93" s="3">
        <f t="shared" si="55"/>
        <v>0</v>
      </c>
      <c r="M93" s="3" t="e">
        <f t="shared" si="34"/>
        <v>#DIV/0!</v>
      </c>
      <c r="N93" s="3" t="e">
        <f t="shared" si="43"/>
        <v>#DIV/0!</v>
      </c>
      <c r="O93" s="3" t="e">
        <f t="shared" si="56"/>
        <v>#DIV/0!</v>
      </c>
      <c r="P93" s="3">
        <f t="shared" si="44"/>
        <v>0</v>
      </c>
      <c r="Q93" s="3">
        <f t="shared" si="58"/>
        <v>0</v>
      </c>
      <c r="R93" s="3">
        <f t="shared" si="46"/>
        <v>0</v>
      </c>
      <c r="S93" s="3">
        <f t="shared" ref="S93:S156" si="59">E93*(2/(26+1)) + S92*(1-(2/(26+1)))</f>
        <v>0</v>
      </c>
      <c r="T93" s="3">
        <f t="shared" si="31"/>
        <v>0</v>
      </c>
      <c r="U93" s="3">
        <f t="shared" si="45"/>
        <v>0</v>
      </c>
      <c r="V93" s="3">
        <f t="shared" si="32"/>
        <v>0</v>
      </c>
      <c r="W93" s="3">
        <f t="shared" si="35"/>
        <v>0</v>
      </c>
      <c r="X93" s="3">
        <f t="shared" si="36"/>
        <v>0</v>
      </c>
      <c r="Y93" s="3">
        <f t="shared" si="37"/>
        <v>0</v>
      </c>
      <c r="Z93" s="3">
        <f t="shared" si="48"/>
        <v>0</v>
      </c>
      <c r="AA93" s="3">
        <f t="shared" si="49"/>
        <v>0</v>
      </c>
      <c r="AB93" s="3" t="e">
        <f t="shared" si="50"/>
        <v>#DIV/0!</v>
      </c>
      <c r="AC93" s="3" t="str">
        <f t="shared" si="51"/>
        <v/>
      </c>
      <c r="AD93" s="3">
        <f t="shared" si="38"/>
        <v>0</v>
      </c>
      <c r="AE93" s="3">
        <f t="shared" si="33"/>
        <v>0</v>
      </c>
      <c r="AF93" s="3">
        <f t="shared" si="39"/>
        <v>0</v>
      </c>
      <c r="AG93" s="3" t="e">
        <f>AF93 / SUM(F$2:F93)</f>
        <v>#DIV/0!</v>
      </c>
      <c r="AH93" s="3" t="e">
        <f t="shared" si="40"/>
        <v>#DIV/0!</v>
      </c>
      <c r="AI93" s="3">
        <f t="shared" si="41"/>
        <v>0</v>
      </c>
      <c r="AJ93" s="3" t="e">
        <f t="shared" si="42"/>
        <v>#DIV/0!</v>
      </c>
      <c r="AK93" s="3" t="e">
        <f t="shared" si="57"/>
        <v>#DIV/0!</v>
      </c>
    </row>
    <row r="94" spans="1:37" x14ac:dyDescent="0.3">
      <c r="A94" s="24">
        <v>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f t="shared" si="30"/>
        <v>0</v>
      </c>
      <c r="H94" s="3">
        <f t="shared" si="47"/>
        <v>0</v>
      </c>
      <c r="I94" s="3">
        <f t="shared" si="52"/>
        <v>0</v>
      </c>
      <c r="J94" s="3">
        <f t="shared" si="53"/>
        <v>0</v>
      </c>
      <c r="K94" s="3">
        <f t="shared" si="54"/>
        <v>0</v>
      </c>
      <c r="L94" s="3">
        <f t="shared" si="55"/>
        <v>0</v>
      </c>
      <c r="M94" s="3" t="e">
        <f t="shared" si="34"/>
        <v>#DIV/0!</v>
      </c>
      <c r="N94" s="3" t="e">
        <f t="shared" si="43"/>
        <v>#DIV/0!</v>
      </c>
      <c r="O94" s="3" t="e">
        <f t="shared" si="56"/>
        <v>#DIV/0!</v>
      </c>
      <c r="P94" s="3">
        <f t="shared" si="44"/>
        <v>0</v>
      </c>
      <c r="Q94" s="3">
        <f t="shared" si="58"/>
        <v>0</v>
      </c>
      <c r="R94" s="3">
        <f t="shared" si="46"/>
        <v>0</v>
      </c>
      <c r="S94" s="3">
        <f t="shared" si="59"/>
        <v>0</v>
      </c>
      <c r="T94" s="3">
        <f t="shared" si="31"/>
        <v>0</v>
      </c>
      <c r="U94" s="3">
        <f t="shared" si="45"/>
        <v>0</v>
      </c>
      <c r="V94" s="3">
        <f t="shared" si="32"/>
        <v>0</v>
      </c>
      <c r="W94" s="3">
        <f t="shared" si="35"/>
        <v>0</v>
      </c>
      <c r="X94" s="3">
        <f t="shared" si="36"/>
        <v>0</v>
      </c>
      <c r="Y94" s="3">
        <f t="shared" si="37"/>
        <v>0</v>
      </c>
      <c r="Z94" s="3">
        <f t="shared" si="48"/>
        <v>0</v>
      </c>
      <c r="AA94" s="3">
        <f t="shared" si="49"/>
        <v>0</v>
      </c>
      <c r="AB94" s="3" t="e">
        <f t="shared" si="50"/>
        <v>#DIV/0!</v>
      </c>
      <c r="AC94" s="3" t="str">
        <f t="shared" si="51"/>
        <v/>
      </c>
      <c r="AD94" s="3">
        <f t="shared" si="38"/>
        <v>0</v>
      </c>
      <c r="AE94" s="3">
        <f t="shared" si="33"/>
        <v>0</v>
      </c>
      <c r="AF94" s="3">
        <f t="shared" si="39"/>
        <v>0</v>
      </c>
      <c r="AG94" s="3" t="e">
        <f>AF94 / SUM(F$2:F94)</f>
        <v>#DIV/0!</v>
      </c>
      <c r="AH94" s="3" t="e">
        <f t="shared" si="40"/>
        <v>#DIV/0!</v>
      </c>
      <c r="AI94" s="3">
        <f t="shared" si="41"/>
        <v>0</v>
      </c>
      <c r="AJ94" s="3" t="e">
        <f t="shared" si="42"/>
        <v>#DIV/0!</v>
      </c>
      <c r="AK94" s="3" t="e">
        <f t="shared" si="57"/>
        <v>#DIV/0!</v>
      </c>
    </row>
    <row r="95" spans="1:37" x14ac:dyDescent="0.3">
      <c r="A95" s="24">
        <v>0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f t="shared" si="30"/>
        <v>0</v>
      </c>
      <c r="H95" s="3">
        <f t="shared" si="47"/>
        <v>0</v>
      </c>
      <c r="I95" s="3">
        <f t="shared" si="52"/>
        <v>0</v>
      </c>
      <c r="J95" s="3">
        <f t="shared" si="53"/>
        <v>0</v>
      </c>
      <c r="K95" s="3">
        <f t="shared" si="54"/>
        <v>0</v>
      </c>
      <c r="L95" s="3">
        <f t="shared" si="55"/>
        <v>0</v>
      </c>
      <c r="M95" s="3" t="e">
        <f t="shared" si="34"/>
        <v>#DIV/0!</v>
      </c>
      <c r="N95" s="3" t="e">
        <f t="shared" si="43"/>
        <v>#DIV/0!</v>
      </c>
      <c r="O95" s="3" t="e">
        <f t="shared" si="56"/>
        <v>#DIV/0!</v>
      </c>
      <c r="P95" s="3">
        <f t="shared" si="44"/>
        <v>0</v>
      </c>
      <c r="Q95" s="3">
        <f t="shared" si="58"/>
        <v>0</v>
      </c>
      <c r="R95" s="3">
        <f t="shared" si="46"/>
        <v>0</v>
      </c>
      <c r="S95" s="3">
        <f t="shared" si="59"/>
        <v>0</v>
      </c>
      <c r="T95" s="3">
        <f t="shared" si="31"/>
        <v>0</v>
      </c>
      <c r="U95" s="3">
        <f t="shared" si="45"/>
        <v>0</v>
      </c>
      <c r="V95" s="3">
        <f t="shared" si="32"/>
        <v>0</v>
      </c>
      <c r="W95" s="3">
        <f t="shared" si="35"/>
        <v>0</v>
      </c>
      <c r="X95" s="3">
        <f t="shared" si="36"/>
        <v>0</v>
      </c>
      <c r="Y95" s="3">
        <f t="shared" si="37"/>
        <v>0</v>
      </c>
      <c r="Z95" s="3">
        <f t="shared" si="48"/>
        <v>0</v>
      </c>
      <c r="AA95" s="3">
        <f t="shared" si="49"/>
        <v>0</v>
      </c>
      <c r="AB95" s="3" t="e">
        <f t="shared" si="50"/>
        <v>#DIV/0!</v>
      </c>
      <c r="AC95" s="3" t="str">
        <f t="shared" si="51"/>
        <v/>
      </c>
      <c r="AD95" s="3">
        <f t="shared" si="38"/>
        <v>0</v>
      </c>
      <c r="AE95" s="3">
        <f t="shared" si="33"/>
        <v>0</v>
      </c>
      <c r="AF95" s="3">
        <f t="shared" si="39"/>
        <v>0</v>
      </c>
      <c r="AG95" s="3" t="e">
        <f>AF95 / SUM(F$2:F95)</f>
        <v>#DIV/0!</v>
      </c>
      <c r="AH95" s="3" t="e">
        <f t="shared" si="40"/>
        <v>#DIV/0!</v>
      </c>
      <c r="AI95" s="3">
        <f t="shared" si="41"/>
        <v>0</v>
      </c>
      <c r="AJ95" s="3" t="e">
        <f t="shared" si="42"/>
        <v>#DIV/0!</v>
      </c>
      <c r="AK95" s="3" t="e">
        <f t="shared" si="57"/>
        <v>#DIV/0!</v>
      </c>
    </row>
    <row r="96" spans="1:37" x14ac:dyDescent="0.3">
      <c r="A96" s="24">
        <v>0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f t="shared" si="30"/>
        <v>0</v>
      </c>
      <c r="H96" s="3">
        <f t="shared" si="47"/>
        <v>0</v>
      </c>
      <c r="I96" s="3">
        <f t="shared" si="52"/>
        <v>0</v>
      </c>
      <c r="J96" s="3">
        <f t="shared" si="53"/>
        <v>0</v>
      </c>
      <c r="K96" s="3">
        <f t="shared" si="54"/>
        <v>0</v>
      </c>
      <c r="L96" s="3">
        <f t="shared" si="55"/>
        <v>0</v>
      </c>
      <c r="M96" s="3" t="e">
        <f t="shared" si="34"/>
        <v>#DIV/0!</v>
      </c>
      <c r="N96" s="3" t="e">
        <f t="shared" si="43"/>
        <v>#DIV/0!</v>
      </c>
      <c r="O96" s="3" t="e">
        <f t="shared" si="56"/>
        <v>#DIV/0!</v>
      </c>
      <c r="P96" s="3">
        <f t="shared" si="44"/>
        <v>0</v>
      </c>
      <c r="Q96" s="3">
        <f t="shared" si="58"/>
        <v>0</v>
      </c>
      <c r="R96" s="3">
        <f t="shared" si="46"/>
        <v>0</v>
      </c>
      <c r="S96" s="3">
        <f t="shared" si="59"/>
        <v>0</v>
      </c>
      <c r="T96" s="3">
        <f t="shared" si="31"/>
        <v>0</v>
      </c>
      <c r="U96" s="3">
        <f t="shared" si="45"/>
        <v>0</v>
      </c>
      <c r="V96" s="3">
        <f t="shared" si="32"/>
        <v>0</v>
      </c>
      <c r="W96" s="3">
        <f t="shared" si="35"/>
        <v>0</v>
      </c>
      <c r="X96" s="3">
        <f t="shared" si="36"/>
        <v>0</v>
      </c>
      <c r="Y96" s="3">
        <f t="shared" si="37"/>
        <v>0</v>
      </c>
      <c r="Z96" s="3">
        <f t="shared" si="48"/>
        <v>0</v>
      </c>
      <c r="AA96" s="3">
        <f t="shared" si="49"/>
        <v>0</v>
      </c>
      <c r="AB96" s="3" t="e">
        <f t="shared" si="50"/>
        <v>#DIV/0!</v>
      </c>
      <c r="AC96" s="3" t="str">
        <f t="shared" si="51"/>
        <v/>
      </c>
      <c r="AD96" s="3">
        <f t="shared" si="38"/>
        <v>0</v>
      </c>
      <c r="AE96" s="3">
        <f t="shared" si="33"/>
        <v>0</v>
      </c>
      <c r="AF96" s="3">
        <f t="shared" si="39"/>
        <v>0</v>
      </c>
      <c r="AG96" s="3" t="e">
        <f>AF96 / SUM(F$2:F96)</f>
        <v>#DIV/0!</v>
      </c>
      <c r="AH96" s="3" t="e">
        <f t="shared" si="40"/>
        <v>#DIV/0!</v>
      </c>
      <c r="AI96" s="3">
        <f t="shared" si="41"/>
        <v>0</v>
      </c>
      <c r="AJ96" s="3" t="e">
        <f t="shared" si="42"/>
        <v>#DIV/0!</v>
      </c>
      <c r="AK96" s="3" t="e">
        <f t="shared" si="57"/>
        <v>#DIV/0!</v>
      </c>
    </row>
    <row r="97" spans="1:37" x14ac:dyDescent="0.3">
      <c r="A97" s="24">
        <v>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f t="shared" si="30"/>
        <v>0</v>
      </c>
      <c r="H97" s="3">
        <f t="shared" si="47"/>
        <v>0</v>
      </c>
      <c r="I97" s="3">
        <f t="shared" si="52"/>
        <v>0</v>
      </c>
      <c r="J97" s="3">
        <f t="shared" si="53"/>
        <v>0</v>
      </c>
      <c r="K97" s="3">
        <f t="shared" si="54"/>
        <v>0</v>
      </c>
      <c r="L97" s="3">
        <f t="shared" si="55"/>
        <v>0</v>
      </c>
      <c r="M97" s="3" t="e">
        <f t="shared" si="34"/>
        <v>#DIV/0!</v>
      </c>
      <c r="N97" s="3" t="e">
        <f t="shared" si="43"/>
        <v>#DIV/0!</v>
      </c>
      <c r="O97" s="3" t="e">
        <f t="shared" si="56"/>
        <v>#DIV/0!</v>
      </c>
      <c r="P97" s="3">
        <f t="shared" si="44"/>
        <v>0</v>
      </c>
      <c r="Q97" s="3">
        <f t="shared" si="58"/>
        <v>0</v>
      </c>
      <c r="R97" s="3">
        <f t="shared" si="46"/>
        <v>0</v>
      </c>
      <c r="S97" s="3">
        <f t="shared" si="59"/>
        <v>0</v>
      </c>
      <c r="T97" s="3">
        <f t="shared" si="31"/>
        <v>0</v>
      </c>
      <c r="U97" s="3">
        <f t="shared" si="45"/>
        <v>0</v>
      </c>
      <c r="V97" s="3">
        <f t="shared" si="32"/>
        <v>0</v>
      </c>
      <c r="W97" s="3">
        <f t="shared" si="35"/>
        <v>0</v>
      </c>
      <c r="X97" s="3">
        <f t="shared" si="36"/>
        <v>0</v>
      </c>
      <c r="Y97" s="3">
        <f t="shared" si="37"/>
        <v>0</v>
      </c>
      <c r="Z97" s="3">
        <f t="shared" si="48"/>
        <v>0</v>
      </c>
      <c r="AA97" s="3">
        <f t="shared" si="49"/>
        <v>0</v>
      </c>
      <c r="AB97" s="3" t="e">
        <f t="shared" si="50"/>
        <v>#DIV/0!</v>
      </c>
      <c r="AC97" s="3" t="str">
        <f t="shared" si="51"/>
        <v/>
      </c>
      <c r="AD97" s="3">
        <f t="shared" si="38"/>
        <v>0</v>
      </c>
      <c r="AE97" s="3">
        <f t="shared" si="33"/>
        <v>0</v>
      </c>
      <c r="AF97" s="3">
        <f t="shared" si="39"/>
        <v>0</v>
      </c>
      <c r="AG97" s="3" t="e">
        <f>AF97 / SUM(F$2:F97)</f>
        <v>#DIV/0!</v>
      </c>
      <c r="AH97" s="3" t="e">
        <f t="shared" si="40"/>
        <v>#DIV/0!</v>
      </c>
      <c r="AI97" s="3">
        <f t="shared" si="41"/>
        <v>0</v>
      </c>
      <c r="AJ97" s="3" t="e">
        <f t="shared" si="42"/>
        <v>#DIV/0!</v>
      </c>
      <c r="AK97" s="3" t="e">
        <f t="shared" si="57"/>
        <v>#DIV/0!</v>
      </c>
    </row>
    <row r="98" spans="1:37" x14ac:dyDescent="0.3">
      <c r="A98" s="24">
        <v>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f t="shared" si="30"/>
        <v>0</v>
      </c>
      <c r="H98" s="3">
        <f t="shared" si="47"/>
        <v>0</v>
      </c>
      <c r="I98" s="3">
        <f t="shared" si="52"/>
        <v>0</v>
      </c>
      <c r="J98" s="3">
        <f t="shared" si="53"/>
        <v>0</v>
      </c>
      <c r="K98" s="3">
        <f t="shared" si="54"/>
        <v>0</v>
      </c>
      <c r="L98" s="3">
        <f t="shared" si="55"/>
        <v>0</v>
      </c>
      <c r="M98" s="3" t="e">
        <f t="shared" si="34"/>
        <v>#DIV/0!</v>
      </c>
      <c r="N98" s="3" t="e">
        <f t="shared" si="43"/>
        <v>#DIV/0!</v>
      </c>
      <c r="O98" s="3" t="e">
        <f t="shared" si="56"/>
        <v>#DIV/0!</v>
      </c>
      <c r="P98" s="3">
        <f t="shared" si="44"/>
        <v>0</v>
      </c>
      <c r="Q98" s="3">
        <f t="shared" si="58"/>
        <v>0</v>
      </c>
      <c r="R98" s="3">
        <f t="shared" si="46"/>
        <v>0</v>
      </c>
      <c r="S98" s="3">
        <f t="shared" si="59"/>
        <v>0</v>
      </c>
      <c r="T98" s="3">
        <f t="shared" si="31"/>
        <v>0</v>
      </c>
      <c r="U98" s="3">
        <f t="shared" si="45"/>
        <v>0</v>
      </c>
      <c r="V98" s="3">
        <f t="shared" si="32"/>
        <v>0</v>
      </c>
      <c r="W98" s="3">
        <f t="shared" si="35"/>
        <v>0</v>
      </c>
      <c r="X98" s="3">
        <f t="shared" si="36"/>
        <v>0</v>
      </c>
      <c r="Y98" s="3">
        <f t="shared" si="37"/>
        <v>0</v>
      </c>
      <c r="Z98" s="3">
        <f t="shared" si="48"/>
        <v>0</v>
      </c>
      <c r="AA98" s="3">
        <f t="shared" si="49"/>
        <v>0</v>
      </c>
      <c r="AB98" s="3" t="e">
        <f t="shared" si="50"/>
        <v>#DIV/0!</v>
      </c>
      <c r="AC98" s="3" t="str">
        <f t="shared" si="51"/>
        <v/>
      </c>
      <c r="AD98" s="3">
        <f t="shared" si="38"/>
        <v>0</v>
      </c>
      <c r="AE98" s="3">
        <f t="shared" si="33"/>
        <v>0</v>
      </c>
      <c r="AF98" s="3">
        <f t="shared" si="39"/>
        <v>0</v>
      </c>
      <c r="AG98" s="3" t="e">
        <f>AF98 / SUM(F$2:F98)</f>
        <v>#DIV/0!</v>
      </c>
      <c r="AH98" s="3" t="e">
        <f t="shared" si="40"/>
        <v>#DIV/0!</v>
      </c>
      <c r="AI98" s="3">
        <f t="shared" si="41"/>
        <v>0</v>
      </c>
      <c r="AJ98" s="3" t="e">
        <f t="shared" si="42"/>
        <v>#DIV/0!</v>
      </c>
      <c r="AK98" s="3" t="e">
        <f t="shared" si="57"/>
        <v>#DIV/0!</v>
      </c>
    </row>
    <row r="99" spans="1:37" x14ac:dyDescent="0.3">
      <c r="A99" s="24">
        <v>0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f t="shared" si="30"/>
        <v>0</v>
      </c>
      <c r="H99" s="3">
        <f t="shared" si="47"/>
        <v>0</v>
      </c>
      <c r="I99" s="3">
        <f t="shared" si="52"/>
        <v>0</v>
      </c>
      <c r="J99" s="3">
        <f t="shared" si="53"/>
        <v>0</v>
      </c>
      <c r="K99" s="3">
        <f t="shared" si="54"/>
        <v>0</v>
      </c>
      <c r="L99" s="3">
        <f t="shared" si="55"/>
        <v>0</v>
      </c>
      <c r="M99" s="3" t="e">
        <f t="shared" si="34"/>
        <v>#DIV/0!</v>
      </c>
      <c r="N99" s="3" t="e">
        <f t="shared" si="43"/>
        <v>#DIV/0!</v>
      </c>
      <c r="O99" s="3" t="e">
        <f t="shared" si="56"/>
        <v>#DIV/0!</v>
      </c>
      <c r="P99" s="3">
        <f t="shared" si="44"/>
        <v>0</v>
      </c>
      <c r="Q99" s="3">
        <f t="shared" si="58"/>
        <v>0</v>
      </c>
      <c r="R99" s="3">
        <f t="shared" si="46"/>
        <v>0</v>
      </c>
      <c r="S99" s="3">
        <f t="shared" si="59"/>
        <v>0</v>
      </c>
      <c r="T99" s="3">
        <f t="shared" si="31"/>
        <v>0</v>
      </c>
      <c r="U99" s="3">
        <f t="shared" si="45"/>
        <v>0</v>
      </c>
      <c r="V99" s="3">
        <f t="shared" si="32"/>
        <v>0</v>
      </c>
      <c r="W99" s="3">
        <f t="shared" si="35"/>
        <v>0</v>
      </c>
      <c r="X99" s="3">
        <f t="shared" si="36"/>
        <v>0</v>
      </c>
      <c r="Y99" s="3">
        <f t="shared" si="37"/>
        <v>0</v>
      </c>
      <c r="Z99" s="3">
        <f t="shared" si="48"/>
        <v>0</v>
      </c>
      <c r="AA99" s="3">
        <f t="shared" si="49"/>
        <v>0</v>
      </c>
      <c r="AB99" s="3" t="e">
        <f t="shared" si="50"/>
        <v>#DIV/0!</v>
      </c>
      <c r="AC99" s="3" t="str">
        <f t="shared" si="51"/>
        <v/>
      </c>
      <c r="AD99" s="3">
        <f t="shared" si="38"/>
        <v>0</v>
      </c>
      <c r="AE99" s="3">
        <f t="shared" si="33"/>
        <v>0</v>
      </c>
      <c r="AF99" s="3">
        <f t="shared" si="39"/>
        <v>0</v>
      </c>
      <c r="AG99" s="3" t="e">
        <f>AF99 / SUM(F$2:F99)</f>
        <v>#DIV/0!</v>
      </c>
      <c r="AH99" s="3" t="e">
        <f t="shared" si="40"/>
        <v>#DIV/0!</v>
      </c>
      <c r="AI99" s="3">
        <f t="shared" si="41"/>
        <v>0</v>
      </c>
      <c r="AJ99" s="3" t="e">
        <f t="shared" si="42"/>
        <v>#DIV/0!</v>
      </c>
      <c r="AK99" s="3" t="e">
        <f t="shared" si="57"/>
        <v>#DIV/0!</v>
      </c>
    </row>
    <row r="100" spans="1:37" x14ac:dyDescent="0.3">
      <c r="A100" s="24">
        <v>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f t="shared" si="30"/>
        <v>0</v>
      </c>
      <c r="H100" s="3">
        <f t="shared" si="47"/>
        <v>0</v>
      </c>
      <c r="I100" s="3">
        <f t="shared" si="52"/>
        <v>0</v>
      </c>
      <c r="J100" s="3">
        <f t="shared" si="53"/>
        <v>0</v>
      </c>
      <c r="K100" s="3">
        <f t="shared" si="54"/>
        <v>0</v>
      </c>
      <c r="L100" s="3">
        <f t="shared" si="55"/>
        <v>0</v>
      </c>
      <c r="M100" s="3" t="e">
        <f t="shared" si="34"/>
        <v>#DIV/0!</v>
      </c>
      <c r="N100" s="3" t="e">
        <f t="shared" si="43"/>
        <v>#DIV/0!</v>
      </c>
      <c r="O100" s="3" t="e">
        <f t="shared" si="56"/>
        <v>#DIV/0!</v>
      </c>
      <c r="P100" s="3">
        <f t="shared" si="44"/>
        <v>0</v>
      </c>
      <c r="Q100" s="3">
        <f t="shared" si="58"/>
        <v>0</v>
      </c>
      <c r="R100" s="3">
        <f t="shared" si="46"/>
        <v>0</v>
      </c>
      <c r="S100" s="3">
        <f t="shared" si="59"/>
        <v>0</v>
      </c>
      <c r="T100" s="3">
        <f t="shared" si="31"/>
        <v>0</v>
      </c>
      <c r="U100" s="3">
        <f t="shared" si="45"/>
        <v>0</v>
      </c>
      <c r="V100" s="3">
        <f t="shared" si="32"/>
        <v>0</v>
      </c>
      <c r="W100" s="3">
        <f t="shared" si="35"/>
        <v>0</v>
      </c>
      <c r="X100" s="3">
        <f t="shared" si="36"/>
        <v>0</v>
      </c>
      <c r="Y100" s="3">
        <f t="shared" si="37"/>
        <v>0</v>
      </c>
      <c r="Z100" s="3">
        <f t="shared" si="48"/>
        <v>0</v>
      </c>
      <c r="AA100" s="3">
        <f t="shared" si="49"/>
        <v>0</v>
      </c>
      <c r="AB100" s="3" t="e">
        <f t="shared" si="50"/>
        <v>#DIV/0!</v>
      </c>
      <c r="AC100" s="3" t="str">
        <f t="shared" si="51"/>
        <v/>
      </c>
      <c r="AD100" s="3">
        <f t="shared" si="38"/>
        <v>0</v>
      </c>
      <c r="AE100" s="3">
        <f t="shared" si="33"/>
        <v>0</v>
      </c>
      <c r="AF100" s="3">
        <f t="shared" si="39"/>
        <v>0</v>
      </c>
      <c r="AG100" s="3" t="e">
        <f>AF100 / SUM(F$2:F100)</f>
        <v>#DIV/0!</v>
      </c>
      <c r="AH100" s="3" t="e">
        <f t="shared" si="40"/>
        <v>#DIV/0!</v>
      </c>
      <c r="AI100" s="3">
        <f t="shared" si="41"/>
        <v>0</v>
      </c>
      <c r="AJ100" s="3" t="e">
        <f t="shared" si="42"/>
        <v>#DIV/0!</v>
      </c>
      <c r="AK100" s="3" t="e">
        <f t="shared" si="57"/>
        <v>#DIV/0!</v>
      </c>
    </row>
    <row r="101" spans="1:37" x14ac:dyDescent="0.3">
      <c r="A101" s="24">
        <v>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f t="shared" si="30"/>
        <v>0</v>
      </c>
      <c r="H101" s="3">
        <f t="shared" si="47"/>
        <v>0</v>
      </c>
      <c r="I101" s="3">
        <f t="shared" si="52"/>
        <v>0</v>
      </c>
      <c r="J101" s="3">
        <f t="shared" si="53"/>
        <v>0</v>
      </c>
      <c r="K101" s="3">
        <f t="shared" si="54"/>
        <v>0</v>
      </c>
      <c r="L101" s="3">
        <f t="shared" si="55"/>
        <v>0</v>
      </c>
      <c r="M101" s="3" t="e">
        <f t="shared" si="34"/>
        <v>#DIV/0!</v>
      </c>
      <c r="N101" s="3" t="e">
        <f t="shared" si="43"/>
        <v>#DIV/0!</v>
      </c>
      <c r="O101" s="3" t="e">
        <f t="shared" si="56"/>
        <v>#DIV/0!</v>
      </c>
      <c r="P101" s="3">
        <f t="shared" si="44"/>
        <v>0</v>
      </c>
      <c r="Q101" s="3">
        <f t="shared" si="58"/>
        <v>0</v>
      </c>
      <c r="R101" s="3">
        <f t="shared" si="46"/>
        <v>0</v>
      </c>
      <c r="S101" s="3">
        <f t="shared" si="59"/>
        <v>0</v>
      </c>
      <c r="T101" s="3">
        <f t="shared" si="31"/>
        <v>0</v>
      </c>
      <c r="U101" s="3">
        <f t="shared" si="45"/>
        <v>0</v>
      </c>
      <c r="V101" s="3">
        <f t="shared" si="32"/>
        <v>0</v>
      </c>
      <c r="W101" s="3">
        <f t="shared" si="35"/>
        <v>0</v>
      </c>
      <c r="X101" s="3">
        <f t="shared" si="36"/>
        <v>0</v>
      </c>
      <c r="Y101" s="3">
        <f t="shared" si="37"/>
        <v>0</v>
      </c>
      <c r="Z101" s="3">
        <f t="shared" si="48"/>
        <v>0</v>
      </c>
      <c r="AA101" s="3">
        <f t="shared" si="49"/>
        <v>0</v>
      </c>
      <c r="AB101" s="3" t="e">
        <f t="shared" si="50"/>
        <v>#DIV/0!</v>
      </c>
      <c r="AC101" s="3" t="str">
        <f t="shared" si="51"/>
        <v/>
      </c>
      <c r="AD101" s="3">
        <f t="shared" si="38"/>
        <v>0</v>
      </c>
      <c r="AE101" s="3">
        <f t="shared" si="33"/>
        <v>0</v>
      </c>
      <c r="AF101" s="3">
        <f t="shared" si="39"/>
        <v>0</v>
      </c>
      <c r="AG101" s="3" t="e">
        <f>AF101 / SUM(F$2:F101)</f>
        <v>#DIV/0!</v>
      </c>
      <c r="AH101" s="3" t="e">
        <f t="shared" si="40"/>
        <v>#DIV/0!</v>
      </c>
      <c r="AI101" s="3">
        <f t="shared" si="41"/>
        <v>0</v>
      </c>
      <c r="AJ101" s="3" t="e">
        <f t="shared" si="42"/>
        <v>#DIV/0!</v>
      </c>
      <c r="AK101" s="3" t="e">
        <f t="shared" si="57"/>
        <v>#DIV/0!</v>
      </c>
    </row>
    <row r="102" spans="1:37" x14ac:dyDescent="0.3">
      <c r="A102" s="24">
        <v>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f t="shared" si="30"/>
        <v>0</v>
      </c>
      <c r="H102" s="3">
        <f t="shared" si="47"/>
        <v>0</v>
      </c>
      <c r="I102" s="3">
        <f t="shared" si="52"/>
        <v>0</v>
      </c>
      <c r="J102" s="3">
        <f t="shared" si="53"/>
        <v>0</v>
      </c>
      <c r="K102" s="3">
        <f t="shared" si="54"/>
        <v>0</v>
      </c>
      <c r="L102" s="3">
        <f t="shared" si="55"/>
        <v>0</v>
      </c>
      <c r="M102" s="3" t="e">
        <f t="shared" si="34"/>
        <v>#DIV/0!</v>
      </c>
      <c r="N102" s="3" t="e">
        <f t="shared" si="43"/>
        <v>#DIV/0!</v>
      </c>
      <c r="O102" s="3" t="e">
        <f t="shared" si="56"/>
        <v>#DIV/0!</v>
      </c>
      <c r="P102" s="3">
        <f t="shared" si="44"/>
        <v>0</v>
      </c>
      <c r="Q102" s="3">
        <f t="shared" si="58"/>
        <v>0</v>
      </c>
      <c r="R102" s="3">
        <f t="shared" si="46"/>
        <v>0</v>
      </c>
      <c r="S102" s="3">
        <f t="shared" si="59"/>
        <v>0</v>
      </c>
      <c r="T102" s="3">
        <f t="shared" si="31"/>
        <v>0</v>
      </c>
      <c r="U102" s="3">
        <f t="shared" si="45"/>
        <v>0</v>
      </c>
      <c r="V102" s="3">
        <f t="shared" si="32"/>
        <v>0</v>
      </c>
      <c r="W102" s="3">
        <f t="shared" si="35"/>
        <v>0</v>
      </c>
      <c r="X102" s="3">
        <f t="shared" si="36"/>
        <v>0</v>
      </c>
      <c r="Y102" s="3">
        <f t="shared" si="37"/>
        <v>0</v>
      </c>
      <c r="Z102" s="3">
        <f t="shared" si="48"/>
        <v>0</v>
      </c>
      <c r="AA102" s="3">
        <f t="shared" si="49"/>
        <v>0</v>
      </c>
      <c r="AB102" s="3" t="e">
        <f t="shared" si="50"/>
        <v>#DIV/0!</v>
      </c>
      <c r="AC102" s="3" t="str">
        <f t="shared" si="51"/>
        <v/>
      </c>
      <c r="AD102" s="3">
        <f t="shared" si="38"/>
        <v>0</v>
      </c>
      <c r="AE102" s="3">
        <f t="shared" si="33"/>
        <v>0</v>
      </c>
      <c r="AF102" s="3">
        <f t="shared" si="39"/>
        <v>0</v>
      </c>
      <c r="AG102" s="3" t="e">
        <f>AF102 / SUM(F$2:F102)</f>
        <v>#DIV/0!</v>
      </c>
      <c r="AH102" s="3" t="e">
        <f t="shared" si="40"/>
        <v>#DIV/0!</v>
      </c>
      <c r="AI102" s="3">
        <f t="shared" si="41"/>
        <v>0</v>
      </c>
      <c r="AJ102" s="3" t="e">
        <f t="shared" si="42"/>
        <v>#DIV/0!</v>
      </c>
      <c r="AK102" s="3" t="e">
        <f t="shared" si="57"/>
        <v>#DIV/0!</v>
      </c>
    </row>
    <row r="103" spans="1:37" x14ac:dyDescent="0.3">
      <c r="A103" s="24">
        <v>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f t="shared" si="30"/>
        <v>0</v>
      </c>
      <c r="H103" s="3">
        <f t="shared" si="47"/>
        <v>0</v>
      </c>
      <c r="I103" s="3">
        <f t="shared" si="52"/>
        <v>0</v>
      </c>
      <c r="J103" s="3">
        <f t="shared" si="53"/>
        <v>0</v>
      </c>
      <c r="K103" s="3">
        <f t="shared" si="54"/>
        <v>0</v>
      </c>
      <c r="L103" s="3">
        <f t="shared" si="55"/>
        <v>0</v>
      </c>
      <c r="M103" s="3" t="e">
        <f t="shared" si="34"/>
        <v>#DIV/0!</v>
      </c>
      <c r="N103" s="3" t="e">
        <f t="shared" si="43"/>
        <v>#DIV/0!</v>
      </c>
      <c r="O103" s="3" t="e">
        <f t="shared" si="56"/>
        <v>#DIV/0!</v>
      </c>
      <c r="P103" s="3">
        <f t="shared" si="44"/>
        <v>0</v>
      </c>
      <c r="Q103" s="3">
        <f t="shared" si="58"/>
        <v>0</v>
      </c>
      <c r="R103" s="3">
        <f t="shared" si="46"/>
        <v>0</v>
      </c>
      <c r="S103" s="3">
        <f t="shared" si="59"/>
        <v>0</v>
      </c>
      <c r="T103" s="3">
        <f t="shared" si="31"/>
        <v>0</v>
      </c>
      <c r="U103" s="3">
        <f t="shared" si="45"/>
        <v>0</v>
      </c>
      <c r="V103" s="3">
        <f t="shared" si="32"/>
        <v>0</v>
      </c>
      <c r="W103" s="3">
        <f t="shared" si="35"/>
        <v>0</v>
      </c>
      <c r="X103" s="3">
        <f t="shared" si="36"/>
        <v>0</v>
      </c>
      <c r="Y103" s="3">
        <f t="shared" si="37"/>
        <v>0</v>
      </c>
      <c r="Z103" s="3">
        <f t="shared" si="48"/>
        <v>0</v>
      </c>
      <c r="AA103" s="3">
        <f t="shared" si="49"/>
        <v>0</v>
      </c>
      <c r="AB103" s="3" t="e">
        <f t="shared" si="50"/>
        <v>#DIV/0!</v>
      </c>
      <c r="AC103" s="3" t="str">
        <f t="shared" si="51"/>
        <v/>
      </c>
      <c r="AD103" s="3">
        <f t="shared" si="38"/>
        <v>0</v>
      </c>
      <c r="AE103" s="3">
        <f t="shared" si="33"/>
        <v>0</v>
      </c>
      <c r="AF103" s="3">
        <f t="shared" si="39"/>
        <v>0</v>
      </c>
      <c r="AG103" s="3" t="e">
        <f>AF103 / SUM(F$2:F103)</f>
        <v>#DIV/0!</v>
      </c>
      <c r="AH103" s="3" t="e">
        <f t="shared" si="40"/>
        <v>#DIV/0!</v>
      </c>
      <c r="AI103" s="3">
        <f t="shared" si="41"/>
        <v>0</v>
      </c>
      <c r="AJ103" s="3" t="e">
        <f t="shared" si="42"/>
        <v>#DIV/0!</v>
      </c>
      <c r="AK103" s="3" t="e">
        <f t="shared" si="57"/>
        <v>#DIV/0!</v>
      </c>
    </row>
    <row r="104" spans="1:37" x14ac:dyDescent="0.3">
      <c r="A104" s="24">
        <v>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f t="shared" si="30"/>
        <v>0</v>
      </c>
      <c r="H104" s="3">
        <f t="shared" si="47"/>
        <v>0</v>
      </c>
      <c r="I104" s="3">
        <f t="shared" si="52"/>
        <v>0</v>
      </c>
      <c r="J104" s="3">
        <f t="shared" si="53"/>
        <v>0</v>
      </c>
      <c r="K104" s="3">
        <f t="shared" si="54"/>
        <v>0</v>
      </c>
      <c r="L104" s="3">
        <f t="shared" si="55"/>
        <v>0</v>
      </c>
      <c r="M104" s="3" t="e">
        <f t="shared" si="34"/>
        <v>#DIV/0!</v>
      </c>
      <c r="N104" s="3" t="e">
        <f t="shared" si="43"/>
        <v>#DIV/0!</v>
      </c>
      <c r="O104" s="3" t="e">
        <f t="shared" si="56"/>
        <v>#DIV/0!</v>
      </c>
      <c r="P104" s="3">
        <f t="shared" si="44"/>
        <v>0</v>
      </c>
      <c r="Q104" s="3">
        <f t="shared" si="58"/>
        <v>0</v>
      </c>
      <c r="R104" s="3">
        <f t="shared" si="46"/>
        <v>0</v>
      </c>
      <c r="S104" s="3">
        <f t="shared" si="59"/>
        <v>0</v>
      </c>
      <c r="T104" s="3">
        <f t="shared" si="31"/>
        <v>0</v>
      </c>
      <c r="U104" s="3">
        <f t="shared" si="45"/>
        <v>0</v>
      </c>
      <c r="V104" s="3">
        <f t="shared" si="32"/>
        <v>0</v>
      </c>
      <c r="W104" s="3">
        <f t="shared" si="35"/>
        <v>0</v>
      </c>
      <c r="X104" s="3">
        <f t="shared" si="36"/>
        <v>0</v>
      </c>
      <c r="Y104" s="3">
        <f t="shared" si="37"/>
        <v>0</v>
      </c>
      <c r="Z104" s="3">
        <f t="shared" si="48"/>
        <v>0</v>
      </c>
      <c r="AA104" s="3">
        <f t="shared" si="49"/>
        <v>0</v>
      </c>
      <c r="AB104" s="3" t="e">
        <f t="shared" si="50"/>
        <v>#DIV/0!</v>
      </c>
      <c r="AC104" s="3" t="str">
        <f t="shared" si="51"/>
        <v/>
      </c>
      <c r="AD104" s="3">
        <f t="shared" si="38"/>
        <v>0</v>
      </c>
      <c r="AE104" s="3">
        <f t="shared" si="33"/>
        <v>0</v>
      </c>
      <c r="AF104" s="3">
        <f t="shared" si="39"/>
        <v>0</v>
      </c>
      <c r="AG104" s="3" t="e">
        <f>AF104 / SUM(F$2:F104)</f>
        <v>#DIV/0!</v>
      </c>
      <c r="AH104" s="3" t="e">
        <f t="shared" si="40"/>
        <v>#DIV/0!</v>
      </c>
      <c r="AI104" s="3">
        <f t="shared" si="41"/>
        <v>0</v>
      </c>
      <c r="AJ104" s="3" t="e">
        <f t="shared" si="42"/>
        <v>#DIV/0!</v>
      </c>
      <c r="AK104" s="3" t="e">
        <f t="shared" si="57"/>
        <v>#DIV/0!</v>
      </c>
    </row>
    <row r="105" spans="1:37" x14ac:dyDescent="0.3">
      <c r="A105" s="24">
        <v>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f t="shared" si="30"/>
        <v>0</v>
      </c>
      <c r="H105" s="3">
        <f t="shared" si="47"/>
        <v>0</v>
      </c>
      <c r="I105" s="3">
        <f t="shared" si="52"/>
        <v>0</v>
      </c>
      <c r="J105" s="3">
        <f t="shared" si="53"/>
        <v>0</v>
      </c>
      <c r="K105" s="3">
        <f t="shared" si="54"/>
        <v>0</v>
      </c>
      <c r="L105" s="3">
        <f t="shared" si="55"/>
        <v>0</v>
      </c>
      <c r="M105" s="3" t="e">
        <f t="shared" si="34"/>
        <v>#DIV/0!</v>
      </c>
      <c r="N105" s="3" t="e">
        <f t="shared" si="43"/>
        <v>#DIV/0!</v>
      </c>
      <c r="O105" s="3" t="e">
        <f t="shared" si="56"/>
        <v>#DIV/0!</v>
      </c>
      <c r="P105" s="3">
        <f t="shared" si="44"/>
        <v>0</v>
      </c>
      <c r="Q105" s="3">
        <f t="shared" si="58"/>
        <v>0</v>
      </c>
      <c r="R105" s="3">
        <f t="shared" si="46"/>
        <v>0</v>
      </c>
      <c r="S105" s="3">
        <f t="shared" si="59"/>
        <v>0</v>
      </c>
      <c r="T105" s="3">
        <f t="shared" si="31"/>
        <v>0</v>
      </c>
      <c r="U105" s="3">
        <f t="shared" si="45"/>
        <v>0</v>
      </c>
      <c r="V105" s="3">
        <f t="shared" si="32"/>
        <v>0</v>
      </c>
      <c r="W105" s="3">
        <f t="shared" si="35"/>
        <v>0</v>
      </c>
      <c r="X105" s="3">
        <f t="shared" si="36"/>
        <v>0</v>
      </c>
      <c r="Y105" s="3">
        <f t="shared" si="37"/>
        <v>0</v>
      </c>
      <c r="Z105" s="3">
        <f t="shared" si="48"/>
        <v>0</v>
      </c>
      <c r="AA105" s="3">
        <f t="shared" si="49"/>
        <v>0</v>
      </c>
      <c r="AB105" s="3" t="e">
        <f t="shared" si="50"/>
        <v>#DIV/0!</v>
      </c>
      <c r="AC105" s="3" t="str">
        <f t="shared" si="51"/>
        <v/>
      </c>
      <c r="AD105" s="3">
        <f t="shared" si="38"/>
        <v>0</v>
      </c>
      <c r="AE105" s="3">
        <f t="shared" si="33"/>
        <v>0</v>
      </c>
      <c r="AF105" s="3">
        <f t="shared" si="39"/>
        <v>0</v>
      </c>
      <c r="AG105" s="3" t="e">
        <f>AF105 / SUM(F$2:F105)</f>
        <v>#DIV/0!</v>
      </c>
      <c r="AH105" s="3" t="e">
        <f t="shared" si="40"/>
        <v>#DIV/0!</v>
      </c>
      <c r="AI105" s="3">
        <f t="shared" si="41"/>
        <v>0</v>
      </c>
      <c r="AJ105" s="3" t="e">
        <f t="shared" si="42"/>
        <v>#DIV/0!</v>
      </c>
      <c r="AK105" s="3" t="e">
        <f t="shared" si="57"/>
        <v>#DIV/0!</v>
      </c>
    </row>
    <row r="106" spans="1:37" x14ac:dyDescent="0.3">
      <c r="A106" s="24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f t="shared" si="30"/>
        <v>0</v>
      </c>
      <c r="H106" s="3">
        <f t="shared" si="47"/>
        <v>0</v>
      </c>
      <c r="I106" s="3">
        <f t="shared" si="52"/>
        <v>0</v>
      </c>
      <c r="J106" s="3">
        <f t="shared" si="53"/>
        <v>0</v>
      </c>
      <c r="K106" s="3">
        <f t="shared" si="54"/>
        <v>0</v>
      </c>
      <c r="L106" s="3">
        <f t="shared" si="55"/>
        <v>0</v>
      </c>
      <c r="M106" s="3" t="e">
        <f t="shared" si="34"/>
        <v>#DIV/0!</v>
      </c>
      <c r="N106" s="3" t="e">
        <f t="shared" si="43"/>
        <v>#DIV/0!</v>
      </c>
      <c r="O106" s="3" t="e">
        <f t="shared" si="56"/>
        <v>#DIV/0!</v>
      </c>
      <c r="P106" s="3">
        <f t="shared" si="44"/>
        <v>0</v>
      </c>
      <c r="Q106" s="3">
        <f t="shared" si="58"/>
        <v>0</v>
      </c>
      <c r="R106" s="3">
        <f t="shared" si="46"/>
        <v>0</v>
      </c>
      <c r="S106" s="3">
        <f t="shared" si="59"/>
        <v>0</v>
      </c>
      <c r="T106" s="3">
        <f t="shared" si="31"/>
        <v>0</v>
      </c>
      <c r="U106" s="3">
        <f t="shared" si="45"/>
        <v>0</v>
      </c>
      <c r="V106" s="3">
        <f t="shared" si="32"/>
        <v>0</v>
      </c>
      <c r="W106" s="3">
        <f t="shared" si="35"/>
        <v>0</v>
      </c>
      <c r="X106" s="3">
        <f t="shared" si="36"/>
        <v>0</v>
      </c>
      <c r="Y106" s="3">
        <f t="shared" si="37"/>
        <v>0</v>
      </c>
      <c r="Z106" s="3">
        <f t="shared" si="48"/>
        <v>0</v>
      </c>
      <c r="AA106" s="3">
        <f t="shared" si="49"/>
        <v>0</v>
      </c>
      <c r="AB106" s="3" t="e">
        <f t="shared" si="50"/>
        <v>#DIV/0!</v>
      </c>
      <c r="AC106" s="3" t="str">
        <f t="shared" si="51"/>
        <v/>
      </c>
      <c r="AD106" s="3">
        <f t="shared" si="38"/>
        <v>0</v>
      </c>
      <c r="AE106" s="3">
        <f t="shared" si="33"/>
        <v>0</v>
      </c>
      <c r="AF106" s="3">
        <f t="shared" si="39"/>
        <v>0</v>
      </c>
      <c r="AG106" s="3" t="e">
        <f>AF106 / SUM(F$2:F106)</f>
        <v>#DIV/0!</v>
      </c>
      <c r="AH106" s="3" t="e">
        <f t="shared" si="40"/>
        <v>#DIV/0!</v>
      </c>
      <c r="AI106" s="3">
        <f t="shared" si="41"/>
        <v>0</v>
      </c>
      <c r="AJ106" s="3" t="e">
        <f t="shared" si="42"/>
        <v>#DIV/0!</v>
      </c>
      <c r="AK106" s="3" t="e">
        <f t="shared" si="57"/>
        <v>#DIV/0!</v>
      </c>
    </row>
    <row r="107" spans="1:37" x14ac:dyDescent="0.3">
      <c r="A107" s="24">
        <v>0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f t="shared" si="30"/>
        <v>0</v>
      </c>
      <c r="H107" s="3">
        <f t="shared" si="47"/>
        <v>0</v>
      </c>
      <c r="I107" s="3">
        <f t="shared" si="52"/>
        <v>0</v>
      </c>
      <c r="J107" s="3">
        <f t="shared" si="53"/>
        <v>0</v>
      </c>
      <c r="K107" s="3">
        <f t="shared" si="54"/>
        <v>0</v>
      </c>
      <c r="L107" s="3">
        <f t="shared" si="55"/>
        <v>0</v>
      </c>
      <c r="M107" s="3" t="e">
        <f t="shared" si="34"/>
        <v>#DIV/0!</v>
      </c>
      <c r="N107" s="3" t="e">
        <f t="shared" si="43"/>
        <v>#DIV/0!</v>
      </c>
      <c r="O107" s="3" t="e">
        <f t="shared" si="56"/>
        <v>#DIV/0!</v>
      </c>
      <c r="P107" s="3">
        <f t="shared" si="44"/>
        <v>0</v>
      </c>
      <c r="Q107" s="3">
        <f t="shared" si="58"/>
        <v>0</v>
      </c>
      <c r="R107" s="3">
        <f t="shared" si="46"/>
        <v>0</v>
      </c>
      <c r="S107" s="3">
        <f t="shared" si="59"/>
        <v>0</v>
      </c>
      <c r="T107" s="3">
        <f t="shared" si="31"/>
        <v>0</v>
      </c>
      <c r="U107" s="3">
        <f t="shared" si="45"/>
        <v>0</v>
      </c>
      <c r="V107" s="3">
        <f t="shared" si="32"/>
        <v>0</v>
      </c>
      <c r="W107" s="3">
        <f t="shared" si="35"/>
        <v>0</v>
      </c>
      <c r="X107" s="3">
        <f t="shared" si="36"/>
        <v>0</v>
      </c>
      <c r="Y107" s="3">
        <f t="shared" si="37"/>
        <v>0</v>
      </c>
      <c r="Z107" s="3">
        <f t="shared" si="48"/>
        <v>0</v>
      </c>
      <c r="AA107" s="3">
        <f t="shared" si="49"/>
        <v>0</v>
      </c>
      <c r="AB107" s="3" t="e">
        <f t="shared" si="50"/>
        <v>#DIV/0!</v>
      </c>
      <c r="AC107" s="3" t="str">
        <f t="shared" si="51"/>
        <v/>
      </c>
      <c r="AD107" s="3">
        <f t="shared" si="38"/>
        <v>0</v>
      </c>
      <c r="AE107" s="3">
        <f t="shared" si="33"/>
        <v>0</v>
      </c>
      <c r="AF107" s="3">
        <f t="shared" si="39"/>
        <v>0</v>
      </c>
      <c r="AG107" s="3" t="e">
        <f>AF107 / SUM(F$2:F107)</f>
        <v>#DIV/0!</v>
      </c>
      <c r="AH107" s="3" t="e">
        <f t="shared" si="40"/>
        <v>#DIV/0!</v>
      </c>
      <c r="AI107" s="3">
        <f t="shared" si="41"/>
        <v>0</v>
      </c>
      <c r="AJ107" s="3" t="e">
        <f t="shared" si="42"/>
        <v>#DIV/0!</v>
      </c>
      <c r="AK107" s="3" t="e">
        <f t="shared" si="57"/>
        <v>#DIV/0!</v>
      </c>
    </row>
    <row r="108" spans="1:37" x14ac:dyDescent="0.3">
      <c r="A108" s="24">
        <v>0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f t="shared" si="30"/>
        <v>0</v>
      </c>
      <c r="H108" s="3">
        <f t="shared" si="47"/>
        <v>0</v>
      </c>
      <c r="I108" s="3">
        <f t="shared" si="52"/>
        <v>0</v>
      </c>
      <c r="J108" s="3">
        <f t="shared" si="53"/>
        <v>0</v>
      </c>
      <c r="K108" s="3">
        <f t="shared" si="54"/>
        <v>0</v>
      </c>
      <c r="L108" s="3">
        <f t="shared" si="55"/>
        <v>0</v>
      </c>
      <c r="M108" s="3" t="e">
        <f t="shared" si="34"/>
        <v>#DIV/0!</v>
      </c>
      <c r="N108" s="3" t="e">
        <f t="shared" si="43"/>
        <v>#DIV/0!</v>
      </c>
      <c r="O108" s="3" t="e">
        <f t="shared" si="56"/>
        <v>#DIV/0!</v>
      </c>
      <c r="P108" s="3">
        <f t="shared" si="44"/>
        <v>0</v>
      </c>
      <c r="Q108" s="3">
        <f t="shared" si="58"/>
        <v>0</v>
      </c>
      <c r="R108" s="3">
        <f t="shared" si="46"/>
        <v>0</v>
      </c>
      <c r="S108" s="3">
        <f t="shared" si="59"/>
        <v>0</v>
      </c>
      <c r="T108" s="3">
        <f t="shared" si="31"/>
        <v>0</v>
      </c>
      <c r="U108" s="3">
        <f t="shared" si="45"/>
        <v>0</v>
      </c>
      <c r="V108" s="3">
        <f t="shared" si="32"/>
        <v>0</v>
      </c>
      <c r="W108" s="3">
        <f t="shared" si="35"/>
        <v>0</v>
      </c>
      <c r="X108" s="3">
        <f t="shared" si="36"/>
        <v>0</v>
      </c>
      <c r="Y108" s="3">
        <f t="shared" si="37"/>
        <v>0</v>
      </c>
      <c r="Z108" s="3">
        <f t="shared" si="48"/>
        <v>0</v>
      </c>
      <c r="AA108" s="3">
        <f t="shared" si="49"/>
        <v>0</v>
      </c>
      <c r="AB108" s="3" t="e">
        <f t="shared" si="50"/>
        <v>#DIV/0!</v>
      </c>
      <c r="AC108" s="3" t="str">
        <f t="shared" si="51"/>
        <v/>
      </c>
      <c r="AD108" s="3">
        <f t="shared" si="38"/>
        <v>0</v>
      </c>
      <c r="AE108" s="3">
        <f t="shared" si="33"/>
        <v>0</v>
      </c>
      <c r="AF108" s="3">
        <f t="shared" si="39"/>
        <v>0</v>
      </c>
      <c r="AG108" s="3" t="e">
        <f>AF108 / SUM(F$2:F108)</f>
        <v>#DIV/0!</v>
      </c>
      <c r="AH108" s="3" t="e">
        <f t="shared" si="40"/>
        <v>#DIV/0!</v>
      </c>
      <c r="AI108" s="3">
        <f t="shared" si="41"/>
        <v>0</v>
      </c>
      <c r="AJ108" s="3" t="e">
        <f t="shared" si="42"/>
        <v>#DIV/0!</v>
      </c>
      <c r="AK108" s="3" t="e">
        <f t="shared" si="57"/>
        <v>#DIV/0!</v>
      </c>
    </row>
    <row r="109" spans="1:37" x14ac:dyDescent="0.3">
      <c r="A109" s="24">
        <v>0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f t="shared" si="30"/>
        <v>0</v>
      </c>
      <c r="H109" s="3">
        <f t="shared" si="47"/>
        <v>0</v>
      </c>
      <c r="I109" s="3">
        <f t="shared" si="52"/>
        <v>0</v>
      </c>
      <c r="J109" s="3">
        <f t="shared" si="53"/>
        <v>0</v>
      </c>
      <c r="K109" s="3">
        <f t="shared" si="54"/>
        <v>0</v>
      </c>
      <c r="L109" s="3">
        <f t="shared" si="55"/>
        <v>0</v>
      </c>
      <c r="M109" s="3" t="e">
        <f t="shared" si="34"/>
        <v>#DIV/0!</v>
      </c>
      <c r="N109" s="3" t="e">
        <f t="shared" si="43"/>
        <v>#DIV/0!</v>
      </c>
      <c r="O109" s="3" t="e">
        <f t="shared" si="56"/>
        <v>#DIV/0!</v>
      </c>
      <c r="P109" s="3">
        <f t="shared" si="44"/>
        <v>0</v>
      </c>
      <c r="Q109" s="3">
        <f t="shared" si="58"/>
        <v>0</v>
      </c>
      <c r="R109" s="3">
        <f t="shared" si="46"/>
        <v>0</v>
      </c>
      <c r="S109" s="3">
        <f t="shared" si="59"/>
        <v>0</v>
      </c>
      <c r="T109" s="3">
        <f t="shared" si="31"/>
        <v>0</v>
      </c>
      <c r="U109" s="3">
        <f t="shared" si="45"/>
        <v>0</v>
      </c>
      <c r="V109" s="3">
        <f t="shared" si="32"/>
        <v>0</v>
      </c>
      <c r="W109" s="3">
        <f t="shared" si="35"/>
        <v>0</v>
      </c>
      <c r="X109" s="3">
        <f t="shared" si="36"/>
        <v>0</v>
      </c>
      <c r="Y109" s="3">
        <f t="shared" si="37"/>
        <v>0</v>
      </c>
      <c r="Z109" s="3">
        <f t="shared" si="48"/>
        <v>0</v>
      </c>
      <c r="AA109" s="3">
        <f t="shared" si="49"/>
        <v>0</v>
      </c>
      <c r="AB109" s="3" t="e">
        <f t="shared" si="50"/>
        <v>#DIV/0!</v>
      </c>
      <c r="AC109" s="3" t="str">
        <f t="shared" si="51"/>
        <v/>
      </c>
      <c r="AD109" s="3">
        <f t="shared" si="38"/>
        <v>0</v>
      </c>
      <c r="AE109" s="3">
        <f t="shared" si="33"/>
        <v>0</v>
      </c>
      <c r="AF109" s="3">
        <f t="shared" si="39"/>
        <v>0</v>
      </c>
      <c r="AG109" s="3" t="e">
        <f>AF109 / SUM(F$2:F109)</f>
        <v>#DIV/0!</v>
      </c>
      <c r="AH109" s="3" t="e">
        <f t="shared" si="40"/>
        <v>#DIV/0!</v>
      </c>
      <c r="AI109" s="3">
        <f t="shared" si="41"/>
        <v>0</v>
      </c>
      <c r="AJ109" s="3" t="e">
        <f t="shared" si="42"/>
        <v>#DIV/0!</v>
      </c>
      <c r="AK109" s="3" t="e">
        <f t="shared" si="57"/>
        <v>#DIV/0!</v>
      </c>
    </row>
    <row r="110" spans="1:37" x14ac:dyDescent="0.3">
      <c r="A110" s="24">
        <v>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f t="shared" si="30"/>
        <v>0</v>
      </c>
      <c r="H110" s="3">
        <f t="shared" si="47"/>
        <v>0</v>
      </c>
      <c r="I110" s="3">
        <f t="shared" si="52"/>
        <v>0</v>
      </c>
      <c r="J110" s="3">
        <f t="shared" si="53"/>
        <v>0</v>
      </c>
      <c r="K110" s="3">
        <f t="shared" si="54"/>
        <v>0</v>
      </c>
      <c r="L110" s="3">
        <f t="shared" si="55"/>
        <v>0</v>
      </c>
      <c r="M110" s="3" t="e">
        <f t="shared" si="34"/>
        <v>#DIV/0!</v>
      </c>
      <c r="N110" s="3" t="e">
        <f t="shared" si="43"/>
        <v>#DIV/0!</v>
      </c>
      <c r="O110" s="3" t="e">
        <f t="shared" si="56"/>
        <v>#DIV/0!</v>
      </c>
      <c r="P110" s="3">
        <f t="shared" si="44"/>
        <v>0</v>
      </c>
      <c r="Q110" s="3">
        <f t="shared" si="58"/>
        <v>0</v>
      </c>
      <c r="R110" s="3">
        <f t="shared" si="46"/>
        <v>0</v>
      </c>
      <c r="S110" s="3">
        <f t="shared" si="59"/>
        <v>0</v>
      </c>
      <c r="T110" s="3">
        <f t="shared" si="31"/>
        <v>0</v>
      </c>
      <c r="U110" s="3">
        <f t="shared" si="45"/>
        <v>0</v>
      </c>
      <c r="V110" s="3">
        <f t="shared" si="32"/>
        <v>0</v>
      </c>
      <c r="W110" s="3">
        <f t="shared" si="35"/>
        <v>0</v>
      </c>
      <c r="X110" s="3">
        <f t="shared" si="36"/>
        <v>0</v>
      </c>
      <c r="Y110" s="3">
        <f t="shared" si="37"/>
        <v>0</v>
      </c>
      <c r="Z110" s="3">
        <f t="shared" si="48"/>
        <v>0</v>
      </c>
      <c r="AA110" s="3">
        <f t="shared" si="49"/>
        <v>0</v>
      </c>
      <c r="AB110" s="3" t="e">
        <f t="shared" si="50"/>
        <v>#DIV/0!</v>
      </c>
      <c r="AC110" s="3" t="str">
        <f t="shared" si="51"/>
        <v/>
      </c>
      <c r="AD110" s="3">
        <f t="shared" si="38"/>
        <v>0</v>
      </c>
      <c r="AE110" s="3">
        <f t="shared" si="33"/>
        <v>0</v>
      </c>
      <c r="AF110" s="3">
        <f t="shared" si="39"/>
        <v>0</v>
      </c>
      <c r="AG110" s="3" t="e">
        <f>AF110 / SUM(F$2:F110)</f>
        <v>#DIV/0!</v>
      </c>
      <c r="AH110" s="3" t="e">
        <f t="shared" si="40"/>
        <v>#DIV/0!</v>
      </c>
      <c r="AI110" s="3">
        <f t="shared" si="41"/>
        <v>0</v>
      </c>
      <c r="AJ110" s="3" t="e">
        <f t="shared" si="42"/>
        <v>#DIV/0!</v>
      </c>
      <c r="AK110" s="3" t="e">
        <f t="shared" si="57"/>
        <v>#DIV/0!</v>
      </c>
    </row>
    <row r="111" spans="1:37" x14ac:dyDescent="0.3">
      <c r="A111" s="24">
        <v>0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f t="shared" si="30"/>
        <v>0</v>
      </c>
      <c r="H111" s="3">
        <f t="shared" si="47"/>
        <v>0</v>
      </c>
      <c r="I111" s="3">
        <f t="shared" si="52"/>
        <v>0</v>
      </c>
      <c r="J111" s="3">
        <f t="shared" si="53"/>
        <v>0</v>
      </c>
      <c r="K111" s="3">
        <f t="shared" si="54"/>
        <v>0</v>
      </c>
      <c r="L111" s="3">
        <f t="shared" si="55"/>
        <v>0</v>
      </c>
      <c r="M111" s="3" t="e">
        <f t="shared" si="34"/>
        <v>#DIV/0!</v>
      </c>
      <c r="N111" s="3" t="e">
        <f t="shared" si="43"/>
        <v>#DIV/0!</v>
      </c>
      <c r="O111" s="3" t="e">
        <f t="shared" si="56"/>
        <v>#DIV/0!</v>
      </c>
      <c r="P111" s="3">
        <f t="shared" si="44"/>
        <v>0</v>
      </c>
      <c r="Q111" s="3">
        <f t="shared" si="58"/>
        <v>0</v>
      </c>
      <c r="R111" s="3">
        <f t="shared" si="46"/>
        <v>0</v>
      </c>
      <c r="S111" s="3">
        <f t="shared" si="59"/>
        <v>0</v>
      </c>
      <c r="T111" s="3">
        <f t="shared" si="31"/>
        <v>0</v>
      </c>
      <c r="U111" s="3">
        <f t="shared" si="45"/>
        <v>0</v>
      </c>
      <c r="V111" s="3">
        <f t="shared" si="32"/>
        <v>0</v>
      </c>
      <c r="W111" s="3">
        <f t="shared" si="35"/>
        <v>0</v>
      </c>
      <c r="X111" s="3">
        <f t="shared" si="36"/>
        <v>0</v>
      </c>
      <c r="Y111" s="3">
        <f t="shared" si="37"/>
        <v>0</v>
      </c>
      <c r="Z111" s="3">
        <f t="shared" si="48"/>
        <v>0</v>
      </c>
      <c r="AA111" s="3">
        <f t="shared" si="49"/>
        <v>0</v>
      </c>
      <c r="AB111" s="3" t="e">
        <f t="shared" si="50"/>
        <v>#DIV/0!</v>
      </c>
      <c r="AC111" s="3" t="str">
        <f t="shared" si="51"/>
        <v/>
      </c>
      <c r="AD111" s="3">
        <f t="shared" si="38"/>
        <v>0</v>
      </c>
      <c r="AE111" s="3">
        <f t="shared" si="33"/>
        <v>0</v>
      </c>
      <c r="AF111" s="3">
        <f t="shared" si="39"/>
        <v>0</v>
      </c>
      <c r="AG111" s="3" t="e">
        <f>AF111 / SUM(F$2:F111)</f>
        <v>#DIV/0!</v>
      </c>
      <c r="AH111" s="3" t="e">
        <f t="shared" si="40"/>
        <v>#DIV/0!</v>
      </c>
      <c r="AI111" s="3">
        <f t="shared" si="41"/>
        <v>0</v>
      </c>
      <c r="AJ111" s="3" t="e">
        <f t="shared" si="42"/>
        <v>#DIV/0!</v>
      </c>
      <c r="AK111" s="3" t="e">
        <f t="shared" si="57"/>
        <v>#DIV/0!</v>
      </c>
    </row>
    <row r="112" spans="1:37" x14ac:dyDescent="0.3">
      <c r="A112" s="24">
        <v>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f t="shared" si="30"/>
        <v>0</v>
      </c>
      <c r="H112" s="3">
        <f t="shared" si="47"/>
        <v>0</v>
      </c>
      <c r="I112" s="3">
        <f t="shared" si="52"/>
        <v>0</v>
      </c>
      <c r="J112" s="3">
        <f t="shared" si="53"/>
        <v>0</v>
      </c>
      <c r="K112" s="3">
        <f t="shared" si="54"/>
        <v>0</v>
      </c>
      <c r="L112" s="3">
        <f t="shared" si="55"/>
        <v>0</v>
      </c>
      <c r="M112" s="3" t="e">
        <f t="shared" si="34"/>
        <v>#DIV/0!</v>
      </c>
      <c r="N112" s="3" t="e">
        <f t="shared" si="43"/>
        <v>#DIV/0!</v>
      </c>
      <c r="O112" s="3" t="e">
        <f t="shared" si="56"/>
        <v>#DIV/0!</v>
      </c>
      <c r="P112" s="3">
        <f t="shared" si="44"/>
        <v>0</v>
      </c>
      <c r="Q112" s="3">
        <f t="shared" si="58"/>
        <v>0</v>
      </c>
      <c r="R112" s="3">
        <f t="shared" si="46"/>
        <v>0</v>
      </c>
      <c r="S112" s="3">
        <f t="shared" si="59"/>
        <v>0</v>
      </c>
      <c r="T112" s="3">
        <f t="shared" si="31"/>
        <v>0</v>
      </c>
      <c r="U112" s="3">
        <f t="shared" si="45"/>
        <v>0</v>
      </c>
      <c r="V112" s="3">
        <f t="shared" si="32"/>
        <v>0</v>
      </c>
      <c r="W112" s="3">
        <f t="shared" si="35"/>
        <v>0</v>
      </c>
      <c r="X112" s="3">
        <f t="shared" si="36"/>
        <v>0</v>
      </c>
      <c r="Y112" s="3">
        <f t="shared" si="37"/>
        <v>0</v>
      </c>
      <c r="Z112" s="3">
        <f t="shared" si="48"/>
        <v>0</v>
      </c>
      <c r="AA112" s="3">
        <f t="shared" si="49"/>
        <v>0</v>
      </c>
      <c r="AB112" s="3" t="e">
        <f t="shared" si="50"/>
        <v>#DIV/0!</v>
      </c>
      <c r="AC112" s="3" t="str">
        <f t="shared" si="51"/>
        <v/>
      </c>
      <c r="AD112" s="3">
        <f t="shared" si="38"/>
        <v>0</v>
      </c>
      <c r="AE112" s="3">
        <f t="shared" si="33"/>
        <v>0</v>
      </c>
      <c r="AF112" s="3">
        <f t="shared" si="39"/>
        <v>0</v>
      </c>
      <c r="AG112" s="3" t="e">
        <f>AF112 / SUM(F$2:F112)</f>
        <v>#DIV/0!</v>
      </c>
      <c r="AH112" s="3" t="e">
        <f t="shared" si="40"/>
        <v>#DIV/0!</v>
      </c>
      <c r="AI112" s="3">
        <f t="shared" si="41"/>
        <v>0</v>
      </c>
      <c r="AJ112" s="3" t="e">
        <f t="shared" si="42"/>
        <v>#DIV/0!</v>
      </c>
      <c r="AK112" s="3" t="e">
        <f t="shared" si="57"/>
        <v>#DIV/0!</v>
      </c>
    </row>
    <row r="113" spans="1:37" x14ac:dyDescent="0.3">
      <c r="A113" s="24">
        <v>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f t="shared" si="30"/>
        <v>0</v>
      </c>
      <c r="H113" s="3">
        <f t="shared" si="47"/>
        <v>0</v>
      </c>
      <c r="I113" s="3">
        <f t="shared" si="52"/>
        <v>0</v>
      </c>
      <c r="J113" s="3">
        <f t="shared" si="53"/>
        <v>0</v>
      </c>
      <c r="K113" s="3">
        <f t="shared" si="54"/>
        <v>0</v>
      </c>
      <c r="L113" s="3">
        <f t="shared" si="55"/>
        <v>0</v>
      </c>
      <c r="M113" s="3" t="e">
        <f t="shared" si="34"/>
        <v>#DIV/0!</v>
      </c>
      <c r="N113" s="3" t="e">
        <f t="shared" si="43"/>
        <v>#DIV/0!</v>
      </c>
      <c r="O113" s="3" t="e">
        <f t="shared" si="56"/>
        <v>#DIV/0!</v>
      </c>
      <c r="P113" s="3">
        <f t="shared" si="44"/>
        <v>0</v>
      </c>
      <c r="Q113" s="3">
        <f t="shared" si="58"/>
        <v>0</v>
      </c>
      <c r="R113" s="3">
        <f t="shared" si="46"/>
        <v>0</v>
      </c>
      <c r="S113" s="3">
        <f t="shared" si="59"/>
        <v>0</v>
      </c>
      <c r="T113" s="3">
        <f t="shared" si="31"/>
        <v>0</v>
      </c>
      <c r="U113" s="3">
        <f t="shared" si="45"/>
        <v>0</v>
      </c>
      <c r="V113" s="3">
        <f t="shared" si="32"/>
        <v>0</v>
      </c>
      <c r="W113" s="3">
        <f t="shared" si="35"/>
        <v>0</v>
      </c>
      <c r="X113" s="3">
        <f t="shared" si="36"/>
        <v>0</v>
      </c>
      <c r="Y113" s="3">
        <f t="shared" si="37"/>
        <v>0</v>
      </c>
      <c r="Z113" s="3">
        <f t="shared" si="48"/>
        <v>0</v>
      </c>
      <c r="AA113" s="3">
        <f t="shared" si="49"/>
        <v>0</v>
      </c>
      <c r="AB113" s="3" t="e">
        <f t="shared" si="50"/>
        <v>#DIV/0!</v>
      </c>
      <c r="AC113" s="3" t="str">
        <f t="shared" si="51"/>
        <v/>
      </c>
      <c r="AD113" s="3">
        <f t="shared" si="38"/>
        <v>0</v>
      </c>
      <c r="AE113" s="3">
        <f t="shared" si="33"/>
        <v>0</v>
      </c>
      <c r="AF113" s="3">
        <f t="shared" si="39"/>
        <v>0</v>
      </c>
      <c r="AG113" s="3" t="e">
        <f>AF113 / SUM(F$2:F113)</f>
        <v>#DIV/0!</v>
      </c>
      <c r="AH113" s="3" t="e">
        <f t="shared" si="40"/>
        <v>#DIV/0!</v>
      </c>
      <c r="AI113" s="3">
        <f t="shared" si="41"/>
        <v>0</v>
      </c>
      <c r="AJ113" s="3" t="e">
        <f t="shared" si="42"/>
        <v>#DIV/0!</v>
      </c>
      <c r="AK113" s="3" t="e">
        <f t="shared" si="57"/>
        <v>#DIV/0!</v>
      </c>
    </row>
    <row r="114" spans="1:37" x14ac:dyDescent="0.3">
      <c r="A114" s="24">
        <v>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f t="shared" si="30"/>
        <v>0</v>
      </c>
      <c r="H114" s="3">
        <f t="shared" si="47"/>
        <v>0</v>
      </c>
      <c r="I114" s="3">
        <f t="shared" si="52"/>
        <v>0</v>
      </c>
      <c r="J114" s="3">
        <f t="shared" si="53"/>
        <v>0</v>
      </c>
      <c r="K114" s="3">
        <f t="shared" si="54"/>
        <v>0</v>
      </c>
      <c r="L114" s="3">
        <f t="shared" si="55"/>
        <v>0</v>
      </c>
      <c r="M114" s="3" t="e">
        <f t="shared" si="34"/>
        <v>#DIV/0!</v>
      </c>
      <c r="N114" s="3" t="e">
        <f t="shared" si="43"/>
        <v>#DIV/0!</v>
      </c>
      <c r="O114" s="3" t="e">
        <f t="shared" si="56"/>
        <v>#DIV/0!</v>
      </c>
      <c r="P114" s="3">
        <f t="shared" si="44"/>
        <v>0</v>
      </c>
      <c r="Q114" s="3">
        <f t="shared" si="58"/>
        <v>0</v>
      </c>
      <c r="R114" s="3">
        <f t="shared" si="46"/>
        <v>0</v>
      </c>
      <c r="S114" s="3">
        <f t="shared" si="59"/>
        <v>0</v>
      </c>
      <c r="T114" s="3">
        <f t="shared" si="31"/>
        <v>0</v>
      </c>
      <c r="U114" s="3">
        <f t="shared" si="45"/>
        <v>0</v>
      </c>
      <c r="V114" s="3">
        <f t="shared" si="32"/>
        <v>0</v>
      </c>
      <c r="W114" s="3">
        <f t="shared" si="35"/>
        <v>0</v>
      </c>
      <c r="X114" s="3">
        <f t="shared" si="36"/>
        <v>0</v>
      </c>
      <c r="Y114" s="3">
        <f t="shared" si="37"/>
        <v>0</v>
      </c>
      <c r="Z114" s="3">
        <f t="shared" si="48"/>
        <v>0</v>
      </c>
      <c r="AA114" s="3">
        <f t="shared" si="49"/>
        <v>0</v>
      </c>
      <c r="AB114" s="3" t="e">
        <f t="shared" si="50"/>
        <v>#DIV/0!</v>
      </c>
      <c r="AC114" s="3" t="str">
        <f t="shared" si="51"/>
        <v/>
      </c>
      <c r="AD114" s="3">
        <f t="shared" si="38"/>
        <v>0</v>
      </c>
      <c r="AE114" s="3">
        <f t="shared" si="33"/>
        <v>0</v>
      </c>
      <c r="AF114" s="3">
        <f t="shared" si="39"/>
        <v>0</v>
      </c>
      <c r="AG114" s="3" t="e">
        <f>AF114 / SUM(F$2:F114)</f>
        <v>#DIV/0!</v>
      </c>
      <c r="AH114" s="3" t="e">
        <f t="shared" si="40"/>
        <v>#DIV/0!</v>
      </c>
      <c r="AI114" s="3">
        <f t="shared" si="41"/>
        <v>0</v>
      </c>
      <c r="AJ114" s="3" t="e">
        <f t="shared" si="42"/>
        <v>#DIV/0!</v>
      </c>
      <c r="AK114" s="3" t="e">
        <f t="shared" si="57"/>
        <v>#DIV/0!</v>
      </c>
    </row>
    <row r="115" spans="1:37" x14ac:dyDescent="0.3">
      <c r="A115" s="24">
        <v>0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f t="shared" si="30"/>
        <v>0</v>
      </c>
      <c r="H115" s="3">
        <f t="shared" si="47"/>
        <v>0</v>
      </c>
      <c r="I115" s="3">
        <f t="shared" si="52"/>
        <v>0</v>
      </c>
      <c r="J115" s="3">
        <f t="shared" si="53"/>
        <v>0</v>
      </c>
      <c r="K115" s="3">
        <f t="shared" si="54"/>
        <v>0</v>
      </c>
      <c r="L115" s="3">
        <f t="shared" si="55"/>
        <v>0</v>
      </c>
      <c r="M115" s="3" t="e">
        <f t="shared" si="34"/>
        <v>#DIV/0!</v>
      </c>
      <c r="N115" s="3" t="e">
        <f t="shared" si="43"/>
        <v>#DIV/0!</v>
      </c>
      <c r="O115" s="3" t="e">
        <f t="shared" si="56"/>
        <v>#DIV/0!</v>
      </c>
      <c r="P115" s="3">
        <f t="shared" si="44"/>
        <v>0</v>
      </c>
      <c r="Q115" s="3">
        <f t="shared" si="58"/>
        <v>0</v>
      </c>
      <c r="R115" s="3">
        <f t="shared" si="46"/>
        <v>0</v>
      </c>
      <c r="S115" s="3">
        <f t="shared" si="59"/>
        <v>0</v>
      </c>
      <c r="T115" s="3">
        <f t="shared" si="31"/>
        <v>0</v>
      </c>
      <c r="U115" s="3">
        <f t="shared" si="45"/>
        <v>0</v>
      </c>
      <c r="V115" s="3">
        <f t="shared" si="32"/>
        <v>0</v>
      </c>
      <c r="W115" s="3">
        <f t="shared" si="35"/>
        <v>0</v>
      </c>
      <c r="X115" s="3">
        <f t="shared" si="36"/>
        <v>0</v>
      </c>
      <c r="Y115" s="3">
        <f t="shared" si="37"/>
        <v>0</v>
      </c>
      <c r="Z115" s="3">
        <f t="shared" si="48"/>
        <v>0</v>
      </c>
      <c r="AA115" s="3">
        <f t="shared" si="49"/>
        <v>0</v>
      </c>
      <c r="AB115" s="3" t="e">
        <f t="shared" si="50"/>
        <v>#DIV/0!</v>
      </c>
      <c r="AC115" s="3" t="str">
        <f t="shared" si="51"/>
        <v/>
      </c>
      <c r="AD115" s="3">
        <f t="shared" si="38"/>
        <v>0</v>
      </c>
      <c r="AE115" s="3">
        <f t="shared" si="33"/>
        <v>0</v>
      </c>
      <c r="AF115" s="3">
        <f t="shared" si="39"/>
        <v>0</v>
      </c>
      <c r="AG115" s="3" t="e">
        <f>AF115 / SUM(F$2:F115)</f>
        <v>#DIV/0!</v>
      </c>
      <c r="AH115" s="3" t="e">
        <f t="shared" si="40"/>
        <v>#DIV/0!</v>
      </c>
      <c r="AI115" s="3">
        <f t="shared" si="41"/>
        <v>0</v>
      </c>
      <c r="AJ115" s="3" t="e">
        <f t="shared" si="42"/>
        <v>#DIV/0!</v>
      </c>
      <c r="AK115" s="3" t="e">
        <f t="shared" si="57"/>
        <v>#DIV/0!</v>
      </c>
    </row>
    <row r="116" spans="1:37" x14ac:dyDescent="0.3">
      <c r="A116" s="24">
        <v>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f t="shared" si="30"/>
        <v>0</v>
      </c>
      <c r="H116" s="3">
        <f t="shared" si="47"/>
        <v>0</v>
      </c>
      <c r="I116" s="3">
        <f t="shared" si="52"/>
        <v>0</v>
      </c>
      <c r="J116" s="3">
        <f t="shared" si="53"/>
        <v>0</v>
      </c>
      <c r="K116" s="3">
        <f t="shared" si="54"/>
        <v>0</v>
      </c>
      <c r="L116" s="3">
        <f t="shared" si="55"/>
        <v>0</v>
      </c>
      <c r="M116" s="3" t="e">
        <f t="shared" si="34"/>
        <v>#DIV/0!</v>
      </c>
      <c r="N116" s="3" t="e">
        <f t="shared" si="43"/>
        <v>#DIV/0!</v>
      </c>
      <c r="O116" s="3" t="e">
        <f t="shared" si="56"/>
        <v>#DIV/0!</v>
      </c>
      <c r="P116" s="3">
        <f t="shared" si="44"/>
        <v>0</v>
      </c>
      <c r="Q116" s="3">
        <f t="shared" si="58"/>
        <v>0</v>
      </c>
      <c r="R116" s="3">
        <f t="shared" si="46"/>
        <v>0</v>
      </c>
      <c r="S116" s="3">
        <f t="shared" si="59"/>
        <v>0</v>
      </c>
      <c r="T116" s="3">
        <f t="shared" si="31"/>
        <v>0</v>
      </c>
      <c r="U116" s="3">
        <f t="shared" si="45"/>
        <v>0</v>
      </c>
      <c r="V116" s="3">
        <f t="shared" si="32"/>
        <v>0</v>
      </c>
      <c r="W116" s="3">
        <f t="shared" si="35"/>
        <v>0</v>
      </c>
      <c r="X116" s="3">
        <f t="shared" si="36"/>
        <v>0</v>
      </c>
      <c r="Y116" s="3">
        <f t="shared" si="37"/>
        <v>0</v>
      </c>
      <c r="Z116" s="3">
        <f t="shared" si="48"/>
        <v>0</v>
      </c>
      <c r="AA116" s="3">
        <f t="shared" si="49"/>
        <v>0</v>
      </c>
      <c r="AB116" s="3" t="e">
        <f t="shared" si="50"/>
        <v>#DIV/0!</v>
      </c>
      <c r="AC116" s="3" t="str">
        <f t="shared" si="51"/>
        <v/>
      </c>
      <c r="AD116" s="3">
        <f t="shared" si="38"/>
        <v>0</v>
      </c>
      <c r="AE116" s="3">
        <f t="shared" si="33"/>
        <v>0</v>
      </c>
      <c r="AF116" s="3">
        <f t="shared" si="39"/>
        <v>0</v>
      </c>
      <c r="AG116" s="3" t="e">
        <f>AF116 / SUM(F$2:F116)</f>
        <v>#DIV/0!</v>
      </c>
      <c r="AH116" s="3" t="e">
        <f t="shared" si="40"/>
        <v>#DIV/0!</v>
      </c>
      <c r="AI116" s="3">
        <f t="shared" si="41"/>
        <v>0</v>
      </c>
      <c r="AJ116" s="3" t="e">
        <f t="shared" si="42"/>
        <v>#DIV/0!</v>
      </c>
      <c r="AK116" s="3" t="e">
        <f t="shared" si="57"/>
        <v>#DIV/0!</v>
      </c>
    </row>
    <row r="117" spans="1:37" x14ac:dyDescent="0.3">
      <c r="A117" s="24">
        <v>0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f t="shared" si="30"/>
        <v>0</v>
      </c>
      <c r="H117" s="3">
        <f t="shared" si="47"/>
        <v>0</v>
      </c>
      <c r="I117" s="3">
        <f t="shared" si="52"/>
        <v>0</v>
      </c>
      <c r="J117" s="3">
        <f t="shared" si="53"/>
        <v>0</v>
      </c>
      <c r="K117" s="3">
        <f t="shared" si="54"/>
        <v>0</v>
      </c>
      <c r="L117" s="3">
        <f t="shared" si="55"/>
        <v>0</v>
      </c>
      <c r="M117" s="3" t="e">
        <f t="shared" si="34"/>
        <v>#DIV/0!</v>
      </c>
      <c r="N117" s="3" t="e">
        <f t="shared" si="43"/>
        <v>#DIV/0!</v>
      </c>
      <c r="O117" s="3" t="e">
        <f t="shared" si="56"/>
        <v>#DIV/0!</v>
      </c>
      <c r="P117" s="3">
        <f t="shared" si="44"/>
        <v>0</v>
      </c>
      <c r="Q117" s="3">
        <f t="shared" si="58"/>
        <v>0</v>
      </c>
      <c r="R117" s="3">
        <f t="shared" si="46"/>
        <v>0</v>
      </c>
      <c r="S117" s="3">
        <f t="shared" si="59"/>
        <v>0</v>
      </c>
      <c r="T117" s="3">
        <f t="shared" si="31"/>
        <v>0</v>
      </c>
      <c r="U117" s="3">
        <f t="shared" si="45"/>
        <v>0</v>
      </c>
      <c r="V117" s="3">
        <f t="shared" si="32"/>
        <v>0</v>
      </c>
      <c r="W117" s="3">
        <f t="shared" si="35"/>
        <v>0</v>
      </c>
      <c r="X117" s="3">
        <f t="shared" si="36"/>
        <v>0</v>
      </c>
      <c r="Y117" s="3">
        <f t="shared" si="37"/>
        <v>0</v>
      </c>
      <c r="Z117" s="3">
        <f t="shared" si="48"/>
        <v>0</v>
      </c>
      <c r="AA117" s="3">
        <f t="shared" si="49"/>
        <v>0</v>
      </c>
      <c r="AB117" s="3" t="e">
        <f t="shared" si="50"/>
        <v>#DIV/0!</v>
      </c>
      <c r="AC117" s="3" t="str">
        <f t="shared" si="51"/>
        <v/>
      </c>
      <c r="AD117" s="3">
        <f t="shared" si="38"/>
        <v>0</v>
      </c>
      <c r="AE117" s="3">
        <f t="shared" si="33"/>
        <v>0</v>
      </c>
      <c r="AF117" s="3">
        <f t="shared" si="39"/>
        <v>0</v>
      </c>
      <c r="AG117" s="3" t="e">
        <f>AF117 / SUM(F$2:F117)</f>
        <v>#DIV/0!</v>
      </c>
      <c r="AH117" s="3" t="e">
        <f t="shared" si="40"/>
        <v>#DIV/0!</v>
      </c>
      <c r="AI117" s="3">
        <f t="shared" si="41"/>
        <v>0</v>
      </c>
      <c r="AJ117" s="3" t="e">
        <f t="shared" si="42"/>
        <v>#DIV/0!</v>
      </c>
      <c r="AK117" s="3" t="e">
        <f t="shared" si="57"/>
        <v>#DIV/0!</v>
      </c>
    </row>
    <row r="118" spans="1:37" x14ac:dyDescent="0.3">
      <c r="A118" s="24">
        <v>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f t="shared" si="30"/>
        <v>0</v>
      </c>
      <c r="H118" s="3">
        <f t="shared" si="47"/>
        <v>0</v>
      </c>
      <c r="I118" s="3">
        <f t="shared" si="52"/>
        <v>0</v>
      </c>
      <c r="J118" s="3">
        <f t="shared" si="53"/>
        <v>0</v>
      </c>
      <c r="K118" s="3">
        <f t="shared" si="54"/>
        <v>0</v>
      </c>
      <c r="L118" s="3">
        <f t="shared" si="55"/>
        <v>0</v>
      </c>
      <c r="M118" s="3" t="e">
        <f t="shared" si="34"/>
        <v>#DIV/0!</v>
      </c>
      <c r="N118" s="3" t="e">
        <f t="shared" si="43"/>
        <v>#DIV/0!</v>
      </c>
      <c r="O118" s="3" t="e">
        <f t="shared" si="56"/>
        <v>#DIV/0!</v>
      </c>
      <c r="P118" s="3">
        <f t="shared" si="44"/>
        <v>0</v>
      </c>
      <c r="Q118" s="3">
        <f t="shared" si="58"/>
        <v>0</v>
      </c>
      <c r="R118" s="3">
        <f t="shared" si="46"/>
        <v>0</v>
      </c>
      <c r="S118" s="3">
        <f t="shared" si="59"/>
        <v>0</v>
      </c>
      <c r="T118" s="3">
        <f t="shared" si="31"/>
        <v>0</v>
      </c>
      <c r="U118" s="3">
        <f t="shared" si="45"/>
        <v>0</v>
      </c>
      <c r="V118" s="3">
        <f t="shared" si="32"/>
        <v>0</v>
      </c>
      <c r="W118" s="3">
        <f t="shared" si="35"/>
        <v>0</v>
      </c>
      <c r="X118" s="3">
        <f t="shared" si="36"/>
        <v>0</v>
      </c>
      <c r="Y118" s="3">
        <f t="shared" si="37"/>
        <v>0</v>
      </c>
      <c r="Z118" s="3">
        <f t="shared" si="48"/>
        <v>0</v>
      </c>
      <c r="AA118" s="3">
        <f t="shared" si="49"/>
        <v>0</v>
      </c>
      <c r="AB118" s="3" t="e">
        <f t="shared" si="50"/>
        <v>#DIV/0!</v>
      </c>
      <c r="AC118" s="3" t="str">
        <f t="shared" si="51"/>
        <v/>
      </c>
      <c r="AD118" s="3">
        <f t="shared" si="38"/>
        <v>0</v>
      </c>
      <c r="AE118" s="3">
        <f t="shared" si="33"/>
        <v>0</v>
      </c>
      <c r="AF118" s="3">
        <f t="shared" si="39"/>
        <v>0</v>
      </c>
      <c r="AG118" s="3" t="e">
        <f>AF118 / SUM(F$2:F118)</f>
        <v>#DIV/0!</v>
      </c>
      <c r="AH118" s="3" t="e">
        <f t="shared" si="40"/>
        <v>#DIV/0!</v>
      </c>
      <c r="AI118" s="3">
        <f t="shared" si="41"/>
        <v>0</v>
      </c>
      <c r="AJ118" s="3" t="e">
        <f t="shared" si="42"/>
        <v>#DIV/0!</v>
      </c>
      <c r="AK118" s="3" t="e">
        <f t="shared" si="57"/>
        <v>#DIV/0!</v>
      </c>
    </row>
    <row r="119" spans="1:37" x14ac:dyDescent="0.3">
      <c r="A119" s="24">
        <v>0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f t="shared" si="30"/>
        <v>0</v>
      </c>
      <c r="H119" s="3">
        <f t="shared" si="47"/>
        <v>0</v>
      </c>
      <c r="I119" s="3">
        <f t="shared" si="52"/>
        <v>0</v>
      </c>
      <c r="J119" s="3">
        <f t="shared" si="53"/>
        <v>0</v>
      </c>
      <c r="K119" s="3">
        <f t="shared" si="54"/>
        <v>0</v>
      </c>
      <c r="L119" s="3">
        <f t="shared" si="55"/>
        <v>0</v>
      </c>
      <c r="M119" s="3" t="e">
        <f t="shared" si="34"/>
        <v>#DIV/0!</v>
      </c>
      <c r="N119" s="3" t="e">
        <f t="shared" si="43"/>
        <v>#DIV/0!</v>
      </c>
      <c r="O119" s="3" t="e">
        <f t="shared" si="56"/>
        <v>#DIV/0!</v>
      </c>
      <c r="P119" s="3">
        <f t="shared" si="44"/>
        <v>0</v>
      </c>
      <c r="Q119" s="3">
        <f t="shared" si="58"/>
        <v>0</v>
      </c>
      <c r="R119" s="3">
        <f t="shared" si="46"/>
        <v>0</v>
      </c>
      <c r="S119" s="3">
        <f t="shared" si="59"/>
        <v>0</v>
      </c>
      <c r="T119" s="3">
        <f t="shared" si="31"/>
        <v>0</v>
      </c>
      <c r="U119" s="3">
        <f t="shared" si="45"/>
        <v>0</v>
      </c>
      <c r="V119" s="3">
        <f t="shared" si="32"/>
        <v>0</v>
      </c>
      <c r="W119" s="3">
        <f t="shared" si="35"/>
        <v>0</v>
      </c>
      <c r="X119" s="3">
        <f t="shared" si="36"/>
        <v>0</v>
      </c>
      <c r="Y119" s="3">
        <f t="shared" si="37"/>
        <v>0</v>
      </c>
      <c r="Z119" s="3">
        <f t="shared" si="48"/>
        <v>0</v>
      </c>
      <c r="AA119" s="3">
        <f t="shared" si="49"/>
        <v>0</v>
      </c>
      <c r="AB119" s="3" t="e">
        <f t="shared" si="50"/>
        <v>#DIV/0!</v>
      </c>
      <c r="AC119" s="3" t="str">
        <f t="shared" si="51"/>
        <v/>
      </c>
      <c r="AD119" s="3">
        <f t="shared" si="38"/>
        <v>0</v>
      </c>
      <c r="AE119" s="3">
        <f t="shared" si="33"/>
        <v>0</v>
      </c>
      <c r="AF119" s="3">
        <f t="shared" si="39"/>
        <v>0</v>
      </c>
      <c r="AG119" s="3" t="e">
        <f>AF119 / SUM(F$2:F119)</f>
        <v>#DIV/0!</v>
      </c>
      <c r="AH119" s="3" t="e">
        <f t="shared" si="40"/>
        <v>#DIV/0!</v>
      </c>
      <c r="AI119" s="3">
        <f t="shared" si="41"/>
        <v>0</v>
      </c>
      <c r="AJ119" s="3" t="e">
        <f t="shared" si="42"/>
        <v>#DIV/0!</v>
      </c>
      <c r="AK119" s="3" t="e">
        <f t="shared" si="57"/>
        <v>#DIV/0!</v>
      </c>
    </row>
    <row r="120" spans="1:37" x14ac:dyDescent="0.3">
      <c r="A120" s="24">
        <v>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f t="shared" si="30"/>
        <v>0</v>
      </c>
      <c r="H120" s="3">
        <f t="shared" si="47"/>
        <v>0</v>
      </c>
      <c r="I120" s="3">
        <f t="shared" si="52"/>
        <v>0</v>
      </c>
      <c r="J120" s="3">
        <f t="shared" si="53"/>
        <v>0</v>
      </c>
      <c r="K120" s="3">
        <f t="shared" si="54"/>
        <v>0</v>
      </c>
      <c r="L120" s="3">
        <f t="shared" si="55"/>
        <v>0</v>
      </c>
      <c r="M120" s="3" t="e">
        <f t="shared" si="34"/>
        <v>#DIV/0!</v>
      </c>
      <c r="N120" s="3" t="e">
        <f t="shared" si="43"/>
        <v>#DIV/0!</v>
      </c>
      <c r="O120" s="3" t="e">
        <f t="shared" si="56"/>
        <v>#DIV/0!</v>
      </c>
      <c r="P120" s="3">
        <f t="shared" si="44"/>
        <v>0</v>
      </c>
      <c r="Q120" s="3">
        <f t="shared" si="58"/>
        <v>0</v>
      </c>
      <c r="R120" s="3">
        <f t="shared" si="46"/>
        <v>0</v>
      </c>
      <c r="S120" s="3">
        <f t="shared" si="59"/>
        <v>0</v>
      </c>
      <c r="T120" s="3">
        <f t="shared" si="31"/>
        <v>0</v>
      </c>
      <c r="U120" s="3">
        <f t="shared" si="45"/>
        <v>0</v>
      </c>
      <c r="V120" s="3">
        <f t="shared" si="32"/>
        <v>0</v>
      </c>
      <c r="W120" s="3">
        <f t="shared" si="35"/>
        <v>0</v>
      </c>
      <c r="X120" s="3">
        <f t="shared" si="36"/>
        <v>0</v>
      </c>
      <c r="Y120" s="3">
        <f t="shared" si="37"/>
        <v>0</v>
      </c>
      <c r="Z120" s="3">
        <f t="shared" si="48"/>
        <v>0</v>
      </c>
      <c r="AA120" s="3">
        <f t="shared" si="49"/>
        <v>0</v>
      </c>
      <c r="AB120" s="3" t="e">
        <f t="shared" si="50"/>
        <v>#DIV/0!</v>
      </c>
      <c r="AC120" s="3" t="str">
        <f t="shared" si="51"/>
        <v/>
      </c>
      <c r="AD120" s="3">
        <f t="shared" si="38"/>
        <v>0</v>
      </c>
      <c r="AE120" s="3">
        <f t="shared" si="33"/>
        <v>0</v>
      </c>
      <c r="AF120" s="3">
        <f t="shared" si="39"/>
        <v>0</v>
      </c>
      <c r="AG120" s="3" t="e">
        <f>AF120 / SUM(F$2:F120)</f>
        <v>#DIV/0!</v>
      </c>
      <c r="AH120" s="3" t="e">
        <f t="shared" si="40"/>
        <v>#DIV/0!</v>
      </c>
      <c r="AI120" s="3">
        <f t="shared" si="41"/>
        <v>0</v>
      </c>
      <c r="AJ120" s="3" t="e">
        <f t="shared" si="42"/>
        <v>#DIV/0!</v>
      </c>
      <c r="AK120" s="3" t="e">
        <f t="shared" si="57"/>
        <v>#DIV/0!</v>
      </c>
    </row>
    <row r="121" spans="1:37" x14ac:dyDescent="0.3">
      <c r="A121" s="24">
        <v>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f t="shared" si="30"/>
        <v>0</v>
      </c>
      <c r="H121" s="3">
        <f t="shared" si="47"/>
        <v>0</v>
      </c>
      <c r="I121" s="3">
        <f t="shared" si="52"/>
        <v>0</v>
      </c>
      <c r="J121" s="3">
        <f t="shared" si="53"/>
        <v>0</v>
      </c>
      <c r="K121" s="3">
        <f t="shared" si="54"/>
        <v>0</v>
      </c>
      <c r="L121" s="3">
        <f t="shared" si="55"/>
        <v>0</v>
      </c>
      <c r="M121" s="3" t="e">
        <f t="shared" si="34"/>
        <v>#DIV/0!</v>
      </c>
      <c r="N121" s="3" t="e">
        <f t="shared" si="43"/>
        <v>#DIV/0!</v>
      </c>
      <c r="O121" s="3" t="e">
        <f t="shared" si="56"/>
        <v>#DIV/0!</v>
      </c>
      <c r="P121" s="3">
        <f t="shared" si="44"/>
        <v>0</v>
      </c>
      <c r="Q121" s="3">
        <f t="shared" si="58"/>
        <v>0</v>
      </c>
      <c r="R121" s="3">
        <f t="shared" si="46"/>
        <v>0</v>
      </c>
      <c r="S121" s="3">
        <f t="shared" si="59"/>
        <v>0</v>
      </c>
      <c r="T121" s="3">
        <f t="shared" si="31"/>
        <v>0</v>
      </c>
      <c r="U121" s="3">
        <f t="shared" si="45"/>
        <v>0</v>
      </c>
      <c r="V121" s="3">
        <f t="shared" si="32"/>
        <v>0</v>
      </c>
      <c r="W121" s="3">
        <f t="shared" si="35"/>
        <v>0</v>
      </c>
      <c r="X121" s="3">
        <f t="shared" si="36"/>
        <v>0</v>
      </c>
      <c r="Y121" s="3">
        <f t="shared" si="37"/>
        <v>0</v>
      </c>
      <c r="Z121" s="3">
        <f t="shared" si="48"/>
        <v>0</v>
      </c>
      <c r="AA121" s="3">
        <f t="shared" si="49"/>
        <v>0</v>
      </c>
      <c r="AB121" s="3" t="e">
        <f t="shared" si="50"/>
        <v>#DIV/0!</v>
      </c>
      <c r="AC121" s="3" t="str">
        <f t="shared" si="51"/>
        <v/>
      </c>
      <c r="AD121" s="3">
        <f t="shared" si="38"/>
        <v>0</v>
      </c>
      <c r="AE121" s="3">
        <f t="shared" si="33"/>
        <v>0</v>
      </c>
      <c r="AF121" s="3">
        <f t="shared" si="39"/>
        <v>0</v>
      </c>
      <c r="AG121" s="3" t="e">
        <f>AF121 / SUM(F$2:F121)</f>
        <v>#DIV/0!</v>
      </c>
      <c r="AH121" s="3" t="e">
        <f t="shared" si="40"/>
        <v>#DIV/0!</v>
      </c>
      <c r="AI121" s="3">
        <f t="shared" si="41"/>
        <v>0</v>
      </c>
      <c r="AJ121" s="3" t="e">
        <f t="shared" si="42"/>
        <v>#DIV/0!</v>
      </c>
      <c r="AK121" s="3" t="e">
        <f t="shared" si="57"/>
        <v>#DIV/0!</v>
      </c>
    </row>
    <row r="122" spans="1:37" x14ac:dyDescent="0.3">
      <c r="A122" s="24">
        <v>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f t="shared" si="30"/>
        <v>0</v>
      </c>
      <c r="H122" s="3">
        <f t="shared" si="47"/>
        <v>0</v>
      </c>
      <c r="I122" s="3">
        <f t="shared" si="52"/>
        <v>0</v>
      </c>
      <c r="J122" s="3">
        <f t="shared" si="53"/>
        <v>0</v>
      </c>
      <c r="K122" s="3">
        <f t="shared" si="54"/>
        <v>0</v>
      </c>
      <c r="L122" s="3">
        <f t="shared" si="55"/>
        <v>0</v>
      </c>
      <c r="M122" s="3" t="e">
        <f t="shared" si="34"/>
        <v>#DIV/0!</v>
      </c>
      <c r="N122" s="3" t="e">
        <f t="shared" si="43"/>
        <v>#DIV/0!</v>
      </c>
      <c r="O122" s="3" t="e">
        <f t="shared" si="56"/>
        <v>#DIV/0!</v>
      </c>
      <c r="P122" s="3">
        <f t="shared" si="44"/>
        <v>0</v>
      </c>
      <c r="Q122" s="3">
        <f t="shared" si="58"/>
        <v>0</v>
      </c>
      <c r="R122" s="3">
        <f t="shared" si="46"/>
        <v>0</v>
      </c>
      <c r="S122" s="3">
        <f t="shared" si="59"/>
        <v>0</v>
      </c>
      <c r="T122" s="3">
        <f t="shared" si="31"/>
        <v>0</v>
      </c>
      <c r="U122" s="3">
        <f t="shared" si="45"/>
        <v>0</v>
      </c>
      <c r="V122" s="3">
        <f t="shared" si="32"/>
        <v>0</v>
      </c>
      <c r="W122" s="3">
        <f t="shared" si="35"/>
        <v>0</v>
      </c>
      <c r="X122" s="3">
        <f t="shared" si="36"/>
        <v>0</v>
      </c>
      <c r="Y122" s="3">
        <f t="shared" si="37"/>
        <v>0</v>
      </c>
      <c r="Z122" s="3">
        <f t="shared" si="48"/>
        <v>0</v>
      </c>
      <c r="AA122" s="3">
        <f t="shared" si="49"/>
        <v>0</v>
      </c>
      <c r="AB122" s="3" t="e">
        <f t="shared" si="50"/>
        <v>#DIV/0!</v>
      </c>
      <c r="AC122" s="3" t="str">
        <f t="shared" si="51"/>
        <v/>
      </c>
      <c r="AD122" s="3">
        <f t="shared" si="38"/>
        <v>0</v>
      </c>
      <c r="AE122" s="3">
        <f t="shared" si="33"/>
        <v>0</v>
      </c>
      <c r="AF122" s="3">
        <f t="shared" si="39"/>
        <v>0</v>
      </c>
      <c r="AG122" s="3" t="e">
        <f>AF122 / SUM(F$2:F122)</f>
        <v>#DIV/0!</v>
      </c>
      <c r="AH122" s="3" t="e">
        <f t="shared" si="40"/>
        <v>#DIV/0!</v>
      </c>
      <c r="AI122" s="3">
        <f t="shared" si="41"/>
        <v>0</v>
      </c>
      <c r="AJ122" s="3" t="e">
        <f t="shared" si="42"/>
        <v>#DIV/0!</v>
      </c>
      <c r="AK122" s="3" t="e">
        <f t="shared" si="57"/>
        <v>#DIV/0!</v>
      </c>
    </row>
    <row r="123" spans="1:37" x14ac:dyDescent="0.3">
      <c r="A123" s="24">
        <v>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f t="shared" si="30"/>
        <v>0</v>
      </c>
      <c r="H123" s="3">
        <f t="shared" si="47"/>
        <v>0</v>
      </c>
      <c r="I123" s="3">
        <f t="shared" si="52"/>
        <v>0</v>
      </c>
      <c r="J123" s="3">
        <f t="shared" si="53"/>
        <v>0</v>
      </c>
      <c r="K123" s="3">
        <f t="shared" si="54"/>
        <v>0</v>
      </c>
      <c r="L123" s="3">
        <f t="shared" si="55"/>
        <v>0</v>
      </c>
      <c r="M123" s="3" t="e">
        <f t="shared" si="34"/>
        <v>#DIV/0!</v>
      </c>
      <c r="N123" s="3" t="e">
        <f t="shared" si="43"/>
        <v>#DIV/0!</v>
      </c>
      <c r="O123" s="3" t="e">
        <f t="shared" si="56"/>
        <v>#DIV/0!</v>
      </c>
      <c r="P123" s="3">
        <f t="shared" si="44"/>
        <v>0</v>
      </c>
      <c r="Q123" s="3">
        <f t="shared" si="58"/>
        <v>0</v>
      </c>
      <c r="R123" s="3">
        <f t="shared" si="46"/>
        <v>0</v>
      </c>
      <c r="S123" s="3">
        <f t="shared" si="59"/>
        <v>0</v>
      </c>
      <c r="T123" s="3">
        <f t="shared" si="31"/>
        <v>0</v>
      </c>
      <c r="U123" s="3">
        <f t="shared" si="45"/>
        <v>0</v>
      </c>
      <c r="V123" s="3">
        <f t="shared" si="32"/>
        <v>0</v>
      </c>
      <c r="W123" s="3">
        <f t="shared" si="35"/>
        <v>0</v>
      </c>
      <c r="X123" s="3">
        <f t="shared" si="36"/>
        <v>0</v>
      </c>
      <c r="Y123" s="3">
        <f t="shared" si="37"/>
        <v>0</v>
      </c>
      <c r="Z123" s="3">
        <f t="shared" si="48"/>
        <v>0</v>
      </c>
      <c r="AA123" s="3">
        <f t="shared" si="49"/>
        <v>0</v>
      </c>
      <c r="AB123" s="3" t="e">
        <f t="shared" si="50"/>
        <v>#DIV/0!</v>
      </c>
      <c r="AC123" s="3" t="str">
        <f t="shared" si="51"/>
        <v/>
      </c>
      <c r="AD123" s="3">
        <f t="shared" si="38"/>
        <v>0</v>
      </c>
      <c r="AE123" s="3">
        <f t="shared" si="33"/>
        <v>0</v>
      </c>
      <c r="AF123" s="3">
        <f t="shared" si="39"/>
        <v>0</v>
      </c>
      <c r="AG123" s="3" t="e">
        <f>AF123 / SUM(F$2:F123)</f>
        <v>#DIV/0!</v>
      </c>
      <c r="AH123" s="3" t="e">
        <f t="shared" si="40"/>
        <v>#DIV/0!</v>
      </c>
      <c r="AI123" s="3">
        <f t="shared" si="41"/>
        <v>0</v>
      </c>
      <c r="AJ123" s="3" t="e">
        <f t="shared" si="42"/>
        <v>#DIV/0!</v>
      </c>
      <c r="AK123" s="3" t="e">
        <f t="shared" si="57"/>
        <v>#DIV/0!</v>
      </c>
    </row>
    <row r="124" spans="1:37" x14ac:dyDescent="0.3">
      <c r="A124" s="24">
        <v>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f t="shared" si="30"/>
        <v>0</v>
      </c>
      <c r="H124" s="3">
        <f t="shared" si="47"/>
        <v>0</v>
      </c>
      <c r="I124" s="3">
        <f t="shared" si="52"/>
        <v>0</v>
      </c>
      <c r="J124" s="3">
        <f t="shared" si="53"/>
        <v>0</v>
      </c>
      <c r="K124" s="3">
        <f t="shared" si="54"/>
        <v>0</v>
      </c>
      <c r="L124" s="3">
        <f t="shared" si="55"/>
        <v>0</v>
      </c>
      <c r="M124" s="3" t="e">
        <f t="shared" si="34"/>
        <v>#DIV/0!</v>
      </c>
      <c r="N124" s="3" t="e">
        <f t="shared" si="43"/>
        <v>#DIV/0!</v>
      </c>
      <c r="O124" s="3" t="e">
        <f t="shared" si="56"/>
        <v>#DIV/0!</v>
      </c>
      <c r="P124" s="3">
        <f t="shared" si="44"/>
        <v>0</v>
      </c>
      <c r="Q124" s="3">
        <f t="shared" si="58"/>
        <v>0</v>
      </c>
      <c r="R124" s="3">
        <f t="shared" si="46"/>
        <v>0</v>
      </c>
      <c r="S124" s="3">
        <f t="shared" si="59"/>
        <v>0</v>
      </c>
      <c r="T124" s="3">
        <f t="shared" si="31"/>
        <v>0</v>
      </c>
      <c r="U124" s="3">
        <f t="shared" si="45"/>
        <v>0</v>
      </c>
      <c r="V124" s="3">
        <f t="shared" si="32"/>
        <v>0</v>
      </c>
      <c r="W124" s="3">
        <f t="shared" si="35"/>
        <v>0</v>
      </c>
      <c r="X124" s="3">
        <f t="shared" si="36"/>
        <v>0</v>
      </c>
      <c r="Y124" s="3">
        <f t="shared" si="37"/>
        <v>0</v>
      </c>
      <c r="Z124" s="3">
        <f t="shared" si="48"/>
        <v>0</v>
      </c>
      <c r="AA124" s="3">
        <f t="shared" si="49"/>
        <v>0</v>
      </c>
      <c r="AB124" s="3" t="e">
        <f t="shared" si="50"/>
        <v>#DIV/0!</v>
      </c>
      <c r="AC124" s="3" t="str">
        <f t="shared" si="51"/>
        <v/>
      </c>
      <c r="AD124" s="3">
        <f t="shared" si="38"/>
        <v>0</v>
      </c>
      <c r="AE124" s="3">
        <f t="shared" si="33"/>
        <v>0</v>
      </c>
      <c r="AF124" s="3">
        <f t="shared" si="39"/>
        <v>0</v>
      </c>
      <c r="AG124" s="3" t="e">
        <f>AF124 / SUM(F$2:F124)</f>
        <v>#DIV/0!</v>
      </c>
      <c r="AH124" s="3" t="e">
        <f t="shared" si="40"/>
        <v>#DIV/0!</v>
      </c>
      <c r="AI124" s="3">
        <f t="shared" si="41"/>
        <v>0</v>
      </c>
      <c r="AJ124" s="3" t="e">
        <f t="shared" si="42"/>
        <v>#DIV/0!</v>
      </c>
      <c r="AK124" s="3" t="e">
        <f t="shared" si="57"/>
        <v>#DIV/0!</v>
      </c>
    </row>
    <row r="125" spans="1:37" x14ac:dyDescent="0.3">
      <c r="A125" s="24">
        <v>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f t="shared" si="30"/>
        <v>0</v>
      </c>
      <c r="H125" s="3">
        <f t="shared" si="47"/>
        <v>0</v>
      </c>
      <c r="I125" s="3">
        <f t="shared" si="52"/>
        <v>0</v>
      </c>
      <c r="J125" s="3">
        <f t="shared" si="53"/>
        <v>0</v>
      </c>
      <c r="K125" s="3">
        <f t="shared" si="54"/>
        <v>0</v>
      </c>
      <c r="L125" s="3">
        <f t="shared" si="55"/>
        <v>0</v>
      </c>
      <c r="M125" s="3" t="e">
        <f t="shared" si="34"/>
        <v>#DIV/0!</v>
      </c>
      <c r="N125" s="3" t="e">
        <f t="shared" si="43"/>
        <v>#DIV/0!</v>
      </c>
      <c r="O125" s="3" t="e">
        <f t="shared" si="56"/>
        <v>#DIV/0!</v>
      </c>
      <c r="P125" s="3">
        <f t="shared" si="44"/>
        <v>0</v>
      </c>
      <c r="Q125" s="3">
        <f t="shared" si="58"/>
        <v>0</v>
      </c>
      <c r="R125" s="3">
        <f t="shared" si="46"/>
        <v>0</v>
      </c>
      <c r="S125" s="3">
        <f t="shared" si="59"/>
        <v>0</v>
      </c>
      <c r="T125" s="3">
        <f t="shared" si="31"/>
        <v>0</v>
      </c>
      <c r="U125" s="3">
        <f t="shared" si="45"/>
        <v>0</v>
      </c>
      <c r="V125" s="3">
        <f t="shared" si="32"/>
        <v>0</v>
      </c>
      <c r="W125" s="3">
        <f t="shared" si="35"/>
        <v>0</v>
      </c>
      <c r="X125" s="3">
        <f t="shared" si="36"/>
        <v>0</v>
      </c>
      <c r="Y125" s="3">
        <f t="shared" si="37"/>
        <v>0</v>
      </c>
      <c r="Z125" s="3">
        <f t="shared" si="48"/>
        <v>0</v>
      </c>
      <c r="AA125" s="3">
        <f t="shared" si="49"/>
        <v>0</v>
      </c>
      <c r="AB125" s="3" t="e">
        <f t="shared" si="50"/>
        <v>#DIV/0!</v>
      </c>
      <c r="AC125" s="3" t="str">
        <f t="shared" si="51"/>
        <v/>
      </c>
      <c r="AD125" s="3">
        <f t="shared" si="38"/>
        <v>0</v>
      </c>
      <c r="AE125" s="3">
        <f t="shared" si="33"/>
        <v>0</v>
      </c>
      <c r="AF125" s="3">
        <f t="shared" si="39"/>
        <v>0</v>
      </c>
      <c r="AG125" s="3" t="e">
        <f>AF125 / SUM(F$2:F125)</f>
        <v>#DIV/0!</v>
      </c>
      <c r="AH125" s="3" t="e">
        <f t="shared" si="40"/>
        <v>#DIV/0!</v>
      </c>
      <c r="AI125" s="3">
        <f t="shared" si="41"/>
        <v>0</v>
      </c>
      <c r="AJ125" s="3" t="e">
        <f t="shared" si="42"/>
        <v>#DIV/0!</v>
      </c>
      <c r="AK125" s="3" t="e">
        <f t="shared" si="57"/>
        <v>#DIV/0!</v>
      </c>
    </row>
    <row r="126" spans="1:37" x14ac:dyDescent="0.3">
      <c r="A126" s="24">
        <v>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f t="shared" si="30"/>
        <v>0</v>
      </c>
      <c r="H126" s="3">
        <f t="shared" si="47"/>
        <v>0</v>
      </c>
      <c r="I126" s="3">
        <f t="shared" si="52"/>
        <v>0</v>
      </c>
      <c r="J126" s="3">
        <f t="shared" si="53"/>
        <v>0</v>
      </c>
      <c r="K126" s="3">
        <f t="shared" si="54"/>
        <v>0</v>
      </c>
      <c r="L126" s="3">
        <f t="shared" si="55"/>
        <v>0</v>
      </c>
      <c r="M126" s="3" t="e">
        <f t="shared" si="34"/>
        <v>#DIV/0!</v>
      </c>
      <c r="N126" s="3" t="e">
        <f t="shared" si="43"/>
        <v>#DIV/0!</v>
      </c>
      <c r="O126" s="3" t="e">
        <f t="shared" si="56"/>
        <v>#DIV/0!</v>
      </c>
      <c r="P126" s="3">
        <f t="shared" si="44"/>
        <v>0</v>
      </c>
      <c r="Q126" s="3">
        <f t="shared" si="58"/>
        <v>0</v>
      </c>
      <c r="R126" s="3">
        <f t="shared" si="46"/>
        <v>0</v>
      </c>
      <c r="S126" s="3">
        <f t="shared" si="59"/>
        <v>0</v>
      </c>
      <c r="T126" s="3">
        <f t="shared" si="31"/>
        <v>0</v>
      </c>
      <c r="U126" s="3">
        <f t="shared" si="45"/>
        <v>0</v>
      </c>
      <c r="V126" s="3">
        <f t="shared" si="32"/>
        <v>0</v>
      </c>
      <c r="W126" s="3">
        <f t="shared" si="35"/>
        <v>0</v>
      </c>
      <c r="X126" s="3">
        <f t="shared" si="36"/>
        <v>0</v>
      </c>
      <c r="Y126" s="3">
        <f t="shared" si="37"/>
        <v>0</v>
      </c>
      <c r="Z126" s="3">
        <f t="shared" si="48"/>
        <v>0</v>
      </c>
      <c r="AA126" s="3">
        <f t="shared" si="49"/>
        <v>0</v>
      </c>
      <c r="AB126" s="3" t="e">
        <f t="shared" si="50"/>
        <v>#DIV/0!</v>
      </c>
      <c r="AC126" s="3" t="str">
        <f t="shared" si="51"/>
        <v/>
      </c>
      <c r="AD126" s="3">
        <f t="shared" si="38"/>
        <v>0</v>
      </c>
      <c r="AE126" s="3">
        <f t="shared" si="33"/>
        <v>0</v>
      </c>
      <c r="AF126" s="3">
        <f t="shared" si="39"/>
        <v>0</v>
      </c>
      <c r="AG126" s="3" t="e">
        <f>AF126 / SUM(F$2:F126)</f>
        <v>#DIV/0!</v>
      </c>
      <c r="AH126" s="3" t="e">
        <f t="shared" si="40"/>
        <v>#DIV/0!</v>
      </c>
      <c r="AI126" s="3">
        <f t="shared" si="41"/>
        <v>0</v>
      </c>
      <c r="AJ126" s="3" t="e">
        <f t="shared" si="42"/>
        <v>#DIV/0!</v>
      </c>
      <c r="AK126" s="3" t="e">
        <f t="shared" si="57"/>
        <v>#DIV/0!</v>
      </c>
    </row>
    <row r="127" spans="1:37" x14ac:dyDescent="0.3">
      <c r="A127" s="24">
        <v>0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f t="shared" si="30"/>
        <v>0</v>
      </c>
      <c r="H127" s="3">
        <f t="shared" si="47"/>
        <v>0</v>
      </c>
      <c r="I127" s="3">
        <f t="shared" si="52"/>
        <v>0</v>
      </c>
      <c r="J127" s="3">
        <f t="shared" si="53"/>
        <v>0</v>
      </c>
      <c r="K127" s="3">
        <f t="shared" si="54"/>
        <v>0</v>
      </c>
      <c r="L127" s="3">
        <f t="shared" si="55"/>
        <v>0</v>
      </c>
      <c r="M127" s="3" t="e">
        <f t="shared" si="34"/>
        <v>#DIV/0!</v>
      </c>
      <c r="N127" s="3" t="e">
        <f t="shared" si="43"/>
        <v>#DIV/0!</v>
      </c>
      <c r="O127" s="3" t="e">
        <f t="shared" si="56"/>
        <v>#DIV/0!</v>
      </c>
      <c r="P127" s="3">
        <f t="shared" si="44"/>
        <v>0</v>
      </c>
      <c r="Q127" s="3">
        <f t="shared" si="58"/>
        <v>0</v>
      </c>
      <c r="R127" s="3">
        <f t="shared" si="46"/>
        <v>0</v>
      </c>
      <c r="S127" s="3">
        <f t="shared" si="59"/>
        <v>0</v>
      </c>
      <c r="T127" s="3">
        <f t="shared" si="31"/>
        <v>0</v>
      </c>
      <c r="U127" s="3">
        <f t="shared" si="45"/>
        <v>0</v>
      </c>
      <c r="V127" s="3">
        <f t="shared" si="32"/>
        <v>0</v>
      </c>
      <c r="W127" s="3">
        <f t="shared" si="35"/>
        <v>0</v>
      </c>
      <c r="X127" s="3">
        <f t="shared" si="36"/>
        <v>0</v>
      </c>
      <c r="Y127" s="3">
        <f t="shared" si="37"/>
        <v>0</v>
      </c>
      <c r="Z127" s="3">
        <f t="shared" si="48"/>
        <v>0</v>
      </c>
      <c r="AA127" s="3">
        <f t="shared" si="49"/>
        <v>0</v>
      </c>
      <c r="AB127" s="3" t="e">
        <f t="shared" si="50"/>
        <v>#DIV/0!</v>
      </c>
      <c r="AC127" s="3" t="str">
        <f t="shared" si="51"/>
        <v/>
      </c>
      <c r="AD127" s="3">
        <f t="shared" si="38"/>
        <v>0</v>
      </c>
      <c r="AE127" s="3">
        <f t="shared" si="33"/>
        <v>0</v>
      </c>
      <c r="AF127" s="3">
        <f t="shared" si="39"/>
        <v>0</v>
      </c>
      <c r="AG127" s="3" t="e">
        <f>AF127 / SUM(F$2:F127)</f>
        <v>#DIV/0!</v>
      </c>
      <c r="AH127" s="3" t="e">
        <f t="shared" si="40"/>
        <v>#DIV/0!</v>
      </c>
      <c r="AI127" s="3">
        <f t="shared" si="41"/>
        <v>0</v>
      </c>
      <c r="AJ127" s="3" t="e">
        <f t="shared" si="42"/>
        <v>#DIV/0!</v>
      </c>
      <c r="AK127" s="3" t="e">
        <f t="shared" si="57"/>
        <v>#DIV/0!</v>
      </c>
    </row>
    <row r="128" spans="1:37" x14ac:dyDescent="0.3">
      <c r="A128" s="24">
        <v>0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f t="shared" si="30"/>
        <v>0</v>
      </c>
      <c r="H128" s="3">
        <f t="shared" si="47"/>
        <v>0</v>
      </c>
      <c r="I128" s="3">
        <f t="shared" si="52"/>
        <v>0</v>
      </c>
      <c r="J128" s="3">
        <f t="shared" si="53"/>
        <v>0</v>
      </c>
      <c r="K128" s="3">
        <f t="shared" si="54"/>
        <v>0</v>
      </c>
      <c r="L128" s="3">
        <f t="shared" si="55"/>
        <v>0</v>
      </c>
      <c r="M128" s="3" t="e">
        <f t="shared" si="34"/>
        <v>#DIV/0!</v>
      </c>
      <c r="N128" s="3" t="e">
        <f t="shared" si="43"/>
        <v>#DIV/0!</v>
      </c>
      <c r="O128" s="3" t="e">
        <f t="shared" si="56"/>
        <v>#DIV/0!</v>
      </c>
      <c r="P128" s="3">
        <f t="shared" si="44"/>
        <v>0</v>
      </c>
      <c r="Q128" s="3">
        <f t="shared" si="58"/>
        <v>0</v>
      </c>
      <c r="R128" s="3">
        <f t="shared" si="46"/>
        <v>0</v>
      </c>
      <c r="S128" s="3">
        <f t="shared" si="59"/>
        <v>0</v>
      </c>
      <c r="T128" s="3">
        <f t="shared" si="31"/>
        <v>0</v>
      </c>
      <c r="U128" s="3">
        <f t="shared" si="45"/>
        <v>0</v>
      </c>
      <c r="V128" s="3">
        <f t="shared" si="32"/>
        <v>0</v>
      </c>
      <c r="W128" s="3">
        <f t="shared" si="35"/>
        <v>0</v>
      </c>
      <c r="X128" s="3">
        <f t="shared" si="36"/>
        <v>0</v>
      </c>
      <c r="Y128" s="3">
        <f t="shared" si="37"/>
        <v>0</v>
      </c>
      <c r="Z128" s="3">
        <f t="shared" si="48"/>
        <v>0</v>
      </c>
      <c r="AA128" s="3">
        <f t="shared" si="49"/>
        <v>0</v>
      </c>
      <c r="AB128" s="3" t="e">
        <f t="shared" si="50"/>
        <v>#DIV/0!</v>
      </c>
      <c r="AC128" s="3" t="str">
        <f t="shared" si="51"/>
        <v/>
      </c>
      <c r="AD128" s="3">
        <f t="shared" si="38"/>
        <v>0</v>
      </c>
      <c r="AE128" s="3">
        <f t="shared" si="33"/>
        <v>0</v>
      </c>
      <c r="AF128" s="3">
        <f t="shared" si="39"/>
        <v>0</v>
      </c>
      <c r="AG128" s="3" t="e">
        <f>AF128 / SUM(F$2:F128)</f>
        <v>#DIV/0!</v>
      </c>
      <c r="AH128" s="3" t="e">
        <f t="shared" si="40"/>
        <v>#DIV/0!</v>
      </c>
      <c r="AI128" s="3">
        <f t="shared" si="41"/>
        <v>0</v>
      </c>
      <c r="AJ128" s="3" t="e">
        <f t="shared" si="42"/>
        <v>#DIV/0!</v>
      </c>
      <c r="AK128" s="3" t="e">
        <f t="shared" si="57"/>
        <v>#DIV/0!</v>
      </c>
    </row>
    <row r="129" spans="1:37" x14ac:dyDescent="0.3">
      <c r="A129" s="24">
        <v>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f t="shared" si="30"/>
        <v>0</v>
      </c>
      <c r="H129" s="3">
        <f t="shared" si="47"/>
        <v>0</v>
      </c>
      <c r="I129" s="3">
        <f t="shared" si="52"/>
        <v>0</v>
      </c>
      <c r="J129" s="3">
        <f t="shared" si="53"/>
        <v>0</v>
      </c>
      <c r="K129" s="3">
        <f t="shared" si="54"/>
        <v>0</v>
      </c>
      <c r="L129" s="3">
        <f t="shared" si="55"/>
        <v>0</v>
      </c>
      <c r="M129" s="3" t="e">
        <f t="shared" si="34"/>
        <v>#DIV/0!</v>
      </c>
      <c r="N129" s="3" t="e">
        <f t="shared" si="43"/>
        <v>#DIV/0!</v>
      </c>
      <c r="O129" s="3" t="e">
        <f t="shared" si="56"/>
        <v>#DIV/0!</v>
      </c>
      <c r="P129" s="3">
        <f t="shared" si="44"/>
        <v>0</v>
      </c>
      <c r="Q129" s="3">
        <f t="shared" si="58"/>
        <v>0</v>
      </c>
      <c r="R129" s="3">
        <f t="shared" si="46"/>
        <v>0</v>
      </c>
      <c r="S129" s="3">
        <f t="shared" si="59"/>
        <v>0</v>
      </c>
      <c r="T129" s="3">
        <f t="shared" si="31"/>
        <v>0</v>
      </c>
      <c r="U129" s="3">
        <f t="shared" si="45"/>
        <v>0</v>
      </c>
      <c r="V129" s="3">
        <f t="shared" si="32"/>
        <v>0</v>
      </c>
      <c r="W129" s="3">
        <f t="shared" si="35"/>
        <v>0</v>
      </c>
      <c r="X129" s="3">
        <f t="shared" si="36"/>
        <v>0</v>
      </c>
      <c r="Y129" s="3">
        <f t="shared" si="37"/>
        <v>0</v>
      </c>
      <c r="Z129" s="3">
        <f t="shared" si="48"/>
        <v>0</v>
      </c>
      <c r="AA129" s="3">
        <f t="shared" si="49"/>
        <v>0</v>
      </c>
      <c r="AB129" s="3" t="e">
        <f t="shared" si="50"/>
        <v>#DIV/0!</v>
      </c>
      <c r="AC129" s="3" t="str">
        <f t="shared" si="51"/>
        <v/>
      </c>
      <c r="AD129" s="3">
        <f t="shared" si="38"/>
        <v>0</v>
      </c>
      <c r="AE129" s="3">
        <f t="shared" si="33"/>
        <v>0</v>
      </c>
      <c r="AF129" s="3">
        <f t="shared" si="39"/>
        <v>0</v>
      </c>
      <c r="AG129" s="3" t="e">
        <f>AF129 / SUM(F$2:F129)</f>
        <v>#DIV/0!</v>
      </c>
      <c r="AH129" s="3" t="e">
        <f t="shared" si="40"/>
        <v>#DIV/0!</v>
      </c>
      <c r="AI129" s="3">
        <f t="shared" si="41"/>
        <v>0</v>
      </c>
      <c r="AJ129" s="3" t="e">
        <f t="shared" si="42"/>
        <v>#DIV/0!</v>
      </c>
      <c r="AK129" s="3" t="e">
        <f t="shared" si="57"/>
        <v>#DIV/0!</v>
      </c>
    </row>
    <row r="130" spans="1:37" x14ac:dyDescent="0.3">
      <c r="A130" s="24">
        <v>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f t="shared" si="30"/>
        <v>0</v>
      </c>
      <c r="H130" s="3">
        <f t="shared" si="47"/>
        <v>0</v>
      </c>
      <c r="I130" s="3">
        <f t="shared" si="52"/>
        <v>0</v>
      </c>
      <c r="J130" s="3">
        <f t="shared" si="53"/>
        <v>0</v>
      </c>
      <c r="K130" s="3">
        <f t="shared" si="54"/>
        <v>0</v>
      </c>
      <c r="L130" s="3">
        <f t="shared" si="55"/>
        <v>0</v>
      </c>
      <c r="M130" s="3" t="e">
        <f t="shared" si="34"/>
        <v>#DIV/0!</v>
      </c>
      <c r="N130" s="3" t="e">
        <f t="shared" si="43"/>
        <v>#DIV/0!</v>
      </c>
      <c r="O130" s="3" t="e">
        <f t="shared" si="56"/>
        <v>#DIV/0!</v>
      </c>
      <c r="P130" s="3">
        <f t="shared" si="44"/>
        <v>0</v>
      </c>
      <c r="Q130" s="3">
        <f t="shared" si="58"/>
        <v>0</v>
      </c>
      <c r="R130" s="3">
        <f t="shared" si="46"/>
        <v>0</v>
      </c>
      <c r="S130" s="3">
        <f t="shared" si="59"/>
        <v>0</v>
      </c>
      <c r="T130" s="3">
        <f t="shared" si="31"/>
        <v>0</v>
      </c>
      <c r="U130" s="3">
        <f t="shared" si="45"/>
        <v>0</v>
      </c>
      <c r="V130" s="3">
        <f t="shared" si="32"/>
        <v>0</v>
      </c>
      <c r="W130" s="3">
        <f t="shared" si="35"/>
        <v>0</v>
      </c>
      <c r="X130" s="3">
        <f t="shared" si="36"/>
        <v>0</v>
      </c>
      <c r="Y130" s="3">
        <f t="shared" si="37"/>
        <v>0</v>
      </c>
      <c r="Z130" s="3">
        <f t="shared" si="48"/>
        <v>0</v>
      </c>
      <c r="AA130" s="3">
        <f t="shared" si="49"/>
        <v>0</v>
      </c>
      <c r="AB130" s="3" t="e">
        <f t="shared" si="50"/>
        <v>#DIV/0!</v>
      </c>
      <c r="AC130" s="3" t="str">
        <f t="shared" si="51"/>
        <v/>
      </c>
      <c r="AD130" s="3">
        <f t="shared" si="38"/>
        <v>0</v>
      </c>
      <c r="AE130" s="3">
        <f t="shared" si="33"/>
        <v>0</v>
      </c>
      <c r="AF130" s="3">
        <f t="shared" si="39"/>
        <v>0</v>
      </c>
      <c r="AG130" s="3" t="e">
        <f>AF130 / SUM(F$2:F130)</f>
        <v>#DIV/0!</v>
      </c>
      <c r="AH130" s="3" t="e">
        <f t="shared" si="40"/>
        <v>#DIV/0!</v>
      </c>
      <c r="AI130" s="3">
        <f t="shared" si="41"/>
        <v>0</v>
      </c>
      <c r="AJ130" s="3" t="e">
        <f t="shared" si="42"/>
        <v>#DIV/0!</v>
      </c>
      <c r="AK130" s="3" t="e">
        <f t="shared" si="57"/>
        <v>#DIV/0!</v>
      </c>
    </row>
    <row r="131" spans="1:37" x14ac:dyDescent="0.3">
      <c r="A131" s="24">
        <v>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f t="shared" ref="G131:G194" si="60">MAX(C131-D131, ABS(C131-E132), ABS(D131-E132))</f>
        <v>0</v>
      </c>
      <c r="H131" s="3">
        <f t="shared" si="47"/>
        <v>0</v>
      </c>
      <c r="I131" s="3">
        <f t="shared" si="52"/>
        <v>0</v>
      </c>
      <c r="J131" s="3">
        <f t="shared" si="53"/>
        <v>0</v>
      </c>
      <c r="K131" s="3">
        <f t="shared" si="54"/>
        <v>0</v>
      </c>
      <c r="L131" s="3">
        <f t="shared" si="55"/>
        <v>0</v>
      </c>
      <c r="M131" s="3" t="e">
        <f t="shared" si="34"/>
        <v>#DIV/0!</v>
      </c>
      <c r="N131" s="3" t="e">
        <f t="shared" si="43"/>
        <v>#DIV/0!</v>
      </c>
      <c r="O131" s="3" t="e">
        <f t="shared" si="56"/>
        <v>#DIV/0!</v>
      </c>
      <c r="P131" s="3">
        <f t="shared" si="44"/>
        <v>0</v>
      </c>
      <c r="Q131" s="3">
        <f t="shared" si="58"/>
        <v>0</v>
      </c>
      <c r="R131" s="3">
        <f t="shared" si="46"/>
        <v>0</v>
      </c>
      <c r="S131" s="3">
        <f t="shared" si="59"/>
        <v>0</v>
      </c>
      <c r="T131" s="3">
        <f t="shared" ref="T131:T194" si="61">R131 - S131</f>
        <v>0</v>
      </c>
      <c r="U131" s="3">
        <f t="shared" si="45"/>
        <v>0</v>
      </c>
      <c r="V131" s="3">
        <f t="shared" ref="V131:V194" si="62">T131 - U131</f>
        <v>0</v>
      </c>
      <c r="W131" s="3">
        <f t="shared" si="35"/>
        <v>0</v>
      </c>
      <c r="X131" s="3">
        <f t="shared" si="36"/>
        <v>0</v>
      </c>
      <c r="Y131" s="3">
        <f t="shared" si="37"/>
        <v>0</v>
      </c>
      <c r="Z131" s="3">
        <f t="shared" si="48"/>
        <v>0</v>
      </c>
      <c r="AA131" s="3">
        <f t="shared" si="49"/>
        <v>0</v>
      </c>
      <c r="AB131" s="3" t="e">
        <f t="shared" si="50"/>
        <v>#DIV/0!</v>
      </c>
      <c r="AC131" s="3" t="str">
        <f t="shared" si="51"/>
        <v/>
      </c>
      <c r="AD131" s="3">
        <f t="shared" si="38"/>
        <v>0</v>
      </c>
      <c r="AE131" s="3">
        <f t="shared" ref="AE131:AE194" si="63">(C131+D131+E131)/3</f>
        <v>0</v>
      </c>
      <c r="AF131" s="3">
        <f t="shared" si="39"/>
        <v>0</v>
      </c>
      <c r="AG131" s="3" t="e">
        <f>AF131 / SUM(F$2:F131)</f>
        <v>#DIV/0!</v>
      </c>
      <c r="AH131" s="3" t="e">
        <f t="shared" si="40"/>
        <v>#DIV/0!</v>
      </c>
      <c r="AI131" s="3">
        <f t="shared" si="41"/>
        <v>0</v>
      </c>
      <c r="AJ131" s="3" t="e">
        <f t="shared" si="42"/>
        <v>#DIV/0!</v>
      </c>
      <c r="AK131" s="3" t="e">
        <f t="shared" si="57"/>
        <v>#DIV/0!</v>
      </c>
    </row>
    <row r="132" spans="1:37" x14ac:dyDescent="0.3">
      <c r="A132" s="24">
        <v>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f t="shared" si="60"/>
        <v>0</v>
      </c>
      <c r="H132" s="3">
        <f t="shared" si="47"/>
        <v>0</v>
      </c>
      <c r="I132" s="3">
        <f t="shared" si="52"/>
        <v>0</v>
      </c>
      <c r="J132" s="3">
        <f t="shared" si="53"/>
        <v>0</v>
      </c>
      <c r="K132" s="3">
        <f t="shared" si="54"/>
        <v>0</v>
      </c>
      <c r="L132" s="3">
        <f t="shared" si="55"/>
        <v>0</v>
      </c>
      <c r="M132" s="3" t="e">
        <f t="shared" ref="M132:M195" si="64">LN(E131/E132)</f>
        <v>#DIV/0!</v>
      </c>
      <c r="N132" s="3" t="e">
        <f t="shared" si="43"/>
        <v>#DIV/0!</v>
      </c>
      <c r="O132" s="3" t="e">
        <f t="shared" si="56"/>
        <v>#DIV/0!</v>
      </c>
      <c r="P132" s="3">
        <f t="shared" si="44"/>
        <v>0</v>
      </c>
      <c r="Q132" s="3">
        <f t="shared" si="58"/>
        <v>0</v>
      </c>
      <c r="R132" s="3">
        <f t="shared" si="46"/>
        <v>0</v>
      </c>
      <c r="S132" s="3">
        <f t="shared" si="59"/>
        <v>0</v>
      </c>
      <c r="T132" s="3">
        <f t="shared" si="61"/>
        <v>0</v>
      </c>
      <c r="U132" s="3">
        <f t="shared" si="45"/>
        <v>0</v>
      </c>
      <c r="V132" s="3">
        <f t="shared" si="62"/>
        <v>0</v>
      </c>
      <c r="W132" s="3">
        <f t="shared" ref="W132:W195" si="65">E131-E132</f>
        <v>0</v>
      </c>
      <c r="X132" s="3">
        <f t="shared" ref="X132:X195" si="66">MAX(W132,0)</f>
        <v>0</v>
      </c>
      <c r="Y132" s="3">
        <f t="shared" ref="Y132:Y195" si="67">MAX(-W132,0)</f>
        <v>0</v>
      </c>
      <c r="Z132" s="3">
        <f t="shared" si="48"/>
        <v>0</v>
      </c>
      <c r="AA132" s="3">
        <f t="shared" si="49"/>
        <v>0</v>
      </c>
      <c r="AB132" s="3" t="e">
        <f t="shared" si="50"/>
        <v>#DIV/0!</v>
      </c>
      <c r="AC132" s="3" t="str">
        <f t="shared" si="51"/>
        <v/>
      </c>
      <c r="AD132" s="3">
        <f t="shared" ref="AD132:AD195" si="68">IF(E131&gt;E132,AD131+F131,IF(E131&lt;E132,AD131-F131,AD131))</f>
        <v>0</v>
      </c>
      <c r="AE132" s="3">
        <f t="shared" si="63"/>
        <v>0</v>
      </c>
      <c r="AF132" s="3">
        <f t="shared" ref="AF132:AF195" si="69">AF131 + AE132*F132</f>
        <v>0</v>
      </c>
      <c r="AG132" s="3" t="e">
        <f>AF132 / SUM(F$2:F132)</f>
        <v>#DIV/0!</v>
      </c>
      <c r="AH132" s="3" t="e">
        <f t="shared" ref="AH132:AH195" si="70">(E131-E132)/E132</f>
        <v>#DIV/0!</v>
      </c>
      <c r="AI132" s="3">
        <f t="shared" ref="AI132:AI195" si="71">MAX(AI131,E132)</f>
        <v>0</v>
      </c>
      <c r="AJ132" s="3" t="e">
        <f t="shared" ref="AJ132:AJ195" si="72">(E132-AI132)/AI132</f>
        <v>#DIV/0!</v>
      </c>
      <c r="AK132" s="3" t="e">
        <f t="shared" si="57"/>
        <v>#DIV/0!</v>
      </c>
    </row>
    <row r="133" spans="1:37" x14ac:dyDescent="0.3">
      <c r="A133" s="24">
        <v>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f t="shared" si="60"/>
        <v>0</v>
      </c>
      <c r="H133" s="3">
        <f t="shared" si="47"/>
        <v>0</v>
      </c>
      <c r="I133" s="3">
        <f t="shared" si="52"/>
        <v>0</v>
      </c>
      <c r="J133" s="3">
        <f t="shared" si="53"/>
        <v>0</v>
      </c>
      <c r="K133" s="3">
        <f t="shared" si="54"/>
        <v>0</v>
      </c>
      <c r="L133" s="3">
        <f t="shared" si="55"/>
        <v>0</v>
      </c>
      <c r="M133" s="3" t="e">
        <f t="shared" si="64"/>
        <v>#DIV/0!</v>
      </c>
      <c r="N133" s="3" t="e">
        <f t="shared" si="43"/>
        <v>#DIV/0!</v>
      </c>
      <c r="O133" s="3" t="e">
        <f t="shared" si="56"/>
        <v>#DIV/0!</v>
      </c>
      <c r="P133" s="3">
        <f t="shared" si="44"/>
        <v>0</v>
      </c>
      <c r="Q133" s="3">
        <f t="shared" si="58"/>
        <v>0</v>
      </c>
      <c r="R133" s="3">
        <f t="shared" si="46"/>
        <v>0</v>
      </c>
      <c r="S133" s="3">
        <f t="shared" si="59"/>
        <v>0</v>
      </c>
      <c r="T133" s="3">
        <f t="shared" si="61"/>
        <v>0</v>
      </c>
      <c r="U133" s="3">
        <f t="shared" si="45"/>
        <v>0</v>
      </c>
      <c r="V133" s="3">
        <f t="shared" si="62"/>
        <v>0</v>
      </c>
      <c r="W133" s="3">
        <f t="shared" si="65"/>
        <v>0</v>
      </c>
      <c r="X133" s="3">
        <f t="shared" si="66"/>
        <v>0</v>
      </c>
      <c r="Y133" s="3">
        <f t="shared" si="67"/>
        <v>0</v>
      </c>
      <c r="Z133" s="3">
        <f t="shared" si="48"/>
        <v>0</v>
      </c>
      <c r="AA133" s="3">
        <f t="shared" si="49"/>
        <v>0</v>
      </c>
      <c r="AB133" s="3" t="e">
        <f t="shared" si="50"/>
        <v>#DIV/0!</v>
      </c>
      <c r="AC133" s="3" t="str">
        <f t="shared" si="51"/>
        <v/>
      </c>
      <c r="AD133" s="3">
        <f t="shared" si="68"/>
        <v>0</v>
      </c>
      <c r="AE133" s="3">
        <f t="shared" si="63"/>
        <v>0</v>
      </c>
      <c r="AF133" s="3">
        <f t="shared" si="69"/>
        <v>0</v>
      </c>
      <c r="AG133" s="3" t="e">
        <f>AF133 / SUM(F$2:F133)</f>
        <v>#DIV/0!</v>
      </c>
      <c r="AH133" s="3" t="e">
        <f t="shared" si="70"/>
        <v>#DIV/0!</v>
      </c>
      <c r="AI133" s="3">
        <f t="shared" si="71"/>
        <v>0</v>
      </c>
      <c r="AJ133" s="3" t="e">
        <f t="shared" si="72"/>
        <v>#DIV/0!</v>
      </c>
      <c r="AK133" s="3" t="e">
        <f t="shared" si="57"/>
        <v>#DIV/0!</v>
      </c>
    </row>
    <row r="134" spans="1:37" x14ac:dyDescent="0.3">
      <c r="A134" s="24">
        <v>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f t="shared" si="60"/>
        <v>0</v>
      </c>
      <c r="H134" s="3">
        <f t="shared" si="47"/>
        <v>0</v>
      </c>
      <c r="I134" s="3">
        <f t="shared" si="52"/>
        <v>0</v>
      </c>
      <c r="J134" s="3">
        <f t="shared" si="53"/>
        <v>0</v>
      </c>
      <c r="K134" s="3">
        <f t="shared" si="54"/>
        <v>0</v>
      </c>
      <c r="L134" s="3">
        <f t="shared" si="55"/>
        <v>0</v>
      </c>
      <c r="M134" s="3" t="e">
        <f t="shared" si="64"/>
        <v>#DIV/0!</v>
      </c>
      <c r="N134" s="3" t="e">
        <f t="shared" si="43"/>
        <v>#DIV/0!</v>
      </c>
      <c r="O134" s="3" t="e">
        <f t="shared" si="56"/>
        <v>#DIV/0!</v>
      </c>
      <c r="P134" s="3">
        <f t="shared" si="44"/>
        <v>0</v>
      </c>
      <c r="Q134" s="3">
        <f t="shared" si="58"/>
        <v>0</v>
      </c>
      <c r="R134" s="3">
        <f t="shared" si="46"/>
        <v>0</v>
      </c>
      <c r="S134" s="3">
        <f t="shared" si="59"/>
        <v>0</v>
      </c>
      <c r="T134" s="3">
        <f t="shared" si="61"/>
        <v>0</v>
      </c>
      <c r="U134" s="3">
        <f t="shared" si="45"/>
        <v>0</v>
      </c>
      <c r="V134" s="3">
        <f t="shared" si="62"/>
        <v>0</v>
      </c>
      <c r="W134" s="3">
        <f t="shared" si="65"/>
        <v>0</v>
      </c>
      <c r="X134" s="3">
        <f t="shared" si="66"/>
        <v>0</v>
      </c>
      <c r="Y134" s="3">
        <f t="shared" si="67"/>
        <v>0</v>
      </c>
      <c r="Z134" s="3">
        <f t="shared" si="48"/>
        <v>0</v>
      </c>
      <c r="AA134" s="3">
        <f t="shared" si="49"/>
        <v>0</v>
      </c>
      <c r="AB134" s="3" t="e">
        <f t="shared" si="50"/>
        <v>#DIV/0!</v>
      </c>
      <c r="AC134" s="3" t="str">
        <f t="shared" si="51"/>
        <v/>
      </c>
      <c r="AD134" s="3">
        <f t="shared" si="68"/>
        <v>0</v>
      </c>
      <c r="AE134" s="3">
        <f t="shared" si="63"/>
        <v>0</v>
      </c>
      <c r="AF134" s="3">
        <f t="shared" si="69"/>
        <v>0</v>
      </c>
      <c r="AG134" s="3" t="e">
        <f>AF134 / SUM(F$2:F134)</f>
        <v>#DIV/0!</v>
      </c>
      <c r="AH134" s="3" t="e">
        <f t="shared" si="70"/>
        <v>#DIV/0!</v>
      </c>
      <c r="AI134" s="3">
        <f t="shared" si="71"/>
        <v>0</v>
      </c>
      <c r="AJ134" s="3" t="e">
        <f t="shared" si="72"/>
        <v>#DIV/0!</v>
      </c>
      <c r="AK134" s="3" t="e">
        <f t="shared" si="57"/>
        <v>#DIV/0!</v>
      </c>
    </row>
    <row r="135" spans="1:37" x14ac:dyDescent="0.3">
      <c r="A135" s="24">
        <v>0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f t="shared" si="60"/>
        <v>0</v>
      </c>
      <c r="H135" s="3">
        <f t="shared" si="47"/>
        <v>0</v>
      </c>
      <c r="I135" s="3">
        <f t="shared" si="52"/>
        <v>0</v>
      </c>
      <c r="J135" s="3">
        <f t="shared" si="53"/>
        <v>0</v>
      </c>
      <c r="K135" s="3">
        <f t="shared" si="54"/>
        <v>0</v>
      </c>
      <c r="L135" s="3">
        <f t="shared" si="55"/>
        <v>0</v>
      </c>
      <c r="M135" s="3" t="e">
        <f t="shared" si="64"/>
        <v>#DIV/0!</v>
      </c>
      <c r="N135" s="3" t="e">
        <f t="shared" si="43"/>
        <v>#DIV/0!</v>
      </c>
      <c r="O135" s="3" t="e">
        <f t="shared" si="56"/>
        <v>#DIV/0!</v>
      </c>
      <c r="P135" s="3">
        <f t="shared" si="44"/>
        <v>0</v>
      </c>
      <c r="Q135" s="3">
        <f t="shared" si="58"/>
        <v>0</v>
      </c>
      <c r="R135" s="3">
        <f t="shared" si="46"/>
        <v>0</v>
      </c>
      <c r="S135" s="3">
        <f t="shared" si="59"/>
        <v>0</v>
      </c>
      <c r="T135" s="3">
        <f t="shared" si="61"/>
        <v>0</v>
      </c>
      <c r="U135" s="3">
        <f t="shared" si="45"/>
        <v>0</v>
      </c>
      <c r="V135" s="3">
        <f t="shared" si="62"/>
        <v>0</v>
      </c>
      <c r="W135" s="3">
        <f t="shared" si="65"/>
        <v>0</v>
      </c>
      <c r="X135" s="3">
        <f t="shared" si="66"/>
        <v>0</v>
      </c>
      <c r="Y135" s="3">
        <f t="shared" si="67"/>
        <v>0</v>
      </c>
      <c r="Z135" s="3">
        <f t="shared" si="48"/>
        <v>0</v>
      </c>
      <c r="AA135" s="3">
        <f t="shared" si="49"/>
        <v>0</v>
      </c>
      <c r="AB135" s="3" t="e">
        <f t="shared" si="50"/>
        <v>#DIV/0!</v>
      </c>
      <c r="AC135" s="3" t="str">
        <f t="shared" si="51"/>
        <v/>
      </c>
      <c r="AD135" s="3">
        <f t="shared" si="68"/>
        <v>0</v>
      </c>
      <c r="AE135" s="3">
        <f t="shared" si="63"/>
        <v>0</v>
      </c>
      <c r="AF135" s="3">
        <f t="shared" si="69"/>
        <v>0</v>
      </c>
      <c r="AG135" s="3" t="e">
        <f>AF135 / SUM(F$2:F135)</f>
        <v>#DIV/0!</v>
      </c>
      <c r="AH135" s="3" t="e">
        <f t="shared" si="70"/>
        <v>#DIV/0!</v>
      </c>
      <c r="AI135" s="3">
        <f t="shared" si="71"/>
        <v>0</v>
      </c>
      <c r="AJ135" s="3" t="e">
        <f t="shared" si="72"/>
        <v>#DIV/0!</v>
      </c>
      <c r="AK135" s="3" t="e">
        <f t="shared" si="57"/>
        <v>#DIV/0!</v>
      </c>
    </row>
    <row r="136" spans="1:37" x14ac:dyDescent="0.3">
      <c r="A136" s="24">
        <v>0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f t="shared" si="60"/>
        <v>0</v>
      </c>
      <c r="H136" s="3">
        <f t="shared" si="47"/>
        <v>0</v>
      </c>
      <c r="I136" s="3">
        <f t="shared" si="52"/>
        <v>0</v>
      </c>
      <c r="J136" s="3">
        <f t="shared" si="53"/>
        <v>0</v>
      </c>
      <c r="K136" s="3">
        <f t="shared" si="54"/>
        <v>0</v>
      </c>
      <c r="L136" s="3">
        <f t="shared" si="55"/>
        <v>0</v>
      </c>
      <c r="M136" s="3" t="e">
        <f t="shared" si="64"/>
        <v>#DIV/0!</v>
      </c>
      <c r="N136" s="3" t="e">
        <f t="shared" si="43"/>
        <v>#DIV/0!</v>
      </c>
      <c r="O136" s="3" t="e">
        <f t="shared" si="56"/>
        <v>#DIV/0!</v>
      </c>
      <c r="P136" s="3">
        <f t="shared" si="44"/>
        <v>0</v>
      </c>
      <c r="Q136" s="3">
        <f t="shared" si="58"/>
        <v>0</v>
      </c>
      <c r="R136" s="3">
        <f t="shared" si="46"/>
        <v>0</v>
      </c>
      <c r="S136" s="3">
        <f t="shared" si="59"/>
        <v>0</v>
      </c>
      <c r="T136" s="3">
        <f t="shared" si="61"/>
        <v>0</v>
      </c>
      <c r="U136" s="3">
        <f t="shared" si="45"/>
        <v>0</v>
      </c>
      <c r="V136" s="3">
        <f t="shared" si="62"/>
        <v>0</v>
      </c>
      <c r="W136" s="3">
        <f t="shared" si="65"/>
        <v>0</v>
      </c>
      <c r="X136" s="3">
        <f t="shared" si="66"/>
        <v>0</v>
      </c>
      <c r="Y136" s="3">
        <f t="shared" si="67"/>
        <v>0</v>
      </c>
      <c r="Z136" s="3">
        <f t="shared" si="48"/>
        <v>0</v>
      </c>
      <c r="AA136" s="3">
        <f t="shared" si="49"/>
        <v>0</v>
      </c>
      <c r="AB136" s="3" t="e">
        <f t="shared" si="50"/>
        <v>#DIV/0!</v>
      </c>
      <c r="AC136" s="3" t="str">
        <f t="shared" si="51"/>
        <v/>
      </c>
      <c r="AD136" s="3">
        <f t="shared" si="68"/>
        <v>0</v>
      </c>
      <c r="AE136" s="3">
        <f t="shared" si="63"/>
        <v>0</v>
      </c>
      <c r="AF136" s="3">
        <f t="shared" si="69"/>
        <v>0</v>
      </c>
      <c r="AG136" s="3" t="e">
        <f>AF136 / SUM(F$2:F136)</f>
        <v>#DIV/0!</v>
      </c>
      <c r="AH136" s="3" t="e">
        <f t="shared" si="70"/>
        <v>#DIV/0!</v>
      </c>
      <c r="AI136" s="3">
        <f t="shared" si="71"/>
        <v>0</v>
      </c>
      <c r="AJ136" s="3" t="e">
        <f t="shared" si="72"/>
        <v>#DIV/0!</v>
      </c>
      <c r="AK136" s="3" t="e">
        <f t="shared" si="57"/>
        <v>#DIV/0!</v>
      </c>
    </row>
    <row r="137" spans="1:37" x14ac:dyDescent="0.3">
      <c r="A137" s="24">
        <v>0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f t="shared" si="60"/>
        <v>0</v>
      </c>
      <c r="H137" s="3">
        <f t="shared" si="47"/>
        <v>0</v>
      </c>
      <c r="I137" s="3">
        <f t="shared" si="52"/>
        <v>0</v>
      </c>
      <c r="J137" s="3">
        <f t="shared" si="53"/>
        <v>0</v>
      </c>
      <c r="K137" s="3">
        <f t="shared" si="54"/>
        <v>0</v>
      </c>
      <c r="L137" s="3">
        <f t="shared" si="55"/>
        <v>0</v>
      </c>
      <c r="M137" s="3" t="e">
        <f t="shared" si="64"/>
        <v>#DIV/0!</v>
      </c>
      <c r="N137" s="3" t="e">
        <f t="shared" si="43"/>
        <v>#DIV/0!</v>
      </c>
      <c r="O137" s="3" t="e">
        <f t="shared" si="56"/>
        <v>#DIV/0!</v>
      </c>
      <c r="P137" s="3">
        <f t="shared" si="44"/>
        <v>0</v>
      </c>
      <c r="Q137" s="3">
        <f t="shared" si="58"/>
        <v>0</v>
      </c>
      <c r="R137" s="3">
        <f t="shared" si="46"/>
        <v>0</v>
      </c>
      <c r="S137" s="3">
        <f t="shared" si="59"/>
        <v>0</v>
      </c>
      <c r="T137" s="3">
        <f t="shared" si="61"/>
        <v>0</v>
      </c>
      <c r="U137" s="3">
        <f t="shared" si="45"/>
        <v>0</v>
      </c>
      <c r="V137" s="3">
        <f t="shared" si="62"/>
        <v>0</v>
      </c>
      <c r="W137" s="3">
        <f t="shared" si="65"/>
        <v>0</v>
      </c>
      <c r="X137" s="3">
        <f t="shared" si="66"/>
        <v>0</v>
      </c>
      <c r="Y137" s="3">
        <f t="shared" si="67"/>
        <v>0</v>
      </c>
      <c r="Z137" s="3">
        <f t="shared" si="48"/>
        <v>0</v>
      </c>
      <c r="AA137" s="3">
        <f t="shared" si="49"/>
        <v>0</v>
      </c>
      <c r="AB137" s="3" t="e">
        <f t="shared" si="50"/>
        <v>#DIV/0!</v>
      </c>
      <c r="AC137" s="3" t="str">
        <f t="shared" si="51"/>
        <v/>
      </c>
      <c r="AD137" s="3">
        <f t="shared" si="68"/>
        <v>0</v>
      </c>
      <c r="AE137" s="3">
        <f t="shared" si="63"/>
        <v>0</v>
      </c>
      <c r="AF137" s="3">
        <f t="shared" si="69"/>
        <v>0</v>
      </c>
      <c r="AG137" s="3" t="e">
        <f>AF137 / SUM(F$2:F137)</f>
        <v>#DIV/0!</v>
      </c>
      <c r="AH137" s="3" t="e">
        <f t="shared" si="70"/>
        <v>#DIV/0!</v>
      </c>
      <c r="AI137" s="3">
        <f t="shared" si="71"/>
        <v>0</v>
      </c>
      <c r="AJ137" s="3" t="e">
        <f t="shared" si="72"/>
        <v>#DIV/0!</v>
      </c>
      <c r="AK137" s="3" t="e">
        <f t="shared" si="57"/>
        <v>#DIV/0!</v>
      </c>
    </row>
    <row r="138" spans="1:37" x14ac:dyDescent="0.3">
      <c r="A138" s="24">
        <v>0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f t="shared" si="60"/>
        <v>0</v>
      </c>
      <c r="H138" s="3">
        <f t="shared" si="47"/>
        <v>0</v>
      </c>
      <c r="I138" s="3">
        <f t="shared" si="52"/>
        <v>0</v>
      </c>
      <c r="J138" s="3">
        <f t="shared" si="53"/>
        <v>0</v>
      </c>
      <c r="K138" s="3">
        <f t="shared" si="54"/>
        <v>0</v>
      </c>
      <c r="L138" s="3">
        <f t="shared" si="55"/>
        <v>0</v>
      </c>
      <c r="M138" s="3" t="e">
        <f t="shared" si="64"/>
        <v>#DIV/0!</v>
      </c>
      <c r="N138" s="3" t="e">
        <f t="shared" si="43"/>
        <v>#DIV/0!</v>
      </c>
      <c r="O138" s="3" t="e">
        <f t="shared" si="56"/>
        <v>#DIV/0!</v>
      </c>
      <c r="P138" s="3">
        <f t="shared" si="44"/>
        <v>0</v>
      </c>
      <c r="Q138" s="3">
        <f t="shared" si="58"/>
        <v>0</v>
      </c>
      <c r="R138" s="3">
        <f t="shared" si="46"/>
        <v>0</v>
      </c>
      <c r="S138" s="3">
        <f t="shared" si="59"/>
        <v>0</v>
      </c>
      <c r="T138" s="3">
        <f t="shared" si="61"/>
        <v>0</v>
      </c>
      <c r="U138" s="3">
        <f t="shared" si="45"/>
        <v>0</v>
      </c>
      <c r="V138" s="3">
        <f t="shared" si="62"/>
        <v>0</v>
      </c>
      <c r="W138" s="3">
        <f t="shared" si="65"/>
        <v>0</v>
      </c>
      <c r="X138" s="3">
        <f t="shared" si="66"/>
        <v>0</v>
      </c>
      <c r="Y138" s="3">
        <f t="shared" si="67"/>
        <v>0</v>
      </c>
      <c r="Z138" s="3">
        <f t="shared" si="48"/>
        <v>0</v>
      </c>
      <c r="AA138" s="3">
        <f t="shared" si="49"/>
        <v>0</v>
      </c>
      <c r="AB138" s="3" t="e">
        <f t="shared" si="50"/>
        <v>#DIV/0!</v>
      </c>
      <c r="AC138" s="3" t="str">
        <f t="shared" si="51"/>
        <v/>
      </c>
      <c r="AD138" s="3">
        <f t="shared" si="68"/>
        <v>0</v>
      </c>
      <c r="AE138" s="3">
        <f t="shared" si="63"/>
        <v>0</v>
      </c>
      <c r="AF138" s="3">
        <f t="shared" si="69"/>
        <v>0</v>
      </c>
      <c r="AG138" s="3" t="e">
        <f>AF138 / SUM(F$2:F138)</f>
        <v>#DIV/0!</v>
      </c>
      <c r="AH138" s="3" t="e">
        <f t="shared" si="70"/>
        <v>#DIV/0!</v>
      </c>
      <c r="AI138" s="3">
        <f t="shared" si="71"/>
        <v>0</v>
      </c>
      <c r="AJ138" s="3" t="e">
        <f t="shared" si="72"/>
        <v>#DIV/0!</v>
      </c>
      <c r="AK138" s="3" t="e">
        <f t="shared" si="57"/>
        <v>#DIV/0!</v>
      </c>
    </row>
    <row r="139" spans="1:37" x14ac:dyDescent="0.3">
      <c r="A139" s="24">
        <v>0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f t="shared" si="60"/>
        <v>0</v>
      </c>
      <c r="H139" s="3">
        <f t="shared" si="47"/>
        <v>0</v>
      </c>
      <c r="I139" s="3">
        <f t="shared" si="52"/>
        <v>0</v>
      </c>
      <c r="J139" s="3">
        <f t="shared" si="53"/>
        <v>0</v>
      </c>
      <c r="K139" s="3">
        <f t="shared" si="54"/>
        <v>0</v>
      </c>
      <c r="L139" s="3">
        <f t="shared" si="55"/>
        <v>0</v>
      </c>
      <c r="M139" s="3" t="e">
        <f t="shared" si="64"/>
        <v>#DIV/0!</v>
      </c>
      <c r="N139" s="3" t="e">
        <f t="shared" si="43"/>
        <v>#DIV/0!</v>
      </c>
      <c r="O139" s="3" t="e">
        <f t="shared" si="56"/>
        <v>#DIV/0!</v>
      </c>
      <c r="P139" s="3">
        <f t="shared" si="44"/>
        <v>0</v>
      </c>
      <c r="Q139" s="3">
        <f t="shared" si="58"/>
        <v>0</v>
      </c>
      <c r="R139" s="3">
        <f t="shared" si="46"/>
        <v>0</v>
      </c>
      <c r="S139" s="3">
        <f t="shared" si="59"/>
        <v>0</v>
      </c>
      <c r="T139" s="3">
        <f t="shared" si="61"/>
        <v>0</v>
      </c>
      <c r="U139" s="3">
        <f t="shared" si="45"/>
        <v>0</v>
      </c>
      <c r="V139" s="3">
        <f t="shared" si="62"/>
        <v>0</v>
      </c>
      <c r="W139" s="3">
        <f t="shared" si="65"/>
        <v>0</v>
      </c>
      <c r="X139" s="3">
        <f t="shared" si="66"/>
        <v>0</v>
      </c>
      <c r="Y139" s="3">
        <f t="shared" si="67"/>
        <v>0</v>
      </c>
      <c r="Z139" s="3">
        <f t="shared" si="48"/>
        <v>0</v>
      </c>
      <c r="AA139" s="3">
        <f t="shared" si="49"/>
        <v>0</v>
      </c>
      <c r="AB139" s="3" t="e">
        <f t="shared" si="50"/>
        <v>#DIV/0!</v>
      </c>
      <c r="AC139" s="3" t="str">
        <f t="shared" si="51"/>
        <v/>
      </c>
      <c r="AD139" s="3">
        <f t="shared" si="68"/>
        <v>0</v>
      </c>
      <c r="AE139" s="3">
        <f t="shared" si="63"/>
        <v>0</v>
      </c>
      <c r="AF139" s="3">
        <f t="shared" si="69"/>
        <v>0</v>
      </c>
      <c r="AG139" s="3" t="e">
        <f>AF139 / SUM(F$2:F139)</f>
        <v>#DIV/0!</v>
      </c>
      <c r="AH139" s="3" t="e">
        <f t="shared" si="70"/>
        <v>#DIV/0!</v>
      </c>
      <c r="AI139" s="3">
        <f t="shared" si="71"/>
        <v>0</v>
      </c>
      <c r="AJ139" s="3" t="e">
        <f t="shared" si="72"/>
        <v>#DIV/0!</v>
      </c>
      <c r="AK139" s="3" t="e">
        <f t="shared" si="57"/>
        <v>#DIV/0!</v>
      </c>
    </row>
    <row r="140" spans="1:37" x14ac:dyDescent="0.3">
      <c r="A140" s="24">
        <v>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f t="shared" si="60"/>
        <v>0</v>
      </c>
      <c r="H140" s="3">
        <f t="shared" si="47"/>
        <v>0</v>
      </c>
      <c r="I140" s="3">
        <f t="shared" si="52"/>
        <v>0</v>
      </c>
      <c r="J140" s="3">
        <f t="shared" si="53"/>
        <v>0</v>
      </c>
      <c r="K140" s="3">
        <f t="shared" si="54"/>
        <v>0</v>
      </c>
      <c r="L140" s="3">
        <f t="shared" si="55"/>
        <v>0</v>
      </c>
      <c r="M140" s="3" t="e">
        <f t="shared" si="64"/>
        <v>#DIV/0!</v>
      </c>
      <c r="N140" s="3" t="e">
        <f t="shared" ref="N140:N203" si="73">_xlfn.STDEV.S(M131:M140)*SQRT(10)</f>
        <v>#DIV/0!</v>
      </c>
      <c r="O140" s="3" t="e">
        <f t="shared" si="56"/>
        <v>#DIV/0!</v>
      </c>
      <c r="P140" s="3">
        <f t="shared" ref="P140:P203" si="74">E140*(2/(9+1)) + P139*(1-(2/(9+1)))</f>
        <v>0</v>
      </c>
      <c r="Q140" s="3">
        <f t="shared" si="58"/>
        <v>0</v>
      </c>
      <c r="R140" s="3">
        <f t="shared" si="46"/>
        <v>0</v>
      </c>
      <c r="S140" s="3">
        <f t="shared" si="59"/>
        <v>0</v>
      </c>
      <c r="T140" s="3">
        <f t="shared" si="61"/>
        <v>0</v>
      </c>
      <c r="U140" s="3">
        <f t="shared" ref="U140:U203" si="75">T140*0.2 + U139*0.8</f>
        <v>0</v>
      </c>
      <c r="V140" s="3">
        <f t="shared" si="62"/>
        <v>0</v>
      </c>
      <c r="W140" s="3">
        <f t="shared" si="65"/>
        <v>0</v>
      </c>
      <c r="X140" s="3">
        <f t="shared" si="66"/>
        <v>0</v>
      </c>
      <c r="Y140" s="3">
        <f t="shared" si="67"/>
        <v>0</v>
      </c>
      <c r="Z140" s="3">
        <f t="shared" si="48"/>
        <v>0</v>
      </c>
      <c r="AA140" s="3">
        <f t="shared" si="49"/>
        <v>0</v>
      </c>
      <c r="AB140" s="3" t="e">
        <f t="shared" si="50"/>
        <v>#DIV/0!</v>
      </c>
      <c r="AC140" s="3" t="str">
        <f t="shared" si="51"/>
        <v/>
      </c>
      <c r="AD140" s="3">
        <f t="shared" si="68"/>
        <v>0</v>
      </c>
      <c r="AE140" s="3">
        <f t="shared" si="63"/>
        <v>0</v>
      </c>
      <c r="AF140" s="3">
        <f t="shared" si="69"/>
        <v>0</v>
      </c>
      <c r="AG140" s="3" t="e">
        <f>AF140 / SUM(F$2:F140)</f>
        <v>#DIV/0!</v>
      </c>
      <c r="AH140" s="3" t="e">
        <f t="shared" si="70"/>
        <v>#DIV/0!</v>
      </c>
      <c r="AI140" s="3">
        <f t="shared" si="71"/>
        <v>0</v>
      </c>
      <c r="AJ140" s="3" t="e">
        <f t="shared" si="72"/>
        <v>#DIV/0!</v>
      </c>
      <c r="AK140" s="3" t="e">
        <f t="shared" si="57"/>
        <v>#DIV/0!</v>
      </c>
    </row>
    <row r="141" spans="1:37" x14ac:dyDescent="0.3">
      <c r="A141" s="24">
        <v>0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f t="shared" si="60"/>
        <v>0</v>
      </c>
      <c r="H141" s="3">
        <f t="shared" si="47"/>
        <v>0</v>
      </c>
      <c r="I141" s="3">
        <f t="shared" si="52"/>
        <v>0</v>
      </c>
      <c r="J141" s="3">
        <f t="shared" si="53"/>
        <v>0</v>
      </c>
      <c r="K141" s="3">
        <f t="shared" si="54"/>
        <v>0</v>
      </c>
      <c r="L141" s="3">
        <f t="shared" si="55"/>
        <v>0</v>
      </c>
      <c r="M141" s="3" t="e">
        <f t="shared" si="64"/>
        <v>#DIV/0!</v>
      </c>
      <c r="N141" s="3" t="e">
        <f t="shared" si="73"/>
        <v>#DIV/0!</v>
      </c>
      <c r="O141" s="3" t="e">
        <f t="shared" si="56"/>
        <v>#DIV/0!</v>
      </c>
      <c r="P141" s="3">
        <f t="shared" si="74"/>
        <v>0</v>
      </c>
      <c r="Q141" s="3">
        <f t="shared" si="58"/>
        <v>0</v>
      </c>
      <c r="R141" s="3">
        <f t="shared" si="46"/>
        <v>0</v>
      </c>
      <c r="S141" s="3">
        <f t="shared" si="59"/>
        <v>0</v>
      </c>
      <c r="T141" s="3">
        <f t="shared" si="61"/>
        <v>0</v>
      </c>
      <c r="U141" s="3">
        <f t="shared" si="75"/>
        <v>0</v>
      </c>
      <c r="V141" s="3">
        <f t="shared" si="62"/>
        <v>0</v>
      </c>
      <c r="W141" s="3">
        <f t="shared" si="65"/>
        <v>0</v>
      </c>
      <c r="X141" s="3">
        <f t="shared" si="66"/>
        <v>0</v>
      </c>
      <c r="Y141" s="3">
        <f t="shared" si="67"/>
        <v>0</v>
      </c>
      <c r="Z141" s="3">
        <f t="shared" si="48"/>
        <v>0</v>
      </c>
      <c r="AA141" s="3">
        <f t="shared" si="49"/>
        <v>0</v>
      </c>
      <c r="AB141" s="3" t="e">
        <f t="shared" si="50"/>
        <v>#DIV/0!</v>
      </c>
      <c r="AC141" s="3" t="str">
        <f t="shared" si="51"/>
        <v/>
      </c>
      <c r="AD141" s="3">
        <f t="shared" si="68"/>
        <v>0</v>
      </c>
      <c r="AE141" s="3">
        <f t="shared" si="63"/>
        <v>0</v>
      </c>
      <c r="AF141" s="3">
        <f t="shared" si="69"/>
        <v>0</v>
      </c>
      <c r="AG141" s="3" t="e">
        <f>AF141 / SUM(F$2:F141)</f>
        <v>#DIV/0!</v>
      </c>
      <c r="AH141" s="3" t="e">
        <f t="shared" si="70"/>
        <v>#DIV/0!</v>
      </c>
      <c r="AI141" s="3">
        <f t="shared" si="71"/>
        <v>0</v>
      </c>
      <c r="AJ141" s="3" t="e">
        <f t="shared" si="72"/>
        <v>#DIV/0!</v>
      </c>
      <c r="AK141" s="3" t="e">
        <f t="shared" si="57"/>
        <v>#DIV/0!</v>
      </c>
    </row>
    <row r="142" spans="1:37" x14ac:dyDescent="0.3">
      <c r="A142" s="24">
        <v>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f t="shared" si="60"/>
        <v>0</v>
      </c>
      <c r="H142" s="3">
        <f t="shared" si="47"/>
        <v>0</v>
      </c>
      <c r="I142" s="3">
        <f t="shared" si="52"/>
        <v>0</v>
      </c>
      <c r="J142" s="3">
        <f t="shared" si="53"/>
        <v>0</v>
      </c>
      <c r="K142" s="3">
        <f t="shared" si="54"/>
        <v>0</v>
      </c>
      <c r="L142" s="3">
        <f t="shared" si="55"/>
        <v>0</v>
      </c>
      <c r="M142" s="3" t="e">
        <f t="shared" si="64"/>
        <v>#DIV/0!</v>
      </c>
      <c r="N142" s="3" t="e">
        <f t="shared" si="73"/>
        <v>#DIV/0!</v>
      </c>
      <c r="O142" s="3" t="e">
        <f t="shared" si="56"/>
        <v>#DIV/0!</v>
      </c>
      <c r="P142" s="3">
        <f t="shared" si="74"/>
        <v>0</v>
      </c>
      <c r="Q142" s="3">
        <f t="shared" si="58"/>
        <v>0</v>
      </c>
      <c r="R142" s="3">
        <f t="shared" si="46"/>
        <v>0</v>
      </c>
      <c r="S142" s="3">
        <f t="shared" si="59"/>
        <v>0</v>
      </c>
      <c r="T142" s="3">
        <f t="shared" si="61"/>
        <v>0</v>
      </c>
      <c r="U142" s="3">
        <f t="shared" si="75"/>
        <v>0</v>
      </c>
      <c r="V142" s="3">
        <f t="shared" si="62"/>
        <v>0</v>
      </c>
      <c r="W142" s="3">
        <f t="shared" si="65"/>
        <v>0</v>
      </c>
      <c r="X142" s="3">
        <f t="shared" si="66"/>
        <v>0</v>
      </c>
      <c r="Y142" s="3">
        <f t="shared" si="67"/>
        <v>0</v>
      </c>
      <c r="Z142" s="3">
        <f t="shared" si="48"/>
        <v>0</v>
      </c>
      <c r="AA142" s="3">
        <f t="shared" si="49"/>
        <v>0</v>
      </c>
      <c r="AB142" s="3" t="e">
        <f t="shared" si="50"/>
        <v>#DIV/0!</v>
      </c>
      <c r="AC142" s="3" t="str">
        <f t="shared" si="51"/>
        <v/>
      </c>
      <c r="AD142" s="3">
        <f t="shared" si="68"/>
        <v>0</v>
      </c>
      <c r="AE142" s="3">
        <f t="shared" si="63"/>
        <v>0</v>
      </c>
      <c r="AF142" s="3">
        <f t="shared" si="69"/>
        <v>0</v>
      </c>
      <c r="AG142" s="3" t="e">
        <f>AF142 / SUM(F$2:F142)</f>
        <v>#DIV/0!</v>
      </c>
      <c r="AH142" s="3" t="e">
        <f t="shared" si="70"/>
        <v>#DIV/0!</v>
      </c>
      <c r="AI142" s="3">
        <f t="shared" si="71"/>
        <v>0</v>
      </c>
      <c r="AJ142" s="3" t="e">
        <f t="shared" si="72"/>
        <v>#DIV/0!</v>
      </c>
      <c r="AK142" s="3" t="e">
        <f t="shared" si="57"/>
        <v>#DIV/0!</v>
      </c>
    </row>
    <row r="143" spans="1:37" x14ac:dyDescent="0.3">
      <c r="A143" s="24">
        <v>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f t="shared" si="60"/>
        <v>0</v>
      </c>
      <c r="H143" s="3">
        <f t="shared" si="47"/>
        <v>0</v>
      </c>
      <c r="I143" s="3">
        <f t="shared" si="52"/>
        <v>0</v>
      </c>
      <c r="J143" s="3">
        <f t="shared" si="53"/>
        <v>0</v>
      </c>
      <c r="K143" s="3">
        <f t="shared" si="54"/>
        <v>0</v>
      </c>
      <c r="L143" s="3">
        <f t="shared" si="55"/>
        <v>0</v>
      </c>
      <c r="M143" s="3" t="e">
        <f t="shared" si="64"/>
        <v>#DIV/0!</v>
      </c>
      <c r="N143" s="3" t="e">
        <f t="shared" si="73"/>
        <v>#DIV/0!</v>
      </c>
      <c r="O143" s="3" t="e">
        <f t="shared" si="56"/>
        <v>#DIV/0!</v>
      </c>
      <c r="P143" s="3">
        <f t="shared" si="74"/>
        <v>0</v>
      </c>
      <c r="Q143" s="3">
        <f t="shared" si="58"/>
        <v>0</v>
      </c>
      <c r="R143" s="3">
        <f t="shared" ref="R143:R206" si="76">E143*(2/(12+1)) + R142*(1-(2/(12+1)))</f>
        <v>0</v>
      </c>
      <c r="S143" s="3">
        <f t="shared" si="59"/>
        <v>0</v>
      </c>
      <c r="T143" s="3">
        <f t="shared" si="61"/>
        <v>0</v>
      </c>
      <c r="U143" s="3">
        <f t="shared" si="75"/>
        <v>0</v>
      </c>
      <c r="V143" s="3">
        <f t="shared" si="62"/>
        <v>0</v>
      </c>
      <c r="W143" s="3">
        <f t="shared" si="65"/>
        <v>0</v>
      </c>
      <c r="X143" s="3">
        <f t="shared" si="66"/>
        <v>0</v>
      </c>
      <c r="Y143" s="3">
        <f t="shared" si="67"/>
        <v>0</v>
      </c>
      <c r="Z143" s="3">
        <f t="shared" si="48"/>
        <v>0</v>
      </c>
      <c r="AA143" s="3">
        <f t="shared" si="49"/>
        <v>0</v>
      </c>
      <c r="AB143" s="3" t="e">
        <f t="shared" si="50"/>
        <v>#DIV/0!</v>
      </c>
      <c r="AC143" s="3" t="str">
        <f t="shared" si="51"/>
        <v/>
      </c>
      <c r="AD143" s="3">
        <f t="shared" si="68"/>
        <v>0</v>
      </c>
      <c r="AE143" s="3">
        <f t="shared" si="63"/>
        <v>0</v>
      </c>
      <c r="AF143" s="3">
        <f t="shared" si="69"/>
        <v>0</v>
      </c>
      <c r="AG143" s="3" t="e">
        <f>AF143 / SUM(F$2:F143)</f>
        <v>#DIV/0!</v>
      </c>
      <c r="AH143" s="3" t="e">
        <f t="shared" si="70"/>
        <v>#DIV/0!</v>
      </c>
      <c r="AI143" s="3">
        <f t="shared" si="71"/>
        <v>0</v>
      </c>
      <c r="AJ143" s="3" t="e">
        <f t="shared" si="72"/>
        <v>#DIV/0!</v>
      </c>
      <c r="AK143" s="3" t="e">
        <f t="shared" si="57"/>
        <v>#DIV/0!</v>
      </c>
    </row>
    <row r="144" spans="1:37" x14ac:dyDescent="0.3">
      <c r="A144" s="24">
        <v>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f t="shared" si="60"/>
        <v>0</v>
      </c>
      <c r="H144" s="3">
        <f t="shared" ref="H144:H207" si="77">AVERAGE(G131:G144)</f>
        <v>0</v>
      </c>
      <c r="I144" s="3">
        <f t="shared" si="52"/>
        <v>0</v>
      </c>
      <c r="J144" s="3">
        <f t="shared" si="53"/>
        <v>0</v>
      </c>
      <c r="K144" s="3">
        <f t="shared" si="54"/>
        <v>0</v>
      </c>
      <c r="L144" s="3">
        <f t="shared" si="55"/>
        <v>0</v>
      </c>
      <c r="M144" s="3" t="e">
        <f t="shared" si="64"/>
        <v>#DIV/0!</v>
      </c>
      <c r="N144" s="3" t="e">
        <f t="shared" si="73"/>
        <v>#DIV/0!</v>
      </c>
      <c r="O144" s="3" t="e">
        <f t="shared" si="56"/>
        <v>#DIV/0!</v>
      </c>
      <c r="P144" s="3">
        <f t="shared" si="74"/>
        <v>0</v>
      </c>
      <c r="Q144" s="3">
        <f t="shared" si="58"/>
        <v>0</v>
      </c>
      <c r="R144" s="3">
        <f t="shared" si="76"/>
        <v>0</v>
      </c>
      <c r="S144" s="3">
        <f t="shared" si="59"/>
        <v>0</v>
      </c>
      <c r="T144" s="3">
        <f t="shared" si="61"/>
        <v>0</v>
      </c>
      <c r="U144" s="3">
        <f t="shared" si="75"/>
        <v>0</v>
      </c>
      <c r="V144" s="3">
        <f t="shared" si="62"/>
        <v>0</v>
      </c>
      <c r="W144" s="3">
        <f t="shared" si="65"/>
        <v>0</v>
      </c>
      <c r="X144" s="3">
        <f t="shared" si="66"/>
        <v>0</v>
      </c>
      <c r="Y144" s="3">
        <f t="shared" si="67"/>
        <v>0</v>
      </c>
      <c r="Z144" s="3">
        <f t="shared" ref="Z144:Z207" si="78">AVERAGE(X131:X144)</f>
        <v>0</v>
      </c>
      <c r="AA144" s="3">
        <f t="shared" ref="AA144:AA207" si="79">AVERAGE(Y131:Y144)</f>
        <v>0</v>
      </c>
      <c r="AB144" s="3" t="e">
        <f t="shared" ref="AB144:AB207" si="80">100-(100/(1+(Z144/AA144)))</f>
        <v>#DIV/0!</v>
      </c>
      <c r="AC144" s="3" t="str">
        <f t="shared" ref="AC144:AC207" si="81">IF(
COUNT(AB131:AB144)&lt;14,
"",
IF(
MAX(AB131:AB144)=MIN(AB131:AB144),
0.5,
(AB144-MIN(AB131:AB144)) / (MAX(AB131:AB144)-MIN(AB131:AB144))
)
)</f>
        <v/>
      </c>
      <c r="AD144" s="3">
        <f t="shared" si="68"/>
        <v>0</v>
      </c>
      <c r="AE144" s="3">
        <f t="shared" si="63"/>
        <v>0</v>
      </c>
      <c r="AF144" s="3">
        <f t="shared" si="69"/>
        <v>0</v>
      </c>
      <c r="AG144" s="3" t="e">
        <f>AF144 / SUM(F$2:F144)</f>
        <v>#DIV/0!</v>
      </c>
      <c r="AH144" s="3" t="e">
        <f t="shared" si="70"/>
        <v>#DIV/0!</v>
      </c>
      <c r="AI144" s="3">
        <f t="shared" si="71"/>
        <v>0</v>
      </c>
      <c r="AJ144" s="3" t="e">
        <f t="shared" si="72"/>
        <v>#DIV/0!</v>
      </c>
      <c r="AK144" s="3" t="e">
        <f t="shared" si="57"/>
        <v>#DIV/0!</v>
      </c>
    </row>
    <row r="145" spans="1:37" x14ac:dyDescent="0.3">
      <c r="A145" s="24">
        <v>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f t="shared" si="60"/>
        <v>0</v>
      </c>
      <c r="H145" s="3">
        <f t="shared" si="77"/>
        <v>0</v>
      </c>
      <c r="I145" s="3">
        <f t="shared" si="52"/>
        <v>0</v>
      </c>
      <c r="J145" s="3">
        <f t="shared" si="53"/>
        <v>0</v>
      </c>
      <c r="K145" s="3">
        <f t="shared" si="54"/>
        <v>0</v>
      </c>
      <c r="L145" s="3">
        <f t="shared" si="55"/>
        <v>0</v>
      </c>
      <c r="M145" s="3" t="e">
        <f t="shared" si="64"/>
        <v>#DIV/0!</v>
      </c>
      <c r="N145" s="3" t="e">
        <f t="shared" si="73"/>
        <v>#DIV/0!</v>
      </c>
      <c r="O145" s="3" t="e">
        <f t="shared" si="56"/>
        <v>#DIV/0!</v>
      </c>
      <c r="P145" s="3">
        <f t="shared" si="74"/>
        <v>0</v>
      </c>
      <c r="Q145" s="3">
        <f t="shared" si="58"/>
        <v>0</v>
      </c>
      <c r="R145" s="3">
        <f t="shared" si="76"/>
        <v>0</v>
      </c>
      <c r="S145" s="3">
        <f t="shared" si="59"/>
        <v>0</v>
      </c>
      <c r="T145" s="3">
        <f t="shared" si="61"/>
        <v>0</v>
      </c>
      <c r="U145" s="3">
        <f t="shared" si="75"/>
        <v>0</v>
      </c>
      <c r="V145" s="3">
        <f t="shared" si="62"/>
        <v>0</v>
      </c>
      <c r="W145" s="3">
        <f t="shared" si="65"/>
        <v>0</v>
      </c>
      <c r="X145" s="3">
        <f t="shared" si="66"/>
        <v>0</v>
      </c>
      <c r="Y145" s="3">
        <f t="shared" si="67"/>
        <v>0</v>
      </c>
      <c r="Z145" s="3">
        <f t="shared" si="78"/>
        <v>0</v>
      </c>
      <c r="AA145" s="3">
        <f t="shared" si="79"/>
        <v>0</v>
      </c>
      <c r="AB145" s="3" t="e">
        <f t="shared" si="80"/>
        <v>#DIV/0!</v>
      </c>
      <c r="AC145" s="3" t="str">
        <f t="shared" si="81"/>
        <v/>
      </c>
      <c r="AD145" s="3">
        <f t="shared" si="68"/>
        <v>0</v>
      </c>
      <c r="AE145" s="3">
        <f t="shared" si="63"/>
        <v>0</v>
      </c>
      <c r="AF145" s="3">
        <f t="shared" si="69"/>
        <v>0</v>
      </c>
      <c r="AG145" s="3" t="e">
        <f>AF145 / SUM(F$2:F145)</f>
        <v>#DIV/0!</v>
      </c>
      <c r="AH145" s="3" t="e">
        <f t="shared" si="70"/>
        <v>#DIV/0!</v>
      </c>
      <c r="AI145" s="3">
        <f t="shared" si="71"/>
        <v>0</v>
      </c>
      <c r="AJ145" s="3" t="e">
        <f t="shared" si="72"/>
        <v>#DIV/0!</v>
      </c>
      <c r="AK145" s="3" t="e">
        <f t="shared" si="57"/>
        <v>#DIV/0!</v>
      </c>
    </row>
    <row r="146" spans="1:37" x14ac:dyDescent="0.3">
      <c r="A146" s="24">
        <v>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f t="shared" si="60"/>
        <v>0</v>
      </c>
      <c r="H146" s="3">
        <f t="shared" si="77"/>
        <v>0</v>
      </c>
      <c r="I146" s="3">
        <f t="shared" si="52"/>
        <v>0</v>
      </c>
      <c r="J146" s="3">
        <f t="shared" si="53"/>
        <v>0</v>
      </c>
      <c r="K146" s="3">
        <f t="shared" si="54"/>
        <v>0</v>
      </c>
      <c r="L146" s="3">
        <f t="shared" si="55"/>
        <v>0</v>
      </c>
      <c r="M146" s="3" t="e">
        <f t="shared" si="64"/>
        <v>#DIV/0!</v>
      </c>
      <c r="N146" s="3" t="e">
        <f t="shared" si="73"/>
        <v>#DIV/0!</v>
      </c>
      <c r="O146" s="3" t="e">
        <f t="shared" si="56"/>
        <v>#DIV/0!</v>
      </c>
      <c r="P146" s="3">
        <f t="shared" si="74"/>
        <v>0</v>
      </c>
      <c r="Q146" s="3">
        <f t="shared" si="58"/>
        <v>0</v>
      </c>
      <c r="R146" s="3">
        <f t="shared" si="76"/>
        <v>0</v>
      </c>
      <c r="S146" s="3">
        <f t="shared" si="59"/>
        <v>0</v>
      </c>
      <c r="T146" s="3">
        <f t="shared" si="61"/>
        <v>0</v>
      </c>
      <c r="U146" s="3">
        <f t="shared" si="75"/>
        <v>0</v>
      </c>
      <c r="V146" s="3">
        <f t="shared" si="62"/>
        <v>0</v>
      </c>
      <c r="W146" s="3">
        <f t="shared" si="65"/>
        <v>0</v>
      </c>
      <c r="X146" s="3">
        <f t="shared" si="66"/>
        <v>0</v>
      </c>
      <c r="Y146" s="3">
        <f t="shared" si="67"/>
        <v>0</v>
      </c>
      <c r="Z146" s="3">
        <f t="shared" si="78"/>
        <v>0</v>
      </c>
      <c r="AA146" s="3">
        <f t="shared" si="79"/>
        <v>0</v>
      </c>
      <c r="AB146" s="3" t="e">
        <f t="shared" si="80"/>
        <v>#DIV/0!</v>
      </c>
      <c r="AC146" s="3" t="str">
        <f t="shared" si="81"/>
        <v/>
      </c>
      <c r="AD146" s="3">
        <f t="shared" si="68"/>
        <v>0</v>
      </c>
      <c r="AE146" s="3">
        <f t="shared" si="63"/>
        <v>0</v>
      </c>
      <c r="AF146" s="3">
        <f t="shared" si="69"/>
        <v>0</v>
      </c>
      <c r="AG146" s="3" t="e">
        <f>AF146 / SUM(F$2:F146)</f>
        <v>#DIV/0!</v>
      </c>
      <c r="AH146" s="3" t="e">
        <f t="shared" si="70"/>
        <v>#DIV/0!</v>
      </c>
      <c r="AI146" s="3">
        <f t="shared" si="71"/>
        <v>0</v>
      </c>
      <c r="AJ146" s="3" t="e">
        <f t="shared" si="72"/>
        <v>#DIV/0!</v>
      </c>
      <c r="AK146" s="3" t="e">
        <f t="shared" si="57"/>
        <v>#DIV/0!</v>
      </c>
    </row>
    <row r="147" spans="1:37" x14ac:dyDescent="0.3">
      <c r="A147" s="24">
        <v>0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f t="shared" si="60"/>
        <v>0</v>
      </c>
      <c r="H147" s="3">
        <f t="shared" si="77"/>
        <v>0</v>
      </c>
      <c r="I147" s="3">
        <f t="shared" si="52"/>
        <v>0</v>
      </c>
      <c r="J147" s="3">
        <f t="shared" si="53"/>
        <v>0</v>
      </c>
      <c r="K147" s="3">
        <f t="shared" si="54"/>
        <v>0</v>
      </c>
      <c r="L147" s="3">
        <f t="shared" si="55"/>
        <v>0</v>
      </c>
      <c r="M147" s="3" t="e">
        <f t="shared" si="64"/>
        <v>#DIV/0!</v>
      </c>
      <c r="N147" s="3" t="e">
        <f t="shared" si="73"/>
        <v>#DIV/0!</v>
      </c>
      <c r="O147" s="3" t="e">
        <f t="shared" si="56"/>
        <v>#DIV/0!</v>
      </c>
      <c r="P147" s="3">
        <f t="shared" si="74"/>
        <v>0</v>
      </c>
      <c r="Q147" s="3">
        <f t="shared" si="58"/>
        <v>0</v>
      </c>
      <c r="R147" s="3">
        <f t="shared" si="76"/>
        <v>0</v>
      </c>
      <c r="S147" s="3">
        <f t="shared" si="59"/>
        <v>0</v>
      </c>
      <c r="T147" s="3">
        <f t="shared" si="61"/>
        <v>0</v>
      </c>
      <c r="U147" s="3">
        <f t="shared" si="75"/>
        <v>0</v>
      </c>
      <c r="V147" s="3">
        <f t="shared" si="62"/>
        <v>0</v>
      </c>
      <c r="W147" s="3">
        <f t="shared" si="65"/>
        <v>0</v>
      </c>
      <c r="X147" s="3">
        <f t="shared" si="66"/>
        <v>0</v>
      </c>
      <c r="Y147" s="3">
        <f t="shared" si="67"/>
        <v>0</v>
      </c>
      <c r="Z147" s="3">
        <f t="shared" si="78"/>
        <v>0</v>
      </c>
      <c r="AA147" s="3">
        <f t="shared" si="79"/>
        <v>0</v>
      </c>
      <c r="AB147" s="3" t="e">
        <f t="shared" si="80"/>
        <v>#DIV/0!</v>
      </c>
      <c r="AC147" s="3" t="str">
        <f t="shared" si="81"/>
        <v/>
      </c>
      <c r="AD147" s="3">
        <f t="shared" si="68"/>
        <v>0</v>
      </c>
      <c r="AE147" s="3">
        <f t="shared" si="63"/>
        <v>0</v>
      </c>
      <c r="AF147" s="3">
        <f t="shared" si="69"/>
        <v>0</v>
      </c>
      <c r="AG147" s="3" t="e">
        <f>AF147 / SUM(F$2:F147)</f>
        <v>#DIV/0!</v>
      </c>
      <c r="AH147" s="3" t="e">
        <f t="shared" si="70"/>
        <v>#DIV/0!</v>
      </c>
      <c r="AI147" s="3">
        <f t="shared" si="71"/>
        <v>0</v>
      </c>
      <c r="AJ147" s="3" t="e">
        <f t="shared" si="72"/>
        <v>#DIV/0!</v>
      </c>
      <c r="AK147" s="3" t="e">
        <f t="shared" si="57"/>
        <v>#DIV/0!</v>
      </c>
    </row>
    <row r="148" spans="1:37" x14ac:dyDescent="0.3">
      <c r="A148" s="24">
        <v>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f t="shared" si="60"/>
        <v>0</v>
      </c>
      <c r="H148" s="3">
        <f t="shared" si="77"/>
        <v>0</v>
      </c>
      <c r="I148" s="3">
        <f t="shared" si="52"/>
        <v>0</v>
      </c>
      <c r="J148" s="3">
        <f t="shared" si="53"/>
        <v>0</v>
      </c>
      <c r="K148" s="3">
        <f t="shared" si="54"/>
        <v>0</v>
      </c>
      <c r="L148" s="3">
        <f t="shared" si="55"/>
        <v>0</v>
      </c>
      <c r="M148" s="3" t="e">
        <f t="shared" si="64"/>
        <v>#DIV/0!</v>
      </c>
      <c r="N148" s="3" t="e">
        <f t="shared" si="73"/>
        <v>#DIV/0!</v>
      </c>
      <c r="O148" s="3" t="e">
        <f t="shared" si="56"/>
        <v>#DIV/0!</v>
      </c>
      <c r="P148" s="3">
        <f t="shared" si="74"/>
        <v>0</v>
      </c>
      <c r="Q148" s="3">
        <f t="shared" si="58"/>
        <v>0</v>
      </c>
      <c r="R148" s="3">
        <f t="shared" si="76"/>
        <v>0</v>
      </c>
      <c r="S148" s="3">
        <f t="shared" si="59"/>
        <v>0</v>
      </c>
      <c r="T148" s="3">
        <f t="shared" si="61"/>
        <v>0</v>
      </c>
      <c r="U148" s="3">
        <f t="shared" si="75"/>
        <v>0</v>
      </c>
      <c r="V148" s="3">
        <f t="shared" si="62"/>
        <v>0</v>
      </c>
      <c r="W148" s="3">
        <f t="shared" si="65"/>
        <v>0</v>
      </c>
      <c r="X148" s="3">
        <f t="shared" si="66"/>
        <v>0</v>
      </c>
      <c r="Y148" s="3">
        <f t="shared" si="67"/>
        <v>0</v>
      </c>
      <c r="Z148" s="3">
        <f t="shared" si="78"/>
        <v>0</v>
      </c>
      <c r="AA148" s="3">
        <f t="shared" si="79"/>
        <v>0</v>
      </c>
      <c r="AB148" s="3" t="e">
        <f t="shared" si="80"/>
        <v>#DIV/0!</v>
      </c>
      <c r="AC148" s="3" t="str">
        <f t="shared" si="81"/>
        <v/>
      </c>
      <c r="AD148" s="3">
        <f t="shared" si="68"/>
        <v>0</v>
      </c>
      <c r="AE148" s="3">
        <f t="shared" si="63"/>
        <v>0</v>
      </c>
      <c r="AF148" s="3">
        <f t="shared" si="69"/>
        <v>0</v>
      </c>
      <c r="AG148" s="3" t="e">
        <f>AF148 / SUM(F$2:F148)</f>
        <v>#DIV/0!</v>
      </c>
      <c r="AH148" s="3" t="e">
        <f t="shared" si="70"/>
        <v>#DIV/0!</v>
      </c>
      <c r="AI148" s="3">
        <f t="shared" si="71"/>
        <v>0</v>
      </c>
      <c r="AJ148" s="3" t="e">
        <f t="shared" si="72"/>
        <v>#DIV/0!</v>
      </c>
      <c r="AK148" s="3" t="e">
        <f t="shared" si="57"/>
        <v>#DIV/0!</v>
      </c>
    </row>
    <row r="149" spans="1:37" x14ac:dyDescent="0.3">
      <c r="A149" s="24">
        <v>0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f t="shared" si="60"/>
        <v>0</v>
      </c>
      <c r="H149" s="3">
        <f t="shared" si="77"/>
        <v>0</v>
      </c>
      <c r="I149" s="3">
        <f t="shared" si="52"/>
        <v>0</v>
      </c>
      <c r="J149" s="3">
        <f t="shared" si="53"/>
        <v>0</v>
      </c>
      <c r="K149" s="3">
        <f t="shared" si="54"/>
        <v>0</v>
      </c>
      <c r="L149" s="3">
        <f t="shared" si="55"/>
        <v>0</v>
      </c>
      <c r="M149" s="3" t="e">
        <f t="shared" si="64"/>
        <v>#DIV/0!</v>
      </c>
      <c r="N149" s="3" t="e">
        <f t="shared" si="73"/>
        <v>#DIV/0!</v>
      </c>
      <c r="O149" s="3" t="e">
        <f t="shared" si="56"/>
        <v>#DIV/0!</v>
      </c>
      <c r="P149" s="3">
        <f t="shared" si="74"/>
        <v>0</v>
      </c>
      <c r="Q149" s="3">
        <f t="shared" si="58"/>
        <v>0</v>
      </c>
      <c r="R149" s="3">
        <f t="shared" si="76"/>
        <v>0</v>
      </c>
      <c r="S149" s="3">
        <f t="shared" si="59"/>
        <v>0</v>
      </c>
      <c r="T149" s="3">
        <f t="shared" si="61"/>
        <v>0</v>
      </c>
      <c r="U149" s="3">
        <f t="shared" si="75"/>
        <v>0</v>
      </c>
      <c r="V149" s="3">
        <f t="shared" si="62"/>
        <v>0</v>
      </c>
      <c r="W149" s="3">
        <f t="shared" si="65"/>
        <v>0</v>
      </c>
      <c r="X149" s="3">
        <f t="shared" si="66"/>
        <v>0</v>
      </c>
      <c r="Y149" s="3">
        <f t="shared" si="67"/>
        <v>0</v>
      </c>
      <c r="Z149" s="3">
        <f t="shared" si="78"/>
        <v>0</v>
      </c>
      <c r="AA149" s="3">
        <f t="shared" si="79"/>
        <v>0</v>
      </c>
      <c r="AB149" s="3" t="e">
        <f t="shared" si="80"/>
        <v>#DIV/0!</v>
      </c>
      <c r="AC149" s="3" t="str">
        <f t="shared" si="81"/>
        <v/>
      </c>
      <c r="AD149" s="3">
        <f t="shared" si="68"/>
        <v>0</v>
      </c>
      <c r="AE149" s="3">
        <f t="shared" si="63"/>
        <v>0</v>
      </c>
      <c r="AF149" s="3">
        <f t="shared" si="69"/>
        <v>0</v>
      </c>
      <c r="AG149" s="3" t="e">
        <f>AF149 / SUM(F$2:F149)</f>
        <v>#DIV/0!</v>
      </c>
      <c r="AH149" s="3" t="e">
        <f t="shared" si="70"/>
        <v>#DIV/0!</v>
      </c>
      <c r="AI149" s="3">
        <f t="shared" si="71"/>
        <v>0</v>
      </c>
      <c r="AJ149" s="3" t="e">
        <f t="shared" si="72"/>
        <v>#DIV/0!</v>
      </c>
      <c r="AK149" s="3" t="e">
        <f t="shared" si="57"/>
        <v>#DIV/0!</v>
      </c>
    </row>
    <row r="150" spans="1:37" x14ac:dyDescent="0.3">
      <c r="A150" s="24">
        <v>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f t="shared" si="60"/>
        <v>0</v>
      </c>
      <c r="H150" s="3">
        <f t="shared" si="77"/>
        <v>0</v>
      </c>
      <c r="I150" s="3">
        <f t="shared" ref="I150:I213" si="82">AVERAGE(E131:E150)</f>
        <v>0</v>
      </c>
      <c r="J150" s="3">
        <f t="shared" ref="J150:J213" si="83">_xlfn.STDEV.S(E131:E150)</f>
        <v>0</v>
      </c>
      <c r="K150" s="3">
        <f t="shared" ref="K150:K213" si="84">I150 + 2*J150</f>
        <v>0</v>
      </c>
      <c r="L150" s="3">
        <f t="shared" ref="L150:L213" si="85">I150 - 2*J150</f>
        <v>0</v>
      </c>
      <c r="M150" s="3" t="e">
        <f t="shared" si="64"/>
        <v>#DIV/0!</v>
      </c>
      <c r="N150" s="3" t="e">
        <f t="shared" si="73"/>
        <v>#DIV/0!</v>
      </c>
      <c r="O150" s="3" t="e">
        <f t="shared" ref="O150:O213" si="86">_xlfn.STDEV.S(M131:M150)*SQRT(20)</f>
        <v>#DIV/0!</v>
      </c>
      <c r="P150" s="3">
        <f t="shared" si="74"/>
        <v>0</v>
      </c>
      <c r="Q150" s="3">
        <f t="shared" si="58"/>
        <v>0</v>
      </c>
      <c r="R150" s="3">
        <f t="shared" si="76"/>
        <v>0</v>
      </c>
      <c r="S150" s="3">
        <f t="shared" si="59"/>
        <v>0</v>
      </c>
      <c r="T150" s="3">
        <f t="shared" si="61"/>
        <v>0</v>
      </c>
      <c r="U150" s="3">
        <f t="shared" si="75"/>
        <v>0</v>
      </c>
      <c r="V150" s="3">
        <f t="shared" si="62"/>
        <v>0</v>
      </c>
      <c r="W150" s="3">
        <f t="shared" si="65"/>
        <v>0</v>
      </c>
      <c r="X150" s="3">
        <f t="shared" si="66"/>
        <v>0</v>
      </c>
      <c r="Y150" s="3">
        <f t="shared" si="67"/>
        <v>0</v>
      </c>
      <c r="Z150" s="3">
        <f t="shared" si="78"/>
        <v>0</v>
      </c>
      <c r="AA150" s="3">
        <f t="shared" si="79"/>
        <v>0</v>
      </c>
      <c r="AB150" s="3" t="e">
        <f t="shared" si="80"/>
        <v>#DIV/0!</v>
      </c>
      <c r="AC150" s="3" t="str">
        <f t="shared" si="81"/>
        <v/>
      </c>
      <c r="AD150" s="3">
        <f t="shared" si="68"/>
        <v>0</v>
      </c>
      <c r="AE150" s="3">
        <f t="shared" si="63"/>
        <v>0</v>
      </c>
      <c r="AF150" s="3">
        <f t="shared" si="69"/>
        <v>0</v>
      </c>
      <c r="AG150" s="3" t="e">
        <f>AF150 / SUM(F$2:F150)</f>
        <v>#DIV/0!</v>
      </c>
      <c r="AH150" s="3" t="e">
        <f t="shared" si="70"/>
        <v>#DIV/0!</v>
      </c>
      <c r="AI150" s="3">
        <f t="shared" si="71"/>
        <v>0</v>
      </c>
      <c r="AJ150" s="3" t="e">
        <f t="shared" si="72"/>
        <v>#DIV/0!</v>
      </c>
      <c r="AK150" s="3" t="e">
        <f t="shared" ref="AK150:AK213" si="87">F131 / AVERAGE(F131:F150)</f>
        <v>#DIV/0!</v>
      </c>
    </row>
    <row r="151" spans="1:37" x14ac:dyDescent="0.3">
      <c r="A151" s="24">
        <v>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f t="shared" si="60"/>
        <v>0</v>
      </c>
      <c r="H151" s="3">
        <f t="shared" si="77"/>
        <v>0</v>
      </c>
      <c r="I151" s="3">
        <f t="shared" si="82"/>
        <v>0</v>
      </c>
      <c r="J151" s="3">
        <f t="shared" si="83"/>
        <v>0</v>
      </c>
      <c r="K151" s="3">
        <f t="shared" si="84"/>
        <v>0</v>
      </c>
      <c r="L151" s="3">
        <f t="shared" si="85"/>
        <v>0</v>
      </c>
      <c r="M151" s="3" t="e">
        <f t="shared" si="64"/>
        <v>#DIV/0!</v>
      </c>
      <c r="N151" s="3" t="e">
        <f t="shared" si="73"/>
        <v>#DIV/0!</v>
      </c>
      <c r="O151" s="3" t="e">
        <f t="shared" si="86"/>
        <v>#DIV/0!</v>
      </c>
      <c r="P151" s="3">
        <f t="shared" si="74"/>
        <v>0</v>
      </c>
      <c r="Q151" s="3">
        <f t="shared" si="58"/>
        <v>0</v>
      </c>
      <c r="R151" s="3">
        <f t="shared" si="76"/>
        <v>0</v>
      </c>
      <c r="S151" s="3">
        <f t="shared" si="59"/>
        <v>0</v>
      </c>
      <c r="T151" s="3">
        <f t="shared" si="61"/>
        <v>0</v>
      </c>
      <c r="U151" s="3">
        <f t="shared" si="75"/>
        <v>0</v>
      </c>
      <c r="V151" s="3">
        <f t="shared" si="62"/>
        <v>0</v>
      </c>
      <c r="W151" s="3">
        <f t="shared" si="65"/>
        <v>0</v>
      </c>
      <c r="X151" s="3">
        <f t="shared" si="66"/>
        <v>0</v>
      </c>
      <c r="Y151" s="3">
        <f t="shared" si="67"/>
        <v>0</v>
      </c>
      <c r="Z151" s="3">
        <f t="shared" si="78"/>
        <v>0</v>
      </c>
      <c r="AA151" s="3">
        <f t="shared" si="79"/>
        <v>0</v>
      </c>
      <c r="AB151" s="3" t="e">
        <f t="shared" si="80"/>
        <v>#DIV/0!</v>
      </c>
      <c r="AC151" s="3" t="str">
        <f t="shared" si="81"/>
        <v/>
      </c>
      <c r="AD151" s="3">
        <f t="shared" si="68"/>
        <v>0</v>
      </c>
      <c r="AE151" s="3">
        <f t="shared" si="63"/>
        <v>0</v>
      </c>
      <c r="AF151" s="3">
        <f t="shared" si="69"/>
        <v>0</v>
      </c>
      <c r="AG151" s="3" t="e">
        <f>AF151 / SUM(F$2:F151)</f>
        <v>#DIV/0!</v>
      </c>
      <c r="AH151" s="3" t="e">
        <f t="shared" si="70"/>
        <v>#DIV/0!</v>
      </c>
      <c r="AI151" s="3">
        <f t="shared" si="71"/>
        <v>0</v>
      </c>
      <c r="AJ151" s="3" t="e">
        <f t="shared" si="72"/>
        <v>#DIV/0!</v>
      </c>
      <c r="AK151" s="3" t="e">
        <f t="shared" si="87"/>
        <v>#DIV/0!</v>
      </c>
    </row>
    <row r="152" spans="1:37" x14ac:dyDescent="0.3">
      <c r="A152" s="24">
        <v>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f t="shared" si="60"/>
        <v>0</v>
      </c>
      <c r="H152" s="3">
        <f t="shared" si="77"/>
        <v>0</v>
      </c>
      <c r="I152" s="3">
        <f t="shared" si="82"/>
        <v>0</v>
      </c>
      <c r="J152" s="3">
        <f t="shared" si="83"/>
        <v>0</v>
      </c>
      <c r="K152" s="3">
        <f t="shared" si="84"/>
        <v>0</v>
      </c>
      <c r="L152" s="3">
        <f t="shared" si="85"/>
        <v>0</v>
      </c>
      <c r="M152" s="3" t="e">
        <f t="shared" si="64"/>
        <v>#DIV/0!</v>
      </c>
      <c r="N152" s="3" t="e">
        <f t="shared" si="73"/>
        <v>#DIV/0!</v>
      </c>
      <c r="O152" s="3" t="e">
        <f t="shared" si="86"/>
        <v>#DIV/0!</v>
      </c>
      <c r="P152" s="3">
        <f t="shared" si="74"/>
        <v>0</v>
      </c>
      <c r="Q152" s="3">
        <f t="shared" ref="Q152:Q215" si="88">E152*(2/(21+1)) + Q151*(1-(2/(21+1)))</f>
        <v>0</v>
      </c>
      <c r="R152" s="3">
        <f t="shared" si="76"/>
        <v>0</v>
      </c>
      <c r="S152" s="3">
        <f t="shared" si="59"/>
        <v>0</v>
      </c>
      <c r="T152" s="3">
        <f t="shared" si="61"/>
        <v>0</v>
      </c>
      <c r="U152" s="3">
        <f t="shared" si="75"/>
        <v>0</v>
      </c>
      <c r="V152" s="3">
        <f t="shared" si="62"/>
        <v>0</v>
      </c>
      <c r="W152" s="3">
        <f t="shared" si="65"/>
        <v>0</v>
      </c>
      <c r="X152" s="3">
        <f t="shared" si="66"/>
        <v>0</v>
      </c>
      <c r="Y152" s="3">
        <f t="shared" si="67"/>
        <v>0</v>
      </c>
      <c r="Z152" s="3">
        <f t="shared" si="78"/>
        <v>0</v>
      </c>
      <c r="AA152" s="3">
        <f t="shared" si="79"/>
        <v>0</v>
      </c>
      <c r="AB152" s="3" t="e">
        <f t="shared" si="80"/>
        <v>#DIV/0!</v>
      </c>
      <c r="AC152" s="3" t="str">
        <f t="shared" si="81"/>
        <v/>
      </c>
      <c r="AD152" s="3">
        <f t="shared" si="68"/>
        <v>0</v>
      </c>
      <c r="AE152" s="3">
        <f t="shared" si="63"/>
        <v>0</v>
      </c>
      <c r="AF152" s="3">
        <f t="shared" si="69"/>
        <v>0</v>
      </c>
      <c r="AG152" s="3" t="e">
        <f>AF152 / SUM(F$2:F152)</f>
        <v>#DIV/0!</v>
      </c>
      <c r="AH152" s="3" t="e">
        <f t="shared" si="70"/>
        <v>#DIV/0!</v>
      </c>
      <c r="AI152" s="3">
        <f t="shared" si="71"/>
        <v>0</v>
      </c>
      <c r="AJ152" s="3" t="e">
        <f t="shared" si="72"/>
        <v>#DIV/0!</v>
      </c>
      <c r="AK152" s="3" t="e">
        <f t="shared" si="87"/>
        <v>#DIV/0!</v>
      </c>
    </row>
    <row r="153" spans="1:37" x14ac:dyDescent="0.3">
      <c r="A153" s="24">
        <v>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f t="shared" si="60"/>
        <v>0</v>
      </c>
      <c r="H153" s="3">
        <f t="shared" si="77"/>
        <v>0</v>
      </c>
      <c r="I153" s="3">
        <f t="shared" si="82"/>
        <v>0</v>
      </c>
      <c r="J153" s="3">
        <f t="shared" si="83"/>
        <v>0</v>
      </c>
      <c r="K153" s="3">
        <f t="shared" si="84"/>
        <v>0</v>
      </c>
      <c r="L153" s="3">
        <f t="shared" si="85"/>
        <v>0</v>
      </c>
      <c r="M153" s="3" t="e">
        <f t="shared" si="64"/>
        <v>#DIV/0!</v>
      </c>
      <c r="N153" s="3" t="e">
        <f t="shared" si="73"/>
        <v>#DIV/0!</v>
      </c>
      <c r="O153" s="3" t="e">
        <f t="shared" si="86"/>
        <v>#DIV/0!</v>
      </c>
      <c r="P153" s="3">
        <f t="shared" si="74"/>
        <v>0</v>
      </c>
      <c r="Q153" s="3">
        <f t="shared" si="88"/>
        <v>0</v>
      </c>
      <c r="R153" s="3">
        <f t="shared" si="76"/>
        <v>0</v>
      </c>
      <c r="S153" s="3">
        <f t="shared" si="59"/>
        <v>0</v>
      </c>
      <c r="T153" s="3">
        <f t="shared" si="61"/>
        <v>0</v>
      </c>
      <c r="U153" s="3">
        <f t="shared" si="75"/>
        <v>0</v>
      </c>
      <c r="V153" s="3">
        <f t="shared" si="62"/>
        <v>0</v>
      </c>
      <c r="W153" s="3">
        <f t="shared" si="65"/>
        <v>0</v>
      </c>
      <c r="X153" s="3">
        <f t="shared" si="66"/>
        <v>0</v>
      </c>
      <c r="Y153" s="3">
        <f t="shared" si="67"/>
        <v>0</v>
      </c>
      <c r="Z153" s="3">
        <f t="shared" si="78"/>
        <v>0</v>
      </c>
      <c r="AA153" s="3">
        <f t="shared" si="79"/>
        <v>0</v>
      </c>
      <c r="AB153" s="3" t="e">
        <f t="shared" si="80"/>
        <v>#DIV/0!</v>
      </c>
      <c r="AC153" s="3" t="str">
        <f t="shared" si="81"/>
        <v/>
      </c>
      <c r="AD153" s="3">
        <f t="shared" si="68"/>
        <v>0</v>
      </c>
      <c r="AE153" s="3">
        <f t="shared" si="63"/>
        <v>0</v>
      </c>
      <c r="AF153" s="3">
        <f t="shared" si="69"/>
        <v>0</v>
      </c>
      <c r="AG153" s="3" t="e">
        <f>AF153 / SUM(F$2:F153)</f>
        <v>#DIV/0!</v>
      </c>
      <c r="AH153" s="3" t="e">
        <f t="shared" si="70"/>
        <v>#DIV/0!</v>
      </c>
      <c r="AI153" s="3">
        <f t="shared" si="71"/>
        <v>0</v>
      </c>
      <c r="AJ153" s="3" t="e">
        <f t="shared" si="72"/>
        <v>#DIV/0!</v>
      </c>
      <c r="AK153" s="3" t="e">
        <f t="shared" si="87"/>
        <v>#DIV/0!</v>
      </c>
    </row>
    <row r="154" spans="1:37" x14ac:dyDescent="0.3">
      <c r="A154" s="24">
        <v>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f t="shared" si="60"/>
        <v>0</v>
      </c>
      <c r="H154" s="3">
        <f t="shared" si="77"/>
        <v>0</v>
      </c>
      <c r="I154" s="3">
        <f t="shared" si="82"/>
        <v>0</v>
      </c>
      <c r="J154" s="3">
        <f t="shared" si="83"/>
        <v>0</v>
      </c>
      <c r="K154" s="3">
        <f t="shared" si="84"/>
        <v>0</v>
      </c>
      <c r="L154" s="3">
        <f t="shared" si="85"/>
        <v>0</v>
      </c>
      <c r="M154" s="3" t="e">
        <f t="shared" si="64"/>
        <v>#DIV/0!</v>
      </c>
      <c r="N154" s="3" t="e">
        <f t="shared" si="73"/>
        <v>#DIV/0!</v>
      </c>
      <c r="O154" s="3" t="e">
        <f t="shared" si="86"/>
        <v>#DIV/0!</v>
      </c>
      <c r="P154" s="3">
        <f t="shared" si="74"/>
        <v>0</v>
      </c>
      <c r="Q154" s="3">
        <f t="shared" si="88"/>
        <v>0</v>
      </c>
      <c r="R154" s="3">
        <f t="shared" si="76"/>
        <v>0</v>
      </c>
      <c r="S154" s="3">
        <f t="shared" si="59"/>
        <v>0</v>
      </c>
      <c r="T154" s="3">
        <f t="shared" si="61"/>
        <v>0</v>
      </c>
      <c r="U154" s="3">
        <f t="shared" si="75"/>
        <v>0</v>
      </c>
      <c r="V154" s="3">
        <f t="shared" si="62"/>
        <v>0</v>
      </c>
      <c r="W154" s="3">
        <f t="shared" si="65"/>
        <v>0</v>
      </c>
      <c r="X154" s="3">
        <f t="shared" si="66"/>
        <v>0</v>
      </c>
      <c r="Y154" s="3">
        <f t="shared" si="67"/>
        <v>0</v>
      </c>
      <c r="Z154" s="3">
        <f t="shared" si="78"/>
        <v>0</v>
      </c>
      <c r="AA154" s="3">
        <f t="shared" si="79"/>
        <v>0</v>
      </c>
      <c r="AB154" s="3" t="e">
        <f t="shared" si="80"/>
        <v>#DIV/0!</v>
      </c>
      <c r="AC154" s="3" t="str">
        <f t="shared" si="81"/>
        <v/>
      </c>
      <c r="AD154" s="3">
        <f t="shared" si="68"/>
        <v>0</v>
      </c>
      <c r="AE154" s="3">
        <f t="shared" si="63"/>
        <v>0</v>
      </c>
      <c r="AF154" s="3">
        <f t="shared" si="69"/>
        <v>0</v>
      </c>
      <c r="AG154" s="3" t="e">
        <f>AF154 / SUM(F$2:F154)</f>
        <v>#DIV/0!</v>
      </c>
      <c r="AH154" s="3" t="e">
        <f t="shared" si="70"/>
        <v>#DIV/0!</v>
      </c>
      <c r="AI154" s="3">
        <f t="shared" si="71"/>
        <v>0</v>
      </c>
      <c r="AJ154" s="3" t="e">
        <f t="shared" si="72"/>
        <v>#DIV/0!</v>
      </c>
      <c r="AK154" s="3" t="e">
        <f t="shared" si="87"/>
        <v>#DIV/0!</v>
      </c>
    </row>
    <row r="155" spans="1:37" x14ac:dyDescent="0.3">
      <c r="A155" s="24">
        <v>0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f t="shared" si="60"/>
        <v>0</v>
      </c>
      <c r="H155" s="3">
        <f t="shared" si="77"/>
        <v>0</v>
      </c>
      <c r="I155" s="3">
        <f t="shared" si="82"/>
        <v>0</v>
      </c>
      <c r="J155" s="3">
        <f t="shared" si="83"/>
        <v>0</v>
      </c>
      <c r="K155" s="3">
        <f t="shared" si="84"/>
        <v>0</v>
      </c>
      <c r="L155" s="3">
        <f t="shared" si="85"/>
        <v>0</v>
      </c>
      <c r="M155" s="3" t="e">
        <f t="shared" si="64"/>
        <v>#DIV/0!</v>
      </c>
      <c r="N155" s="3" t="e">
        <f t="shared" si="73"/>
        <v>#DIV/0!</v>
      </c>
      <c r="O155" s="3" t="e">
        <f t="shared" si="86"/>
        <v>#DIV/0!</v>
      </c>
      <c r="P155" s="3">
        <f t="shared" si="74"/>
        <v>0</v>
      </c>
      <c r="Q155" s="3">
        <f t="shared" si="88"/>
        <v>0</v>
      </c>
      <c r="R155" s="3">
        <f t="shared" si="76"/>
        <v>0</v>
      </c>
      <c r="S155" s="3">
        <f t="shared" si="59"/>
        <v>0</v>
      </c>
      <c r="T155" s="3">
        <f t="shared" si="61"/>
        <v>0</v>
      </c>
      <c r="U155" s="3">
        <f t="shared" si="75"/>
        <v>0</v>
      </c>
      <c r="V155" s="3">
        <f t="shared" si="62"/>
        <v>0</v>
      </c>
      <c r="W155" s="3">
        <f t="shared" si="65"/>
        <v>0</v>
      </c>
      <c r="X155" s="3">
        <f t="shared" si="66"/>
        <v>0</v>
      </c>
      <c r="Y155" s="3">
        <f t="shared" si="67"/>
        <v>0</v>
      </c>
      <c r="Z155" s="3">
        <f t="shared" si="78"/>
        <v>0</v>
      </c>
      <c r="AA155" s="3">
        <f t="shared" si="79"/>
        <v>0</v>
      </c>
      <c r="AB155" s="3" t="e">
        <f t="shared" si="80"/>
        <v>#DIV/0!</v>
      </c>
      <c r="AC155" s="3" t="str">
        <f t="shared" si="81"/>
        <v/>
      </c>
      <c r="AD155" s="3">
        <f t="shared" si="68"/>
        <v>0</v>
      </c>
      <c r="AE155" s="3">
        <f t="shared" si="63"/>
        <v>0</v>
      </c>
      <c r="AF155" s="3">
        <f t="shared" si="69"/>
        <v>0</v>
      </c>
      <c r="AG155" s="3" t="e">
        <f>AF155 / SUM(F$2:F155)</f>
        <v>#DIV/0!</v>
      </c>
      <c r="AH155" s="3" t="e">
        <f t="shared" si="70"/>
        <v>#DIV/0!</v>
      </c>
      <c r="AI155" s="3">
        <f t="shared" si="71"/>
        <v>0</v>
      </c>
      <c r="AJ155" s="3" t="e">
        <f t="shared" si="72"/>
        <v>#DIV/0!</v>
      </c>
      <c r="AK155" s="3" t="e">
        <f t="shared" si="87"/>
        <v>#DIV/0!</v>
      </c>
    </row>
    <row r="156" spans="1:37" x14ac:dyDescent="0.3">
      <c r="A156" s="24">
        <v>0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f t="shared" si="60"/>
        <v>0</v>
      </c>
      <c r="H156" s="3">
        <f t="shared" si="77"/>
        <v>0</v>
      </c>
      <c r="I156" s="3">
        <f t="shared" si="82"/>
        <v>0</v>
      </c>
      <c r="J156" s="3">
        <f t="shared" si="83"/>
        <v>0</v>
      </c>
      <c r="K156" s="3">
        <f t="shared" si="84"/>
        <v>0</v>
      </c>
      <c r="L156" s="3">
        <f t="shared" si="85"/>
        <v>0</v>
      </c>
      <c r="M156" s="3" t="e">
        <f t="shared" si="64"/>
        <v>#DIV/0!</v>
      </c>
      <c r="N156" s="3" t="e">
        <f t="shared" si="73"/>
        <v>#DIV/0!</v>
      </c>
      <c r="O156" s="3" t="e">
        <f t="shared" si="86"/>
        <v>#DIV/0!</v>
      </c>
      <c r="P156" s="3">
        <f t="shared" si="74"/>
        <v>0</v>
      </c>
      <c r="Q156" s="3">
        <f t="shared" si="88"/>
        <v>0</v>
      </c>
      <c r="R156" s="3">
        <f t="shared" si="76"/>
        <v>0</v>
      </c>
      <c r="S156" s="3">
        <f t="shared" si="59"/>
        <v>0</v>
      </c>
      <c r="T156" s="3">
        <f t="shared" si="61"/>
        <v>0</v>
      </c>
      <c r="U156" s="3">
        <f t="shared" si="75"/>
        <v>0</v>
      </c>
      <c r="V156" s="3">
        <f t="shared" si="62"/>
        <v>0</v>
      </c>
      <c r="W156" s="3">
        <f t="shared" si="65"/>
        <v>0</v>
      </c>
      <c r="X156" s="3">
        <f t="shared" si="66"/>
        <v>0</v>
      </c>
      <c r="Y156" s="3">
        <f t="shared" si="67"/>
        <v>0</v>
      </c>
      <c r="Z156" s="3">
        <f t="shared" si="78"/>
        <v>0</v>
      </c>
      <c r="AA156" s="3">
        <f t="shared" si="79"/>
        <v>0</v>
      </c>
      <c r="AB156" s="3" t="e">
        <f t="shared" si="80"/>
        <v>#DIV/0!</v>
      </c>
      <c r="AC156" s="3" t="str">
        <f t="shared" si="81"/>
        <v/>
      </c>
      <c r="AD156" s="3">
        <f t="shared" si="68"/>
        <v>0</v>
      </c>
      <c r="AE156" s="3">
        <f t="shared" si="63"/>
        <v>0</v>
      </c>
      <c r="AF156" s="3">
        <f t="shared" si="69"/>
        <v>0</v>
      </c>
      <c r="AG156" s="3" t="e">
        <f>AF156 / SUM(F$2:F156)</f>
        <v>#DIV/0!</v>
      </c>
      <c r="AH156" s="3" t="e">
        <f t="shared" si="70"/>
        <v>#DIV/0!</v>
      </c>
      <c r="AI156" s="3">
        <f t="shared" si="71"/>
        <v>0</v>
      </c>
      <c r="AJ156" s="3" t="e">
        <f t="shared" si="72"/>
        <v>#DIV/0!</v>
      </c>
      <c r="AK156" s="3" t="e">
        <f t="shared" si="87"/>
        <v>#DIV/0!</v>
      </c>
    </row>
    <row r="157" spans="1:37" x14ac:dyDescent="0.3">
      <c r="A157" s="24">
        <v>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f t="shared" si="60"/>
        <v>0</v>
      </c>
      <c r="H157" s="3">
        <f t="shared" si="77"/>
        <v>0</v>
      </c>
      <c r="I157" s="3">
        <f t="shared" si="82"/>
        <v>0</v>
      </c>
      <c r="J157" s="3">
        <f t="shared" si="83"/>
        <v>0</v>
      </c>
      <c r="K157" s="3">
        <f t="shared" si="84"/>
        <v>0</v>
      </c>
      <c r="L157" s="3">
        <f t="shared" si="85"/>
        <v>0</v>
      </c>
      <c r="M157" s="3" t="e">
        <f t="shared" si="64"/>
        <v>#DIV/0!</v>
      </c>
      <c r="N157" s="3" t="e">
        <f t="shared" si="73"/>
        <v>#DIV/0!</v>
      </c>
      <c r="O157" s="3" t="e">
        <f t="shared" si="86"/>
        <v>#DIV/0!</v>
      </c>
      <c r="P157" s="3">
        <f t="shared" si="74"/>
        <v>0</v>
      </c>
      <c r="Q157" s="3">
        <f t="shared" si="88"/>
        <v>0</v>
      </c>
      <c r="R157" s="3">
        <f t="shared" si="76"/>
        <v>0</v>
      </c>
      <c r="S157" s="3">
        <f t="shared" ref="S157:S220" si="89">E157*(2/(26+1)) + S156*(1-(2/(26+1)))</f>
        <v>0</v>
      </c>
      <c r="T157" s="3">
        <f t="shared" si="61"/>
        <v>0</v>
      </c>
      <c r="U157" s="3">
        <f t="shared" si="75"/>
        <v>0</v>
      </c>
      <c r="V157" s="3">
        <f t="shared" si="62"/>
        <v>0</v>
      </c>
      <c r="W157" s="3">
        <f t="shared" si="65"/>
        <v>0</v>
      </c>
      <c r="X157" s="3">
        <f t="shared" si="66"/>
        <v>0</v>
      </c>
      <c r="Y157" s="3">
        <f t="shared" si="67"/>
        <v>0</v>
      </c>
      <c r="Z157" s="3">
        <f t="shared" si="78"/>
        <v>0</v>
      </c>
      <c r="AA157" s="3">
        <f t="shared" si="79"/>
        <v>0</v>
      </c>
      <c r="AB157" s="3" t="e">
        <f t="shared" si="80"/>
        <v>#DIV/0!</v>
      </c>
      <c r="AC157" s="3" t="str">
        <f t="shared" si="81"/>
        <v/>
      </c>
      <c r="AD157" s="3">
        <f t="shared" si="68"/>
        <v>0</v>
      </c>
      <c r="AE157" s="3">
        <f t="shared" si="63"/>
        <v>0</v>
      </c>
      <c r="AF157" s="3">
        <f t="shared" si="69"/>
        <v>0</v>
      </c>
      <c r="AG157" s="3" t="e">
        <f>AF157 / SUM(F$2:F157)</f>
        <v>#DIV/0!</v>
      </c>
      <c r="AH157" s="3" t="e">
        <f t="shared" si="70"/>
        <v>#DIV/0!</v>
      </c>
      <c r="AI157" s="3">
        <f t="shared" si="71"/>
        <v>0</v>
      </c>
      <c r="AJ157" s="3" t="e">
        <f t="shared" si="72"/>
        <v>#DIV/0!</v>
      </c>
      <c r="AK157" s="3" t="e">
        <f t="shared" si="87"/>
        <v>#DIV/0!</v>
      </c>
    </row>
    <row r="158" spans="1:37" x14ac:dyDescent="0.3">
      <c r="A158" s="24">
        <v>0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f t="shared" si="60"/>
        <v>0</v>
      </c>
      <c r="H158" s="3">
        <f t="shared" si="77"/>
        <v>0</v>
      </c>
      <c r="I158" s="3">
        <f t="shared" si="82"/>
        <v>0</v>
      </c>
      <c r="J158" s="3">
        <f t="shared" si="83"/>
        <v>0</v>
      </c>
      <c r="K158" s="3">
        <f t="shared" si="84"/>
        <v>0</v>
      </c>
      <c r="L158" s="3">
        <f t="shared" si="85"/>
        <v>0</v>
      </c>
      <c r="M158" s="3" t="e">
        <f t="shared" si="64"/>
        <v>#DIV/0!</v>
      </c>
      <c r="N158" s="3" t="e">
        <f t="shared" si="73"/>
        <v>#DIV/0!</v>
      </c>
      <c r="O158" s="3" t="e">
        <f t="shared" si="86"/>
        <v>#DIV/0!</v>
      </c>
      <c r="P158" s="3">
        <f t="shared" si="74"/>
        <v>0</v>
      </c>
      <c r="Q158" s="3">
        <f t="shared" si="88"/>
        <v>0</v>
      </c>
      <c r="R158" s="3">
        <f t="shared" si="76"/>
        <v>0</v>
      </c>
      <c r="S158" s="3">
        <f t="shared" si="89"/>
        <v>0</v>
      </c>
      <c r="T158" s="3">
        <f t="shared" si="61"/>
        <v>0</v>
      </c>
      <c r="U158" s="3">
        <f t="shared" si="75"/>
        <v>0</v>
      </c>
      <c r="V158" s="3">
        <f t="shared" si="62"/>
        <v>0</v>
      </c>
      <c r="W158" s="3">
        <f t="shared" si="65"/>
        <v>0</v>
      </c>
      <c r="X158" s="3">
        <f t="shared" si="66"/>
        <v>0</v>
      </c>
      <c r="Y158" s="3">
        <f t="shared" si="67"/>
        <v>0</v>
      </c>
      <c r="Z158" s="3">
        <f t="shared" si="78"/>
        <v>0</v>
      </c>
      <c r="AA158" s="3">
        <f t="shared" si="79"/>
        <v>0</v>
      </c>
      <c r="AB158" s="3" t="e">
        <f t="shared" si="80"/>
        <v>#DIV/0!</v>
      </c>
      <c r="AC158" s="3" t="str">
        <f t="shared" si="81"/>
        <v/>
      </c>
      <c r="AD158" s="3">
        <f t="shared" si="68"/>
        <v>0</v>
      </c>
      <c r="AE158" s="3">
        <f t="shared" si="63"/>
        <v>0</v>
      </c>
      <c r="AF158" s="3">
        <f t="shared" si="69"/>
        <v>0</v>
      </c>
      <c r="AG158" s="3" t="e">
        <f>AF158 / SUM(F$2:F158)</f>
        <v>#DIV/0!</v>
      </c>
      <c r="AH158" s="3" t="e">
        <f t="shared" si="70"/>
        <v>#DIV/0!</v>
      </c>
      <c r="AI158" s="3">
        <f t="shared" si="71"/>
        <v>0</v>
      </c>
      <c r="AJ158" s="3" t="e">
        <f t="shared" si="72"/>
        <v>#DIV/0!</v>
      </c>
      <c r="AK158" s="3" t="e">
        <f t="shared" si="87"/>
        <v>#DIV/0!</v>
      </c>
    </row>
    <row r="159" spans="1:37" x14ac:dyDescent="0.3">
      <c r="A159" s="24">
        <v>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f t="shared" si="60"/>
        <v>0</v>
      </c>
      <c r="H159" s="3">
        <f t="shared" si="77"/>
        <v>0</v>
      </c>
      <c r="I159" s="3">
        <f t="shared" si="82"/>
        <v>0</v>
      </c>
      <c r="J159" s="3">
        <f t="shared" si="83"/>
        <v>0</v>
      </c>
      <c r="K159" s="3">
        <f t="shared" si="84"/>
        <v>0</v>
      </c>
      <c r="L159" s="3">
        <f t="shared" si="85"/>
        <v>0</v>
      </c>
      <c r="M159" s="3" t="e">
        <f t="shared" si="64"/>
        <v>#DIV/0!</v>
      </c>
      <c r="N159" s="3" t="e">
        <f t="shared" si="73"/>
        <v>#DIV/0!</v>
      </c>
      <c r="O159" s="3" t="e">
        <f t="shared" si="86"/>
        <v>#DIV/0!</v>
      </c>
      <c r="P159" s="3">
        <f t="shared" si="74"/>
        <v>0</v>
      </c>
      <c r="Q159" s="3">
        <f t="shared" si="88"/>
        <v>0</v>
      </c>
      <c r="R159" s="3">
        <f t="shared" si="76"/>
        <v>0</v>
      </c>
      <c r="S159" s="3">
        <f t="shared" si="89"/>
        <v>0</v>
      </c>
      <c r="T159" s="3">
        <f t="shared" si="61"/>
        <v>0</v>
      </c>
      <c r="U159" s="3">
        <f t="shared" si="75"/>
        <v>0</v>
      </c>
      <c r="V159" s="3">
        <f t="shared" si="62"/>
        <v>0</v>
      </c>
      <c r="W159" s="3">
        <f t="shared" si="65"/>
        <v>0</v>
      </c>
      <c r="X159" s="3">
        <f t="shared" si="66"/>
        <v>0</v>
      </c>
      <c r="Y159" s="3">
        <f t="shared" si="67"/>
        <v>0</v>
      </c>
      <c r="Z159" s="3">
        <f t="shared" si="78"/>
        <v>0</v>
      </c>
      <c r="AA159" s="3">
        <f t="shared" si="79"/>
        <v>0</v>
      </c>
      <c r="AB159" s="3" t="e">
        <f t="shared" si="80"/>
        <v>#DIV/0!</v>
      </c>
      <c r="AC159" s="3" t="str">
        <f t="shared" si="81"/>
        <v/>
      </c>
      <c r="AD159" s="3">
        <f t="shared" si="68"/>
        <v>0</v>
      </c>
      <c r="AE159" s="3">
        <f t="shared" si="63"/>
        <v>0</v>
      </c>
      <c r="AF159" s="3">
        <f t="shared" si="69"/>
        <v>0</v>
      </c>
      <c r="AG159" s="3" t="e">
        <f>AF159 / SUM(F$2:F159)</f>
        <v>#DIV/0!</v>
      </c>
      <c r="AH159" s="3" t="e">
        <f t="shared" si="70"/>
        <v>#DIV/0!</v>
      </c>
      <c r="AI159" s="3">
        <f t="shared" si="71"/>
        <v>0</v>
      </c>
      <c r="AJ159" s="3" t="e">
        <f t="shared" si="72"/>
        <v>#DIV/0!</v>
      </c>
      <c r="AK159" s="3" t="e">
        <f t="shared" si="87"/>
        <v>#DIV/0!</v>
      </c>
    </row>
    <row r="160" spans="1:37" x14ac:dyDescent="0.3">
      <c r="A160" s="24">
        <v>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f t="shared" si="60"/>
        <v>0</v>
      </c>
      <c r="H160" s="3">
        <f t="shared" si="77"/>
        <v>0</v>
      </c>
      <c r="I160" s="3">
        <f t="shared" si="82"/>
        <v>0</v>
      </c>
      <c r="J160" s="3">
        <f t="shared" si="83"/>
        <v>0</v>
      </c>
      <c r="K160" s="3">
        <f t="shared" si="84"/>
        <v>0</v>
      </c>
      <c r="L160" s="3">
        <f t="shared" si="85"/>
        <v>0</v>
      </c>
      <c r="M160" s="3" t="e">
        <f t="shared" si="64"/>
        <v>#DIV/0!</v>
      </c>
      <c r="N160" s="3" t="e">
        <f t="shared" si="73"/>
        <v>#DIV/0!</v>
      </c>
      <c r="O160" s="3" t="e">
        <f t="shared" si="86"/>
        <v>#DIV/0!</v>
      </c>
      <c r="P160" s="3">
        <f t="shared" si="74"/>
        <v>0</v>
      </c>
      <c r="Q160" s="3">
        <f t="shared" si="88"/>
        <v>0</v>
      </c>
      <c r="R160" s="3">
        <f t="shared" si="76"/>
        <v>0</v>
      </c>
      <c r="S160" s="3">
        <f t="shared" si="89"/>
        <v>0</v>
      </c>
      <c r="T160" s="3">
        <f t="shared" si="61"/>
        <v>0</v>
      </c>
      <c r="U160" s="3">
        <f t="shared" si="75"/>
        <v>0</v>
      </c>
      <c r="V160" s="3">
        <f t="shared" si="62"/>
        <v>0</v>
      </c>
      <c r="W160" s="3">
        <f t="shared" si="65"/>
        <v>0</v>
      </c>
      <c r="X160" s="3">
        <f t="shared" si="66"/>
        <v>0</v>
      </c>
      <c r="Y160" s="3">
        <f t="shared" si="67"/>
        <v>0</v>
      </c>
      <c r="Z160" s="3">
        <f t="shared" si="78"/>
        <v>0</v>
      </c>
      <c r="AA160" s="3">
        <f t="shared" si="79"/>
        <v>0</v>
      </c>
      <c r="AB160" s="3" t="e">
        <f t="shared" si="80"/>
        <v>#DIV/0!</v>
      </c>
      <c r="AC160" s="3" t="str">
        <f t="shared" si="81"/>
        <v/>
      </c>
      <c r="AD160" s="3">
        <f t="shared" si="68"/>
        <v>0</v>
      </c>
      <c r="AE160" s="3">
        <f t="shared" si="63"/>
        <v>0</v>
      </c>
      <c r="AF160" s="3">
        <f t="shared" si="69"/>
        <v>0</v>
      </c>
      <c r="AG160" s="3" t="e">
        <f>AF160 / SUM(F$2:F160)</f>
        <v>#DIV/0!</v>
      </c>
      <c r="AH160" s="3" t="e">
        <f t="shared" si="70"/>
        <v>#DIV/0!</v>
      </c>
      <c r="AI160" s="3">
        <f t="shared" si="71"/>
        <v>0</v>
      </c>
      <c r="AJ160" s="3" t="e">
        <f t="shared" si="72"/>
        <v>#DIV/0!</v>
      </c>
      <c r="AK160" s="3" t="e">
        <f t="shared" si="87"/>
        <v>#DIV/0!</v>
      </c>
    </row>
    <row r="161" spans="1:37" x14ac:dyDescent="0.3">
      <c r="A161" s="24">
        <v>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f t="shared" si="60"/>
        <v>0</v>
      </c>
      <c r="H161" s="3">
        <f t="shared" si="77"/>
        <v>0</v>
      </c>
      <c r="I161" s="3">
        <f t="shared" si="82"/>
        <v>0</v>
      </c>
      <c r="J161" s="3">
        <f t="shared" si="83"/>
        <v>0</v>
      </c>
      <c r="K161" s="3">
        <f t="shared" si="84"/>
        <v>0</v>
      </c>
      <c r="L161" s="3">
        <f t="shared" si="85"/>
        <v>0</v>
      </c>
      <c r="M161" s="3" t="e">
        <f t="shared" si="64"/>
        <v>#DIV/0!</v>
      </c>
      <c r="N161" s="3" t="e">
        <f t="shared" si="73"/>
        <v>#DIV/0!</v>
      </c>
      <c r="O161" s="3" t="e">
        <f t="shared" si="86"/>
        <v>#DIV/0!</v>
      </c>
      <c r="P161" s="3">
        <f t="shared" si="74"/>
        <v>0</v>
      </c>
      <c r="Q161" s="3">
        <f t="shared" si="88"/>
        <v>0</v>
      </c>
      <c r="R161" s="3">
        <f t="shared" si="76"/>
        <v>0</v>
      </c>
      <c r="S161" s="3">
        <f t="shared" si="89"/>
        <v>0</v>
      </c>
      <c r="T161" s="3">
        <f t="shared" si="61"/>
        <v>0</v>
      </c>
      <c r="U161" s="3">
        <f t="shared" si="75"/>
        <v>0</v>
      </c>
      <c r="V161" s="3">
        <f t="shared" si="62"/>
        <v>0</v>
      </c>
      <c r="W161" s="3">
        <f t="shared" si="65"/>
        <v>0</v>
      </c>
      <c r="X161" s="3">
        <f t="shared" si="66"/>
        <v>0</v>
      </c>
      <c r="Y161" s="3">
        <f t="shared" si="67"/>
        <v>0</v>
      </c>
      <c r="Z161" s="3">
        <f t="shared" si="78"/>
        <v>0</v>
      </c>
      <c r="AA161" s="3">
        <f t="shared" si="79"/>
        <v>0</v>
      </c>
      <c r="AB161" s="3" t="e">
        <f t="shared" si="80"/>
        <v>#DIV/0!</v>
      </c>
      <c r="AC161" s="3" t="str">
        <f t="shared" si="81"/>
        <v/>
      </c>
      <c r="AD161" s="3">
        <f t="shared" si="68"/>
        <v>0</v>
      </c>
      <c r="AE161" s="3">
        <f t="shared" si="63"/>
        <v>0</v>
      </c>
      <c r="AF161" s="3">
        <f t="shared" si="69"/>
        <v>0</v>
      </c>
      <c r="AG161" s="3" t="e">
        <f>AF161 / SUM(F$2:F161)</f>
        <v>#DIV/0!</v>
      </c>
      <c r="AH161" s="3" t="e">
        <f t="shared" si="70"/>
        <v>#DIV/0!</v>
      </c>
      <c r="AI161" s="3">
        <f t="shared" si="71"/>
        <v>0</v>
      </c>
      <c r="AJ161" s="3" t="e">
        <f t="shared" si="72"/>
        <v>#DIV/0!</v>
      </c>
      <c r="AK161" s="3" t="e">
        <f t="shared" si="87"/>
        <v>#DIV/0!</v>
      </c>
    </row>
    <row r="162" spans="1:37" x14ac:dyDescent="0.3">
      <c r="A162" s="24">
        <v>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f t="shared" si="60"/>
        <v>0</v>
      </c>
      <c r="H162" s="3">
        <f t="shared" si="77"/>
        <v>0</v>
      </c>
      <c r="I162" s="3">
        <f t="shared" si="82"/>
        <v>0</v>
      </c>
      <c r="J162" s="3">
        <f t="shared" si="83"/>
        <v>0</v>
      </c>
      <c r="K162" s="3">
        <f t="shared" si="84"/>
        <v>0</v>
      </c>
      <c r="L162" s="3">
        <f t="shared" si="85"/>
        <v>0</v>
      </c>
      <c r="M162" s="3" t="e">
        <f t="shared" si="64"/>
        <v>#DIV/0!</v>
      </c>
      <c r="N162" s="3" t="e">
        <f t="shared" si="73"/>
        <v>#DIV/0!</v>
      </c>
      <c r="O162" s="3" t="e">
        <f t="shared" si="86"/>
        <v>#DIV/0!</v>
      </c>
      <c r="P162" s="3">
        <f t="shared" si="74"/>
        <v>0</v>
      </c>
      <c r="Q162" s="3">
        <f t="shared" si="88"/>
        <v>0</v>
      </c>
      <c r="R162" s="3">
        <f t="shared" si="76"/>
        <v>0</v>
      </c>
      <c r="S162" s="3">
        <f t="shared" si="89"/>
        <v>0</v>
      </c>
      <c r="T162" s="3">
        <f t="shared" si="61"/>
        <v>0</v>
      </c>
      <c r="U162" s="3">
        <f t="shared" si="75"/>
        <v>0</v>
      </c>
      <c r="V162" s="3">
        <f t="shared" si="62"/>
        <v>0</v>
      </c>
      <c r="W162" s="3">
        <f t="shared" si="65"/>
        <v>0</v>
      </c>
      <c r="X162" s="3">
        <f t="shared" si="66"/>
        <v>0</v>
      </c>
      <c r="Y162" s="3">
        <f t="shared" si="67"/>
        <v>0</v>
      </c>
      <c r="Z162" s="3">
        <f t="shared" si="78"/>
        <v>0</v>
      </c>
      <c r="AA162" s="3">
        <f t="shared" si="79"/>
        <v>0</v>
      </c>
      <c r="AB162" s="3" t="e">
        <f t="shared" si="80"/>
        <v>#DIV/0!</v>
      </c>
      <c r="AC162" s="3" t="str">
        <f t="shared" si="81"/>
        <v/>
      </c>
      <c r="AD162" s="3">
        <f t="shared" si="68"/>
        <v>0</v>
      </c>
      <c r="AE162" s="3">
        <f t="shared" si="63"/>
        <v>0</v>
      </c>
      <c r="AF162" s="3">
        <f t="shared" si="69"/>
        <v>0</v>
      </c>
      <c r="AG162" s="3" t="e">
        <f>AF162 / SUM(F$2:F162)</f>
        <v>#DIV/0!</v>
      </c>
      <c r="AH162" s="3" t="e">
        <f t="shared" si="70"/>
        <v>#DIV/0!</v>
      </c>
      <c r="AI162" s="3">
        <f t="shared" si="71"/>
        <v>0</v>
      </c>
      <c r="AJ162" s="3" t="e">
        <f t="shared" si="72"/>
        <v>#DIV/0!</v>
      </c>
      <c r="AK162" s="3" t="e">
        <f t="shared" si="87"/>
        <v>#DIV/0!</v>
      </c>
    </row>
    <row r="163" spans="1:37" x14ac:dyDescent="0.3">
      <c r="A163" s="24">
        <v>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f t="shared" si="60"/>
        <v>0</v>
      </c>
      <c r="H163" s="3">
        <f t="shared" si="77"/>
        <v>0</v>
      </c>
      <c r="I163" s="3">
        <f t="shared" si="82"/>
        <v>0</v>
      </c>
      <c r="J163" s="3">
        <f t="shared" si="83"/>
        <v>0</v>
      </c>
      <c r="K163" s="3">
        <f t="shared" si="84"/>
        <v>0</v>
      </c>
      <c r="L163" s="3">
        <f t="shared" si="85"/>
        <v>0</v>
      </c>
      <c r="M163" s="3" t="e">
        <f t="shared" si="64"/>
        <v>#DIV/0!</v>
      </c>
      <c r="N163" s="3" t="e">
        <f t="shared" si="73"/>
        <v>#DIV/0!</v>
      </c>
      <c r="O163" s="3" t="e">
        <f t="shared" si="86"/>
        <v>#DIV/0!</v>
      </c>
      <c r="P163" s="3">
        <f t="shared" si="74"/>
        <v>0</v>
      </c>
      <c r="Q163" s="3">
        <f t="shared" si="88"/>
        <v>0</v>
      </c>
      <c r="R163" s="3">
        <f t="shared" si="76"/>
        <v>0</v>
      </c>
      <c r="S163" s="3">
        <f t="shared" si="89"/>
        <v>0</v>
      </c>
      <c r="T163" s="3">
        <f t="shared" si="61"/>
        <v>0</v>
      </c>
      <c r="U163" s="3">
        <f t="shared" si="75"/>
        <v>0</v>
      </c>
      <c r="V163" s="3">
        <f t="shared" si="62"/>
        <v>0</v>
      </c>
      <c r="W163" s="3">
        <f t="shared" si="65"/>
        <v>0</v>
      </c>
      <c r="X163" s="3">
        <f t="shared" si="66"/>
        <v>0</v>
      </c>
      <c r="Y163" s="3">
        <f t="shared" si="67"/>
        <v>0</v>
      </c>
      <c r="Z163" s="3">
        <f t="shared" si="78"/>
        <v>0</v>
      </c>
      <c r="AA163" s="3">
        <f t="shared" si="79"/>
        <v>0</v>
      </c>
      <c r="AB163" s="3" t="e">
        <f t="shared" si="80"/>
        <v>#DIV/0!</v>
      </c>
      <c r="AC163" s="3" t="str">
        <f t="shared" si="81"/>
        <v/>
      </c>
      <c r="AD163" s="3">
        <f t="shared" si="68"/>
        <v>0</v>
      </c>
      <c r="AE163" s="3">
        <f t="shared" si="63"/>
        <v>0</v>
      </c>
      <c r="AF163" s="3">
        <f t="shared" si="69"/>
        <v>0</v>
      </c>
      <c r="AG163" s="3" t="e">
        <f>AF163 / SUM(F$2:F163)</f>
        <v>#DIV/0!</v>
      </c>
      <c r="AH163" s="3" t="e">
        <f t="shared" si="70"/>
        <v>#DIV/0!</v>
      </c>
      <c r="AI163" s="3">
        <f t="shared" si="71"/>
        <v>0</v>
      </c>
      <c r="AJ163" s="3" t="e">
        <f t="shared" si="72"/>
        <v>#DIV/0!</v>
      </c>
      <c r="AK163" s="3" t="e">
        <f t="shared" si="87"/>
        <v>#DIV/0!</v>
      </c>
    </row>
    <row r="164" spans="1:37" x14ac:dyDescent="0.3">
      <c r="A164" s="24">
        <v>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f t="shared" si="60"/>
        <v>0</v>
      </c>
      <c r="H164" s="3">
        <f t="shared" si="77"/>
        <v>0</v>
      </c>
      <c r="I164" s="3">
        <f t="shared" si="82"/>
        <v>0</v>
      </c>
      <c r="J164" s="3">
        <f t="shared" si="83"/>
        <v>0</v>
      </c>
      <c r="K164" s="3">
        <f t="shared" si="84"/>
        <v>0</v>
      </c>
      <c r="L164" s="3">
        <f t="shared" si="85"/>
        <v>0</v>
      </c>
      <c r="M164" s="3" t="e">
        <f t="shared" si="64"/>
        <v>#DIV/0!</v>
      </c>
      <c r="N164" s="3" t="e">
        <f t="shared" si="73"/>
        <v>#DIV/0!</v>
      </c>
      <c r="O164" s="3" t="e">
        <f t="shared" si="86"/>
        <v>#DIV/0!</v>
      </c>
      <c r="P164" s="3">
        <f t="shared" si="74"/>
        <v>0</v>
      </c>
      <c r="Q164" s="3">
        <f t="shared" si="88"/>
        <v>0</v>
      </c>
      <c r="R164" s="3">
        <f t="shared" si="76"/>
        <v>0</v>
      </c>
      <c r="S164" s="3">
        <f t="shared" si="89"/>
        <v>0</v>
      </c>
      <c r="T164" s="3">
        <f t="shared" si="61"/>
        <v>0</v>
      </c>
      <c r="U164" s="3">
        <f t="shared" si="75"/>
        <v>0</v>
      </c>
      <c r="V164" s="3">
        <f t="shared" si="62"/>
        <v>0</v>
      </c>
      <c r="W164" s="3">
        <f t="shared" si="65"/>
        <v>0</v>
      </c>
      <c r="X164" s="3">
        <f t="shared" si="66"/>
        <v>0</v>
      </c>
      <c r="Y164" s="3">
        <f t="shared" si="67"/>
        <v>0</v>
      </c>
      <c r="Z164" s="3">
        <f t="shared" si="78"/>
        <v>0</v>
      </c>
      <c r="AA164" s="3">
        <f t="shared" si="79"/>
        <v>0</v>
      </c>
      <c r="AB164" s="3" t="e">
        <f t="shared" si="80"/>
        <v>#DIV/0!</v>
      </c>
      <c r="AC164" s="3" t="str">
        <f t="shared" si="81"/>
        <v/>
      </c>
      <c r="AD164" s="3">
        <f t="shared" si="68"/>
        <v>0</v>
      </c>
      <c r="AE164" s="3">
        <f t="shared" si="63"/>
        <v>0</v>
      </c>
      <c r="AF164" s="3">
        <f t="shared" si="69"/>
        <v>0</v>
      </c>
      <c r="AG164" s="3" t="e">
        <f>AF164 / SUM(F$2:F164)</f>
        <v>#DIV/0!</v>
      </c>
      <c r="AH164" s="3" t="e">
        <f t="shared" si="70"/>
        <v>#DIV/0!</v>
      </c>
      <c r="AI164" s="3">
        <f t="shared" si="71"/>
        <v>0</v>
      </c>
      <c r="AJ164" s="3" t="e">
        <f t="shared" si="72"/>
        <v>#DIV/0!</v>
      </c>
      <c r="AK164" s="3" t="e">
        <f t="shared" si="87"/>
        <v>#DIV/0!</v>
      </c>
    </row>
    <row r="165" spans="1:37" x14ac:dyDescent="0.3">
      <c r="A165" s="24">
        <v>0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f t="shared" si="60"/>
        <v>0</v>
      </c>
      <c r="H165" s="3">
        <f t="shared" si="77"/>
        <v>0</v>
      </c>
      <c r="I165" s="3">
        <f t="shared" si="82"/>
        <v>0</v>
      </c>
      <c r="J165" s="3">
        <f t="shared" si="83"/>
        <v>0</v>
      </c>
      <c r="K165" s="3">
        <f t="shared" si="84"/>
        <v>0</v>
      </c>
      <c r="L165" s="3">
        <f t="shared" si="85"/>
        <v>0</v>
      </c>
      <c r="M165" s="3" t="e">
        <f t="shared" si="64"/>
        <v>#DIV/0!</v>
      </c>
      <c r="N165" s="3" t="e">
        <f t="shared" si="73"/>
        <v>#DIV/0!</v>
      </c>
      <c r="O165" s="3" t="e">
        <f t="shared" si="86"/>
        <v>#DIV/0!</v>
      </c>
      <c r="P165" s="3">
        <f t="shared" si="74"/>
        <v>0</v>
      </c>
      <c r="Q165" s="3">
        <f t="shared" si="88"/>
        <v>0</v>
      </c>
      <c r="R165" s="3">
        <f t="shared" si="76"/>
        <v>0</v>
      </c>
      <c r="S165" s="3">
        <f t="shared" si="89"/>
        <v>0</v>
      </c>
      <c r="T165" s="3">
        <f t="shared" si="61"/>
        <v>0</v>
      </c>
      <c r="U165" s="3">
        <f t="shared" si="75"/>
        <v>0</v>
      </c>
      <c r="V165" s="3">
        <f t="shared" si="62"/>
        <v>0</v>
      </c>
      <c r="W165" s="3">
        <f t="shared" si="65"/>
        <v>0</v>
      </c>
      <c r="X165" s="3">
        <f t="shared" si="66"/>
        <v>0</v>
      </c>
      <c r="Y165" s="3">
        <f t="shared" si="67"/>
        <v>0</v>
      </c>
      <c r="Z165" s="3">
        <f t="shared" si="78"/>
        <v>0</v>
      </c>
      <c r="AA165" s="3">
        <f t="shared" si="79"/>
        <v>0</v>
      </c>
      <c r="AB165" s="3" t="e">
        <f t="shared" si="80"/>
        <v>#DIV/0!</v>
      </c>
      <c r="AC165" s="3" t="str">
        <f t="shared" si="81"/>
        <v/>
      </c>
      <c r="AD165" s="3">
        <f t="shared" si="68"/>
        <v>0</v>
      </c>
      <c r="AE165" s="3">
        <f t="shared" si="63"/>
        <v>0</v>
      </c>
      <c r="AF165" s="3">
        <f t="shared" si="69"/>
        <v>0</v>
      </c>
      <c r="AG165" s="3" t="e">
        <f>AF165 / SUM(F$2:F165)</f>
        <v>#DIV/0!</v>
      </c>
      <c r="AH165" s="3" t="e">
        <f t="shared" si="70"/>
        <v>#DIV/0!</v>
      </c>
      <c r="AI165" s="3">
        <f t="shared" si="71"/>
        <v>0</v>
      </c>
      <c r="AJ165" s="3" t="e">
        <f t="shared" si="72"/>
        <v>#DIV/0!</v>
      </c>
      <c r="AK165" s="3" t="e">
        <f t="shared" si="87"/>
        <v>#DIV/0!</v>
      </c>
    </row>
    <row r="166" spans="1:37" x14ac:dyDescent="0.3">
      <c r="A166" s="24">
        <v>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f t="shared" si="60"/>
        <v>0</v>
      </c>
      <c r="H166" s="3">
        <f t="shared" si="77"/>
        <v>0</v>
      </c>
      <c r="I166" s="3">
        <f t="shared" si="82"/>
        <v>0</v>
      </c>
      <c r="J166" s="3">
        <f t="shared" si="83"/>
        <v>0</v>
      </c>
      <c r="K166" s="3">
        <f t="shared" si="84"/>
        <v>0</v>
      </c>
      <c r="L166" s="3">
        <f t="shared" si="85"/>
        <v>0</v>
      </c>
      <c r="M166" s="3" t="e">
        <f t="shared" si="64"/>
        <v>#DIV/0!</v>
      </c>
      <c r="N166" s="3" t="e">
        <f t="shared" si="73"/>
        <v>#DIV/0!</v>
      </c>
      <c r="O166" s="3" t="e">
        <f t="shared" si="86"/>
        <v>#DIV/0!</v>
      </c>
      <c r="P166" s="3">
        <f t="shared" si="74"/>
        <v>0</v>
      </c>
      <c r="Q166" s="3">
        <f t="shared" si="88"/>
        <v>0</v>
      </c>
      <c r="R166" s="3">
        <f t="shared" si="76"/>
        <v>0</v>
      </c>
      <c r="S166" s="3">
        <f t="shared" si="89"/>
        <v>0</v>
      </c>
      <c r="T166" s="3">
        <f t="shared" si="61"/>
        <v>0</v>
      </c>
      <c r="U166" s="3">
        <f t="shared" si="75"/>
        <v>0</v>
      </c>
      <c r="V166" s="3">
        <f t="shared" si="62"/>
        <v>0</v>
      </c>
      <c r="W166" s="3">
        <f t="shared" si="65"/>
        <v>0</v>
      </c>
      <c r="X166" s="3">
        <f t="shared" si="66"/>
        <v>0</v>
      </c>
      <c r="Y166" s="3">
        <f t="shared" si="67"/>
        <v>0</v>
      </c>
      <c r="Z166" s="3">
        <f t="shared" si="78"/>
        <v>0</v>
      </c>
      <c r="AA166" s="3">
        <f t="shared" si="79"/>
        <v>0</v>
      </c>
      <c r="AB166" s="3" t="e">
        <f t="shared" si="80"/>
        <v>#DIV/0!</v>
      </c>
      <c r="AC166" s="3" t="str">
        <f t="shared" si="81"/>
        <v/>
      </c>
      <c r="AD166" s="3">
        <f t="shared" si="68"/>
        <v>0</v>
      </c>
      <c r="AE166" s="3">
        <f t="shared" si="63"/>
        <v>0</v>
      </c>
      <c r="AF166" s="3">
        <f t="shared" si="69"/>
        <v>0</v>
      </c>
      <c r="AG166" s="3" t="e">
        <f>AF166 / SUM(F$2:F166)</f>
        <v>#DIV/0!</v>
      </c>
      <c r="AH166" s="3" t="e">
        <f t="shared" si="70"/>
        <v>#DIV/0!</v>
      </c>
      <c r="AI166" s="3">
        <f t="shared" si="71"/>
        <v>0</v>
      </c>
      <c r="AJ166" s="3" t="e">
        <f t="shared" si="72"/>
        <v>#DIV/0!</v>
      </c>
      <c r="AK166" s="3" t="e">
        <f t="shared" si="87"/>
        <v>#DIV/0!</v>
      </c>
    </row>
    <row r="167" spans="1:37" x14ac:dyDescent="0.3">
      <c r="A167" s="24">
        <v>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f t="shared" si="60"/>
        <v>0</v>
      </c>
      <c r="H167" s="3">
        <f t="shared" si="77"/>
        <v>0</v>
      </c>
      <c r="I167" s="3">
        <f t="shared" si="82"/>
        <v>0</v>
      </c>
      <c r="J167" s="3">
        <f t="shared" si="83"/>
        <v>0</v>
      </c>
      <c r="K167" s="3">
        <f t="shared" si="84"/>
        <v>0</v>
      </c>
      <c r="L167" s="3">
        <f t="shared" si="85"/>
        <v>0</v>
      </c>
      <c r="M167" s="3" t="e">
        <f t="shared" si="64"/>
        <v>#DIV/0!</v>
      </c>
      <c r="N167" s="3" t="e">
        <f t="shared" si="73"/>
        <v>#DIV/0!</v>
      </c>
      <c r="O167" s="3" t="e">
        <f t="shared" si="86"/>
        <v>#DIV/0!</v>
      </c>
      <c r="P167" s="3">
        <f t="shared" si="74"/>
        <v>0</v>
      </c>
      <c r="Q167" s="3">
        <f t="shared" si="88"/>
        <v>0</v>
      </c>
      <c r="R167" s="3">
        <f t="shared" si="76"/>
        <v>0</v>
      </c>
      <c r="S167" s="3">
        <f t="shared" si="89"/>
        <v>0</v>
      </c>
      <c r="T167" s="3">
        <f t="shared" si="61"/>
        <v>0</v>
      </c>
      <c r="U167" s="3">
        <f t="shared" si="75"/>
        <v>0</v>
      </c>
      <c r="V167" s="3">
        <f t="shared" si="62"/>
        <v>0</v>
      </c>
      <c r="W167" s="3">
        <f t="shared" si="65"/>
        <v>0</v>
      </c>
      <c r="X167" s="3">
        <f t="shared" si="66"/>
        <v>0</v>
      </c>
      <c r="Y167" s="3">
        <f t="shared" si="67"/>
        <v>0</v>
      </c>
      <c r="Z167" s="3">
        <f t="shared" si="78"/>
        <v>0</v>
      </c>
      <c r="AA167" s="3">
        <f t="shared" si="79"/>
        <v>0</v>
      </c>
      <c r="AB167" s="3" t="e">
        <f t="shared" si="80"/>
        <v>#DIV/0!</v>
      </c>
      <c r="AC167" s="3" t="str">
        <f t="shared" si="81"/>
        <v/>
      </c>
      <c r="AD167" s="3">
        <f t="shared" si="68"/>
        <v>0</v>
      </c>
      <c r="AE167" s="3">
        <f t="shared" si="63"/>
        <v>0</v>
      </c>
      <c r="AF167" s="3">
        <f t="shared" si="69"/>
        <v>0</v>
      </c>
      <c r="AG167" s="3" t="e">
        <f>AF167 / SUM(F$2:F167)</f>
        <v>#DIV/0!</v>
      </c>
      <c r="AH167" s="3" t="e">
        <f t="shared" si="70"/>
        <v>#DIV/0!</v>
      </c>
      <c r="AI167" s="3">
        <f t="shared" si="71"/>
        <v>0</v>
      </c>
      <c r="AJ167" s="3" t="e">
        <f t="shared" si="72"/>
        <v>#DIV/0!</v>
      </c>
      <c r="AK167" s="3" t="e">
        <f t="shared" si="87"/>
        <v>#DIV/0!</v>
      </c>
    </row>
    <row r="168" spans="1:37" x14ac:dyDescent="0.3">
      <c r="A168" s="24">
        <v>0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f t="shared" si="60"/>
        <v>0</v>
      </c>
      <c r="H168" s="3">
        <f t="shared" si="77"/>
        <v>0</v>
      </c>
      <c r="I168" s="3">
        <f t="shared" si="82"/>
        <v>0</v>
      </c>
      <c r="J168" s="3">
        <f t="shared" si="83"/>
        <v>0</v>
      </c>
      <c r="K168" s="3">
        <f t="shared" si="84"/>
        <v>0</v>
      </c>
      <c r="L168" s="3">
        <f t="shared" si="85"/>
        <v>0</v>
      </c>
      <c r="M168" s="3" t="e">
        <f t="shared" si="64"/>
        <v>#DIV/0!</v>
      </c>
      <c r="N168" s="3" t="e">
        <f t="shared" si="73"/>
        <v>#DIV/0!</v>
      </c>
      <c r="O168" s="3" t="e">
        <f t="shared" si="86"/>
        <v>#DIV/0!</v>
      </c>
      <c r="P168" s="3">
        <f t="shared" si="74"/>
        <v>0</v>
      </c>
      <c r="Q168" s="3">
        <f t="shared" si="88"/>
        <v>0</v>
      </c>
      <c r="R168" s="3">
        <f t="shared" si="76"/>
        <v>0</v>
      </c>
      <c r="S168" s="3">
        <f t="shared" si="89"/>
        <v>0</v>
      </c>
      <c r="T168" s="3">
        <f t="shared" si="61"/>
        <v>0</v>
      </c>
      <c r="U168" s="3">
        <f t="shared" si="75"/>
        <v>0</v>
      </c>
      <c r="V168" s="3">
        <f t="shared" si="62"/>
        <v>0</v>
      </c>
      <c r="W168" s="3">
        <f t="shared" si="65"/>
        <v>0</v>
      </c>
      <c r="X168" s="3">
        <f t="shared" si="66"/>
        <v>0</v>
      </c>
      <c r="Y168" s="3">
        <f t="shared" si="67"/>
        <v>0</v>
      </c>
      <c r="Z168" s="3">
        <f t="shared" si="78"/>
        <v>0</v>
      </c>
      <c r="AA168" s="3">
        <f t="shared" si="79"/>
        <v>0</v>
      </c>
      <c r="AB168" s="3" t="e">
        <f t="shared" si="80"/>
        <v>#DIV/0!</v>
      </c>
      <c r="AC168" s="3" t="str">
        <f t="shared" si="81"/>
        <v/>
      </c>
      <c r="AD168" s="3">
        <f t="shared" si="68"/>
        <v>0</v>
      </c>
      <c r="AE168" s="3">
        <f t="shared" si="63"/>
        <v>0</v>
      </c>
      <c r="AF168" s="3">
        <f t="shared" si="69"/>
        <v>0</v>
      </c>
      <c r="AG168" s="3" t="e">
        <f>AF168 / SUM(F$2:F168)</f>
        <v>#DIV/0!</v>
      </c>
      <c r="AH168" s="3" t="e">
        <f t="shared" si="70"/>
        <v>#DIV/0!</v>
      </c>
      <c r="AI168" s="3">
        <f t="shared" si="71"/>
        <v>0</v>
      </c>
      <c r="AJ168" s="3" t="e">
        <f t="shared" si="72"/>
        <v>#DIV/0!</v>
      </c>
      <c r="AK168" s="3" t="e">
        <f t="shared" si="87"/>
        <v>#DIV/0!</v>
      </c>
    </row>
    <row r="169" spans="1:37" x14ac:dyDescent="0.3">
      <c r="A169" s="24">
        <v>0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f t="shared" si="60"/>
        <v>0</v>
      </c>
      <c r="H169" s="3">
        <f t="shared" si="77"/>
        <v>0</v>
      </c>
      <c r="I169" s="3">
        <f t="shared" si="82"/>
        <v>0</v>
      </c>
      <c r="J169" s="3">
        <f t="shared" si="83"/>
        <v>0</v>
      </c>
      <c r="K169" s="3">
        <f t="shared" si="84"/>
        <v>0</v>
      </c>
      <c r="L169" s="3">
        <f t="shared" si="85"/>
        <v>0</v>
      </c>
      <c r="M169" s="3" t="e">
        <f t="shared" si="64"/>
        <v>#DIV/0!</v>
      </c>
      <c r="N169" s="3" t="e">
        <f t="shared" si="73"/>
        <v>#DIV/0!</v>
      </c>
      <c r="O169" s="3" t="e">
        <f t="shared" si="86"/>
        <v>#DIV/0!</v>
      </c>
      <c r="P169" s="3">
        <f t="shared" si="74"/>
        <v>0</v>
      </c>
      <c r="Q169" s="3">
        <f t="shared" si="88"/>
        <v>0</v>
      </c>
      <c r="R169" s="3">
        <f t="shared" si="76"/>
        <v>0</v>
      </c>
      <c r="S169" s="3">
        <f t="shared" si="89"/>
        <v>0</v>
      </c>
      <c r="T169" s="3">
        <f t="shared" si="61"/>
        <v>0</v>
      </c>
      <c r="U169" s="3">
        <f t="shared" si="75"/>
        <v>0</v>
      </c>
      <c r="V169" s="3">
        <f t="shared" si="62"/>
        <v>0</v>
      </c>
      <c r="W169" s="3">
        <f t="shared" si="65"/>
        <v>0</v>
      </c>
      <c r="X169" s="3">
        <f t="shared" si="66"/>
        <v>0</v>
      </c>
      <c r="Y169" s="3">
        <f t="shared" si="67"/>
        <v>0</v>
      </c>
      <c r="Z169" s="3">
        <f t="shared" si="78"/>
        <v>0</v>
      </c>
      <c r="AA169" s="3">
        <f t="shared" si="79"/>
        <v>0</v>
      </c>
      <c r="AB169" s="3" t="e">
        <f t="shared" si="80"/>
        <v>#DIV/0!</v>
      </c>
      <c r="AC169" s="3" t="str">
        <f t="shared" si="81"/>
        <v/>
      </c>
      <c r="AD169" s="3">
        <f t="shared" si="68"/>
        <v>0</v>
      </c>
      <c r="AE169" s="3">
        <f t="shared" si="63"/>
        <v>0</v>
      </c>
      <c r="AF169" s="3">
        <f t="shared" si="69"/>
        <v>0</v>
      </c>
      <c r="AG169" s="3" t="e">
        <f>AF169 / SUM(F$2:F169)</f>
        <v>#DIV/0!</v>
      </c>
      <c r="AH169" s="3" t="e">
        <f t="shared" si="70"/>
        <v>#DIV/0!</v>
      </c>
      <c r="AI169" s="3">
        <f t="shared" si="71"/>
        <v>0</v>
      </c>
      <c r="AJ169" s="3" t="e">
        <f t="shared" si="72"/>
        <v>#DIV/0!</v>
      </c>
      <c r="AK169" s="3" t="e">
        <f t="shared" si="87"/>
        <v>#DIV/0!</v>
      </c>
    </row>
    <row r="170" spans="1:37" x14ac:dyDescent="0.3">
      <c r="A170" s="24">
        <v>0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f t="shared" si="60"/>
        <v>0</v>
      </c>
      <c r="H170" s="3">
        <f t="shared" si="77"/>
        <v>0</v>
      </c>
      <c r="I170" s="3">
        <f t="shared" si="82"/>
        <v>0</v>
      </c>
      <c r="J170" s="3">
        <f t="shared" si="83"/>
        <v>0</v>
      </c>
      <c r="K170" s="3">
        <f t="shared" si="84"/>
        <v>0</v>
      </c>
      <c r="L170" s="3">
        <f t="shared" si="85"/>
        <v>0</v>
      </c>
      <c r="M170" s="3" t="e">
        <f t="shared" si="64"/>
        <v>#DIV/0!</v>
      </c>
      <c r="N170" s="3" t="e">
        <f t="shared" si="73"/>
        <v>#DIV/0!</v>
      </c>
      <c r="O170" s="3" t="e">
        <f t="shared" si="86"/>
        <v>#DIV/0!</v>
      </c>
      <c r="P170" s="3">
        <f t="shared" si="74"/>
        <v>0</v>
      </c>
      <c r="Q170" s="3">
        <f t="shared" si="88"/>
        <v>0</v>
      </c>
      <c r="R170" s="3">
        <f t="shared" si="76"/>
        <v>0</v>
      </c>
      <c r="S170" s="3">
        <f t="shared" si="89"/>
        <v>0</v>
      </c>
      <c r="T170" s="3">
        <f t="shared" si="61"/>
        <v>0</v>
      </c>
      <c r="U170" s="3">
        <f t="shared" si="75"/>
        <v>0</v>
      </c>
      <c r="V170" s="3">
        <f t="shared" si="62"/>
        <v>0</v>
      </c>
      <c r="W170" s="3">
        <f t="shared" si="65"/>
        <v>0</v>
      </c>
      <c r="X170" s="3">
        <f t="shared" si="66"/>
        <v>0</v>
      </c>
      <c r="Y170" s="3">
        <f t="shared" si="67"/>
        <v>0</v>
      </c>
      <c r="Z170" s="3">
        <f t="shared" si="78"/>
        <v>0</v>
      </c>
      <c r="AA170" s="3">
        <f t="shared" si="79"/>
        <v>0</v>
      </c>
      <c r="AB170" s="3" t="e">
        <f t="shared" si="80"/>
        <v>#DIV/0!</v>
      </c>
      <c r="AC170" s="3" t="str">
        <f t="shared" si="81"/>
        <v/>
      </c>
      <c r="AD170" s="3">
        <f t="shared" si="68"/>
        <v>0</v>
      </c>
      <c r="AE170" s="3">
        <f t="shared" si="63"/>
        <v>0</v>
      </c>
      <c r="AF170" s="3">
        <f t="shared" si="69"/>
        <v>0</v>
      </c>
      <c r="AG170" s="3" t="e">
        <f>AF170 / SUM(F$2:F170)</f>
        <v>#DIV/0!</v>
      </c>
      <c r="AH170" s="3" t="e">
        <f t="shared" si="70"/>
        <v>#DIV/0!</v>
      </c>
      <c r="AI170" s="3">
        <f t="shared" si="71"/>
        <v>0</v>
      </c>
      <c r="AJ170" s="3" t="e">
        <f t="shared" si="72"/>
        <v>#DIV/0!</v>
      </c>
      <c r="AK170" s="3" t="e">
        <f t="shared" si="87"/>
        <v>#DIV/0!</v>
      </c>
    </row>
    <row r="171" spans="1:37" x14ac:dyDescent="0.3">
      <c r="A171" s="24">
        <v>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f t="shared" si="60"/>
        <v>0</v>
      </c>
      <c r="H171" s="3">
        <f t="shared" si="77"/>
        <v>0</v>
      </c>
      <c r="I171" s="3">
        <f t="shared" si="82"/>
        <v>0</v>
      </c>
      <c r="J171" s="3">
        <f t="shared" si="83"/>
        <v>0</v>
      </c>
      <c r="K171" s="3">
        <f t="shared" si="84"/>
        <v>0</v>
      </c>
      <c r="L171" s="3">
        <f t="shared" si="85"/>
        <v>0</v>
      </c>
      <c r="M171" s="3" t="e">
        <f t="shared" si="64"/>
        <v>#DIV/0!</v>
      </c>
      <c r="N171" s="3" t="e">
        <f t="shared" si="73"/>
        <v>#DIV/0!</v>
      </c>
      <c r="O171" s="3" t="e">
        <f t="shared" si="86"/>
        <v>#DIV/0!</v>
      </c>
      <c r="P171" s="3">
        <f t="shared" si="74"/>
        <v>0</v>
      </c>
      <c r="Q171" s="3">
        <f t="shared" si="88"/>
        <v>0</v>
      </c>
      <c r="R171" s="3">
        <f t="shared" si="76"/>
        <v>0</v>
      </c>
      <c r="S171" s="3">
        <f t="shared" si="89"/>
        <v>0</v>
      </c>
      <c r="T171" s="3">
        <f t="shared" si="61"/>
        <v>0</v>
      </c>
      <c r="U171" s="3">
        <f t="shared" si="75"/>
        <v>0</v>
      </c>
      <c r="V171" s="3">
        <f t="shared" si="62"/>
        <v>0</v>
      </c>
      <c r="W171" s="3">
        <f t="shared" si="65"/>
        <v>0</v>
      </c>
      <c r="X171" s="3">
        <f t="shared" si="66"/>
        <v>0</v>
      </c>
      <c r="Y171" s="3">
        <f t="shared" si="67"/>
        <v>0</v>
      </c>
      <c r="Z171" s="3">
        <f t="shared" si="78"/>
        <v>0</v>
      </c>
      <c r="AA171" s="3">
        <f t="shared" si="79"/>
        <v>0</v>
      </c>
      <c r="AB171" s="3" t="e">
        <f t="shared" si="80"/>
        <v>#DIV/0!</v>
      </c>
      <c r="AC171" s="3" t="str">
        <f t="shared" si="81"/>
        <v/>
      </c>
      <c r="AD171" s="3">
        <f t="shared" si="68"/>
        <v>0</v>
      </c>
      <c r="AE171" s="3">
        <f t="shared" si="63"/>
        <v>0</v>
      </c>
      <c r="AF171" s="3">
        <f t="shared" si="69"/>
        <v>0</v>
      </c>
      <c r="AG171" s="3" t="e">
        <f>AF171 / SUM(F$2:F171)</f>
        <v>#DIV/0!</v>
      </c>
      <c r="AH171" s="3" t="e">
        <f t="shared" si="70"/>
        <v>#DIV/0!</v>
      </c>
      <c r="AI171" s="3">
        <f t="shared" si="71"/>
        <v>0</v>
      </c>
      <c r="AJ171" s="3" t="e">
        <f t="shared" si="72"/>
        <v>#DIV/0!</v>
      </c>
      <c r="AK171" s="3" t="e">
        <f t="shared" si="87"/>
        <v>#DIV/0!</v>
      </c>
    </row>
    <row r="172" spans="1:37" x14ac:dyDescent="0.3">
      <c r="A172" s="24">
        <v>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f t="shared" si="60"/>
        <v>0</v>
      </c>
      <c r="H172" s="3">
        <f t="shared" si="77"/>
        <v>0</v>
      </c>
      <c r="I172" s="3">
        <f t="shared" si="82"/>
        <v>0</v>
      </c>
      <c r="J172" s="3">
        <f t="shared" si="83"/>
        <v>0</v>
      </c>
      <c r="K172" s="3">
        <f t="shared" si="84"/>
        <v>0</v>
      </c>
      <c r="L172" s="3">
        <f t="shared" si="85"/>
        <v>0</v>
      </c>
      <c r="M172" s="3" t="e">
        <f t="shared" si="64"/>
        <v>#DIV/0!</v>
      </c>
      <c r="N172" s="3" t="e">
        <f t="shared" si="73"/>
        <v>#DIV/0!</v>
      </c>
      <c r="O172" s="3" t="e">
        <f t="shared" si="86"/>
        <v>#DIV/0!</v>
      </c>
      <c r="P172" s="3">
        <f t="shared" si="74"/>
        <v>0</v>
      </c>
      <c r="Q172" s="3">
        <f t="shared" si="88"/>
        <v>0</v>
      </c>
      <c r="R172" s="3">
        <f t="shared" si="76"/>
        <v>0</v>
      </c>
      <c r="S172" s="3">
        <f t="shared" si="89"/>
        <v>0</v>
      </c>
      <c r="T172" s="3">
        <f t="shared" si="61"/>
        <v>0</v>
      </c>
      <c r="U172" s="3">
        <f t="shared" si="75"/>
        <v>0</v>
      </c>
      <c r="V172" s="3">
        <f t="shared" si="62"/>
        <v>0</v>
      </c>
      <c r="W172" s="3">
        <f t="shared" si="65"/>
        <v>0</v>
      </c>
      <c r="X172" s="3">
        <f t="shared" si="66"/>
        <v>0</v>
      </c>
      <c r="Y172" s="3">
        <f t="shared" si="67"/>
        <v>0</v>
      </c>
      <c r="Z172" s="3">
        <f t="shared" si="78"/>
        <v>0</v>
      </c>
      <c r="AA172" s="3">
        <f t="shared" si="79"/>
        <v>0</v>
      </c>
      <c r="AB172" s="3" t="e">
        <f t="shared" si="80"/>
        <v>#DIV/0!</v>
      </c>
      <c r="AC172" s="3" t="str">
        <f t="shared" si="81"/>
        <v/>
      </c>
      <c r="AD172" s="3">
        <f t="shared" si="68"/>
        <v>0</v>
      </c>
      <c r="AE172" s="3">
        <f t="shared" si="63"/>
        <v>0</v>
      </c>
      <c r="AF172" s="3">
        <f t="shared" si="69"/>
        <v>0</v>
      </c>
      <c r="AG172" s="3" t="e">
        <f>AF172 / SUM(F$2:F172)</f>
        <v>#DIV/0!</v>
      </c>
      <c r="AH172" s="3" t="e">
        <f t="shared" si="70"/>
        <v>#DIV/0!</v>
      </c>
      <c r="AI172" s="3">
        <f t="shared" si="71"/>
        <v>0</v>
      </c>
      <c r="AJ172" s="3" t="e">
        <f t="shared" si="72"/>
        <v>#DIV/0!</v>
      </c>
      <c r="AK172" s="3" t="e">
        <f t="shared" si="87"/>
        <v>#DIV/0!</v>
      </c>
    </row>
    <row r="173" spans="1:37" x14ac:dyDescent="0.3">
      <c r="A173" s="24">
        <v>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f t="shared" si="60"/>
        <v>0</v>
      </c>
      <c r="H173" s="3">
        <f t="shared" si="77"/>
        <v>0</v>
      </c>
      <c r="I173" s="3">
        <f t="shared" si="82"/>
        <v>0</v>
      </c>
      <c r="J173" s="3">
        <f t="shared" si="83"/>
        <v>0</v>
      </c>
      <c r="K173" s="3">
        <f t="shared" si="84"/>
        <v>0</v>
      </c>
      <c r="L173" s="3">
        <f t="shared" si="85"/>
        <v>0</v>
      </c>
      <c r="M173" s="3" t="e">
        <f t="shared" si="64"/>
        <v>#DIV/0!</v>
      </c>
      <c r="N173" s="3" t="e">
        <f t="shared" si="73"/>
        <v>#DIV/0!</v>
      </c>
      <c r="O173" s="3" t="e">
        <f t="shared" si="86"/>
        <v>#DIV/0!</v>
      </c>
      <c r="P173" s="3">
        <f t="shared" si="74"/>
        <v>0</v>
      </c>
      <c r="Q173" s="3">
        <f t="shared" si="88"/>
        <v>0</v>
      </c>
      <c r="R173" s="3">
        <f t="shared" si="76"/>
        <v>0</v>
      </c>
      <c r="S173" s="3">
        <f t="shared" si="89"/>
        <v>0</v>
      </c>
      <c r="T173" s="3">
        <f t="shared" si="61"/>
        <v>0</v>
      </c>
      <c r="U173" s="3">
        <f t="shared" si="75"/>
        <v>0</v>
      </c>
      <c r="V173" s="3">
        <f t="shared" si="62"/>
        <v>0</v>
      </c>
      <c r="W173" s="3">
        <f t="shared" si="65"/>
        <v>0</v>
      </c>
      <c r="X173" s="3">
        <f t="shared" si="66"/>
        <v>0</v>
      </c>
      <c r="Y173" s="3">
        <f t="shared" si="67"/>
        <v>0</v>
      </c>
      <c r="Z173" s="3">
        <f t="shared" si="78"/>
        <v>0</v>
      </c>
      <c r="AA173" s="3">
        <f t="shared" si="79"/>
        <v>0</v>
      </c>
      <c r="AB173" s="3" t="e">
        <f t="shared" si="80"/>
        <v>#DIV/0!</v>
      </c>
      <c r="AC173" s="3" t="str">
        <f t="shared" si="81"/>
        <v/>
      </c>
      <c r="AD173" s="3">
        <f t="shared" si="68"/>
        <v>0</v>
      </c>
      <c r="AE173" s="3">
        <f t="shared" si="63"/>
        <v>0</v>
      </c>
      <c r="AF173" s="3">
        <f t="shared" si="69"/>
        <v>0</v>
      </c>
      <c r="AG173" s="3" t="e">
        <f>AF173 / SUM(F$2:F173)</f>
        <v>#DIV/0!</v>
      </c>
      <c r="AH173" s="3" t="e">
        <f t="shared" si="70"/>
        <v>#DIV/0!</v>
      </c>
      <c r="AI173" s="3">
        <f t="shared" si="71"/>
        <v>0</v>
      </c>
      <c r="AJ173" s="3" t="e">
        <f t="shared" si="72"/>
        <v>#DIV/0!</v>
      </c>
      <c r="AK173" s="3" t="e">
        <f t="shared" si="87"/>
        <v>#DIV/0!</v>
      </c>
    </row>
    <row r="174" spans="1:37" x14ac:dyDescent="0.3">
      <c r="A174" s="24">
        <v>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f t="shared" si="60"/>
        <v>0</v>
      </c>
      <c r="H174" s="3">
        <f t="shared" si="77"/>
        <v>0</v>
      </c>
      <c r="I174" s="3">
        <f t="shared" si="82"/>
        <v>0</v>
      </c>
      <c r="J174" s="3">
        <f t="shared" si="83"/>
        <v>0</v>
      </c>
      <c r="K174" s="3">
        <f t="shared" si="84"/>
        <v>0</v>
      </c>
      <c r="L174" s="3">
        <f t="shared" si="85"/>
        <v>0</v>
      </c>
      <c r="M174" s="3" t="e">
        <f t="shared" si="64"/>
        <v>#DIV/0!</v>
      </c>
      <c r="N174" s="3" t="e">
        <f t="shared" si="73"/>
        <v>#DIV/0!</v>
      </c>
      <c r="O174" s="3" t="e">
        <f t="shared" si="86"/>
        <v>#DIV/0!</v>
      </c>
      <c r="P174" s="3">
        <f t="shared" si="74"/>
        <v>0</v>
      </c>
      <c r="Q174" s="3">
        <f t="shared" si="88"/>
        <v>0</v>
      </c>
      <c r="R174" s="3">
        <f t="shared" si="76"/>
        <v>0</v>
      </c>
      <c r="S174" s="3">
        <f t="shared" si="89"/>
        <v>0</v>
      </c>
      <c r="T174" s="3">
        <f t="shared" si="61"/>
        <v>0</v>
      </c>
      <c r="U174" s="3">
        <f t="shared" si="75"/>
        <v>0</v>
      </c>
      <c r="V174" s="3">
        <f t="shared" si="62"/>
        <v>0</v>
      </c>
      <c r="W174" s="3">
        <f t="shared" si="65"/>
        <v>0</v>
      </c>
      <c r="X174" s="3">
        <f t="shared" si="66"/>
        <v>0</v>
      </c>
      <c r="Y174" s="3">
        <f t="shared" si="67"/>
        <v>0</v>
      </c>
      <c r="Z174" s="3">
        <f t="shared" si="78"/>
        <v>0</v>
      </c>
      <c r="AA174" s="3">
        <f t="shared" si="79"/>
        <v>0</v>
      </c>
      <c r="AB174" s="3" t="e">
        <f t="shared" si="80"/>
        <v>#DIV/0!</v>
      </c>
      <c r="AC174" s="3" t="str">
        <f t="shared" si="81"/>
        <v/>
      </c>
      <c r="AD174" s="3">
        <f t="shared" si="68"/>
        <v>0</v>
      </c>
      <c r="AE174" s="3">
        <f t="shared" si="63"/>
        <v>0</v>
      </c>
      <c r="AF174" s="3">
        <f t="shared" si="69"/>
        <v>0</v>
      </c>
      <c r="AG174" s="3" t="e">
        <f>AF174 / SUM(F$2:F174)</f>
        <v>#DIV/0!</v>
      </c>
      <c r="AH174" s="3" t="e">
        <f t="shared" si="70"/>
        <v>#DIV/0!</v>
      </c>
      <c r="AI174" s="3">
        <f t="shared" si="71"/>
        <v>0</v>
      </c>
      <c r="AJ174" s="3" t="e">
        <f t="shared" si="72"/>
        <v>#DIV/0!</v>
      </c>
      <c r="AK174" s="3" t="e">
        <f t="shared" si="87"/>
        <v>#DIV/0!</v>
      </c>
    </row>
    <row r="175" spans="1:37" x14ac:dyDescent="0.3">
      <c r="A175" s="24">
        <v>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f t="shared" si="60"/>
        <v>0</v>
      </c>
      <c r="H175" s="3">
        <f t="shared" si="77"/>
        <v>0</v>
      </c>
      <c r="I175" s="3">
        <f t="shared" si="82"/>
        <v>0</v>
      </c>
      <c r="J175" s="3">
        <f t="shared" si="83"/>
        <v>0</v>
      </c>
      <c r="K175" s="3">
        <f t="shared" si="84"/>
        <v>0</v>
      </c>
      <c r="L175" s="3">
        <f t="shared" si="85"/>
        <v>0</v>
      </c>
      <c r="M175" s="3" t="e">
        <f t="shared" si="64"/>
        <v>#DIV/0!</v>
      </c>
      <c r="N175" s="3" t="e">
        <f t="shared" si="73"/>
        <v>#DIV/0!</v>
      </c>
      <c r="O175" s="3" t="e">
        <f t="shared" si="86"/>
        <v>#DIV/0!</v>
      </c>
      <c r="P175" s="3">
        <f t="shared" si="74"/>
        <v>0</v>
      </c>
      <c r="Q175" s="3">
        <f t="shared" si="88"/>
        <v>0</v>
      </c>
      <c r="R175" s="3">
        <f t="shared" si="76"/>
        <v>0</v>
      </c>
      <c r="S175" s="3">
        <f t="shared" si="89"/>
        <v>0</v>
      </c>
      <c r="T175" s="3">
        <f t="shared" si="61"/>
        <v>0</v>
      </c>
      <c r="U175" s="3">
        <f t="shared" si="75"/>
        <v>0</v>
      </c>
      <c r="V175" s="3">
        <f t="shared" si="62"/>
        <v>0</v>
      </c>
      <c r="W175" s="3">
        <f t="shared" si="65"/>
        <v>0</v>
      </c>
      <c r="X175" s="3">
        <f t="shared" si="66"/>
        <v>0</v>
      </c>
      <c r="Y175" s="3">
        <f t="shared" si="67"/>
        <v>0</v>
      </c>
      <c r="Z175" s="3">
        <f t="shared" si="78"/>
        <v>0</v>
      </c>
      <c r="AA175" s="3">
        <f t="shared" si="79"/>
        <v>0</v>
      </c>
      <c r="AB175" s="3" t="e">
        <f t="shared" si="80"/>
        <v>#DIV/0!</v>
      </c>
      <c r="AC175" s="3" t="str">
        <f t="shared" si="81"/>
        <v/>
      </c>
      <c r="AD175" s="3">
        <f t="shared" si="68"/>
        <v>0</v>
      </c>
      <c r="AE175" s="3">
        <f t="shared" si="63"/>
        <v>0</v>
      </c>
      <c r="AF175" s="3">
        <f t="shared" si="69"/>
        <v>0</v>
      </c>
      <c r="AG175" s="3" t="e">
        <f>AF175 / SUM(F$2:F175)</f>
        <v>#DIV/0!</v>
      </c>
      <c r="AH175" s="3" t="e">
        <f t="shared" si="70"/>
        <v>#DIV/0!</v>
      </c>
      <c r="AI175" s="3">
        <f t="shared" si="71"/>
        <v>0</v>
      </c>
      <c r="AJ175" s="3" t="e">
        <f t="shared" si="72"/>
        <v>#DIV/0!</v>
      </c>
      <c r="AK175" s="3" t="e">
        <f t="shared" si="87"/>
        <v>#DIV/0!</v>
      </c>
    </row>
    <row r="176" spans="1:37" x14ac:dyDescent="0.3">
      <c r="A176" s="24">
        <v>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f t="shared" si="60"/>
        <v>0</v>
      </c>
      <c r="H176" s="3">
        <f t="shared" si="77"/>
        <v>0</v>
      </c>
      <c r="I176" s="3">
        <f t="shared" si="82"/>
        <v>0</v>
      </c>
      <c r="J176" s="3">
        <f t="shared" si="83"/>
        <v>0</v>
      </c>
      <c r="K176" s="3">
        <f t="shared" si="84"/>
        <v>0</v>
      </c>
      <c r="L176" s="3">
        <f t="shared" si="85"/>
        <v>0</v>
      </c>
      <c r="M176" s="3" t="e">
        <f t="shared" si="64"/>
        <v>#DIV/0!</v>
      </c>
      <c r="N176" s="3" t="e">
        <f t="shared" si="73"/>
        <v>#DIV/0!</v>
      </c>
      <c r="O176" s="3" t="e">
        <f t="shared" si="86"/>
        <v>#DIV/0!</v>
      </c>
      <c r="P176" s="3">
        <f t="shared" si="74"/>
        <v>0</v>
      </c>
      <c r="Q176" s="3">
        <f t="shared" si="88"/>
        <v>0</v>
      </c>
      <c r="R176" s="3">
        <f t="shared" si="76"/>
        <v>0</v>
      </c>
      <c r="S176" s="3">
        <f t="shared" si="89"/>
        <v>0</v>
      </c>
      <c r="T176" s="3">
        <f t="shared" si="61"/>
        <v>0</v>
      </c>
      <c r="U176" s="3">
        <f t="shared" si="75"/>
        <v>0</v>
      </c>
      <c r="V176" s="3">
        <f t="shared" si="62"/>
        <v>0</v>
      </c>
      <c r="W176" s="3">
        <f t="shared" si="65"/>
        <v>0</v>
      </c>
      <c r="X176" s="3">
        <f t="shared" si="66"/>
        <v>0</v>
      </c>
      <c r="Y176" s="3">
        <f t="shared" si="67"/>
        <v>0</v>
      </c>
      <c r="Z176" s="3">
        <f t="shared" si="78"/>
        <v>0</v>
      </c>
      <c r="AA176" s="3">
        <f t="shared" si="79"/>
        <v>0</v>
      </c>
      <c r="AB176" s="3" t="e">
        <f t="shared" si="80"/>
        <v>#DIV/0!</v>
      </c>
      <c r="AC176" s="3" t="str">
        <f t="shared" si="81"/>
        <v/>
      </c>
      <c r="AD176" s="3">
        <f t="shared" si="68"/>
        <v>0</v>
      </c>
      <c r="AE176" s="3">
        <f t="shared" si="63"/>
        <v>0</v>
      </c>
      <c r="AF176" s="3">
        <f t="shared" si="69"/>
        <v>0</v>
      </c>
      <c r="AG176" s="3" t="e">
        <f>AF176 / SUM(F$2:F176)</f>
        <v>#DIV/0!</v>
      </c>
      <c r="AH176" s="3" t="e">
        <f t="shared" si="70"/>
        <v>#DIV/0!</v>
      </c>
      <c r="AI176" s="3">
        <f t="shared" si="71"/>
        <v>0</v>
      </c>
      <c r="AJ176" s="3" t="e">
        <f t="shared" si="72"/>
        <v>#DIV/0!</v>
      </c>
      <c r="AK176" s="3" t="e">
        <f t="shared" si="87"/>
        <v>#DIV/0!</v>
      </c>
    </row>
    <row r="177" spans="1:37" x14ac:dyDescent="0.3">
      <c r="A177" s="24">
        <v>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f t="shared" si="60"/>
        <v>0</v>
      </c>
      <c r="H177" s="3">
        <f t="shared" si="77"/>
        <v>0</v>
      </c>
      <c r="I177" s="3">
        <f t="shared" si="82"/>
        <v>0</v>
      </c>
      <c r="J177" s="3">
        <f t="shared" si="83"/>
        <v>0</v>
      </c>
      <c r="K177" s="3">
        <f t="shared" si="84"/>
        <v>0</v>
      </c>
      <c r="L177" s="3">
        <f t="shared" si="85"/>
        <v>0</v>
      </c>
      <c r="M177" s="3" t="e">
        <f t="shared" si="64"/>
        <v>#DIV/0!</v>
      </c>
      <c r="N177" s="3" t="e">
        <f t="shared" si="73"/>
        <v>#DIV/0!</v>
      </c>
      <c r="O177" s="3" t="e">
        <f t="shared" si="86"/>
        <v>#DIV/0!</v>
      </c>
      <c r="P177" s="3">
        <f t="shared" si="74"/>
        <v>0</v>
      </c>
      <c r="Q177" s="3">
        <f t="shared" si="88"/>
        <v>0</v>
      </c>
      <c r="R177" s="3">
        <f t="shared" si="76"/>
        <v>0</v>
      </c>
      <c r="S177" s="3">
        <f t="shared" si="89"/>
        <v>0</v>
      </c>
      <c r="T177" s="3">
        <f t="shared" si="61"/>
        <v>0</v>
      </c>
      <c r="U177" s="3">
        <f t="shared" si="75"/>
        <v>0</v>
      </c>
      <c r="V177" s="3">
        <f t="shared" si="62"/>
        <v>0</v>
      </c>
      <c r="W177" s="3">
        <f t="shared" si="65"/>
        <v>0</v>
      </c>
      <c r="X177" s="3">
        <f t="shared" si="66"/>
        <v>0</v>
      </c>
      <c r="Y177" s="3">
        <f t="shared" si="67"/>
        <v>0</v>
      </c>
      <c r="Z177" s="3">
        <f t="shared" si="78"/>
        <v>0</v>
      </c>
      <c r="AA177" s="3">
        <f t="shared" si="79"/>
        <v>0</v>
      </c>
      <c r="AB177" s="3" t="e">
        <f t="shared" si="80"/>
        <v>#DIV/0!</v>
      </c>
      <c r="AC177" s="3" t="str">
        <f t="shared" si="81"/>
        <v/>
      </c>
      <c r="AD177" s="3">
        <f t="shared" si="68"/>
        <v>0</v>
      </c>
      <c r="AE177" s="3">
        <f t="shared" si="63"/>
        <v>0</v>
      </c>
      <c r="AF177" s="3">
        <f t="shared" si="69"/>
        <v>0</v>
      </c>
      <c r="AG177" s="3" t="e">
        <f>AF177 / SUM(F$2:F177)</f>
        <v>#DIV/0!</v>
      </c>
      <c r="AH177" s="3" t="e">
        <f t="shared" si="70"/>
        <v>#DIV/0!</v>
      </c>
      <c r="AI177" s="3">
        <f t="shared" si="71"/>
        <v>0</v>
      </c>
      <c r="AJ177" s="3" t="e">
        <f t="shared" si="72"/>
        <v>#DIV/0!</v>
      </c>
      <c r="AK177" s="3" t="e">
        <f t="shared" si="87"/>
        <v>#DIV/0!</v>
      </c>
    </row>
    <row r="178" spans="1:37" x14ac:dyDescent="0.3">
      <c r="A178" s="24">
        <v>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f t="shared" si="60"/>
        <v>0</v>
      </c>
      <c r="H178" s="3">
        <f t="shared" si="77"/>
        <v>0</v>
      </c>
      <c r="I178" s="3">
        <f t="shared" si="82"/>
        <v>0</v>
      </c>
      <c r="J178" s="3">
        <f t="shared" si="83"/>
        <v>0</v>
      </c>
      <c r="K178" s="3">
        <f t="shared" si="84"/>
        <v>0</v>
      </c>
      <c r="L178" s="3">
        <f t="shared" si="85"/>
        <v>0</v>
      </c>
      <c r="M178" s="3" t="e">
        <f t="shared" si="64"/>
        <v>#DIV/0!</v>
      </c>
      <c r="N178" s="3" t="e">
        <f t="shared" si="73"/>
        <v>#DIV/0!</v>
      </c>
      <c r="O178" s="3" t="e">
        <f t="shared" si="86"/>
        <v>#DIV/0!</v>
      </c>
      <c r="P178" s="3">
        <f t="shared" si="74"/>
        <v>0</v>
      </c>
      <c r="Q178" s="3">
        <f t="shared" si="88"/>
        <v>0</v>
      </c>
      <c r="R178" s="3">
        <f t="shared" si="76"/>
        <v>0</v>
      </c>
      <c r="S178" s="3">
        <f t="shared" si="89"/>
        <v>0</v>
      </c>
      <c r="T178" s="3">
        <f t="shared" si="61"/>
        <v>0</v>
      </c>
      <c r="U178" s="3">
        <f t="shared" si="75"/>
        <v>0</v>
      </c>
      <c r="V178" s="3">
        <f t="shared" si="62"/>
        <v>0</v>
      </c>
      <c r="W178" s="3">
        <f t="shared" si="65"/>
        <v>0</v>
      </c>
      <c r="X178" s="3">
        <f t="shared" si="66"/>
        <v>0</v>
      </c>
      <c r="Y178" s="3">
        <f t="shared" si="67"/>
        <v>0</v>
      </c>
      <c r="Z178" s="3">
        <f t="shared" si="78"/>
        <v>0</v>
      </c>
      <c r="AA178" s="3">
        <f t="shared" si="79"/>
        <v>0</v>
      </c>
      <c r="AB178" s="3" t="e">
        <f t="shared" si="80"/>
        <v>#DIV/0!</v>
      </c>
      <c r="AC178" s="3" t="str">
        <f t="shared" si="81"/>
        <v/>
      </c>
      <c r="AD178" s="3">
        <f t="shared" si="68"/>
        <v>0</v>
      </c>
      <c r="AE178" s="3">
        <f t="shared" si="63"/>
        <v>0</v>
      </c>
      <c r="AF178" s="3">
        <f t="shared" si="69"/>
        <v>0</v>
      </c>
      <c r="AG178" s="3" t="e">
        <f>AF178 / SUM(F$2:F178)</f>
        <v>#DIV/0!</v>
      </c>
      <c r="AH178" s="3" t="e">
        <f t="shared" si="70"/>
        <v>#DIV/0!</v>
      </c>
      <c r="AI178" s="3">
        <f t="shared" si="71"/>
        <v>0</v>
      </c>
      <c r="AJ178" s="3" t="e">
        <f t="shared" si="72"/>
        <v>#DIV/0!</v>
      </c>
      <c r="AK178" s="3" t="e">
        <f t="shared" si="87"/>
        <v>#DIV/0!</v>
      </c>
    </row>
    <row r="179" spans="1:37" x14ac:dyDescent="0.3">
      <c r="A179" s="24">
        <v>0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f t="shared" si="60"/>
        <v>0</v>
      </c>
      <c r="H179" s="3">
        <f t="shared" si="77"/>
        <v>0</v>
      </c>
      <c r="I179" s="3">
        <f t="shared" si="82"/>
        <v>0</v>
      </c>
      <c r="J179" s="3">
        <f t="shared" si="83"/>
        <v>0</v>
      </c>
      <c r="K179" s="3">
        <f t="shared" si="84"/>
        <v>0</v>
      </c>
      <c r="L179" s="3">
        <f t="shared" si="85"/>
        <v>0</v>
      </c>
      <c r="M179" s="3" t="e">
        <f t="shared" si="64"/>
        <v>#DIV/0!</v>
      </c>
      <c r="N179" s="3" t="e">
        <f t="shared" si="73"/>
        <v>#DIV/0!</v>
      </c>
      <c r="O179" s="3" t="e">
        <f t="shared" si="86"/>
        <v>#DIV/0!</v>
      </c>
      <c r="P179" s="3">
        <f t="shared" si="74"/>
        <v>0</v>
      </c>
      <c r="Q179" s="3">
        <f t="shared" si="88"/>
        <v>0</v>
      </c>
      <c r="R179" s="3">
        <f t="shared" si="76"/>
        <v>0</v>
      </c>
      <c r="S179" s="3">
        <f t="shared" si="89"/>
        <v>0</v>
      </c>
      <c r="T179" s="3">
        <f t="shared" si="61"/>
        <v>0</v>
      </c>
      <c r="U179" s="3">
        <f t="shared" si="75"/>
        <v>0</v>
      </c>
      <c r="V179" s="3">
        <f t="shared" si="62"/>
        <v>0</v>
      </c>
      <c r="W179" s="3">
        <f t="shared" si="65"/>
        <v>0</v>
      </c>
      <c r="X179" s="3">
        <f t="shared" si="66"/>
        <v>0</v>
      </c>
      <c r="Y179" s="3">
        <f t="shared" si="67"/>
        <v>0</v>
      </c>
      <c r="Z179" s="3">
        <f t="shared" si="78"/>
        <v>0</v>
      </c>
      <c r="AA179" s="3">
        <f t="shared" si="79"/>
        <v>0</v>
      </c>
      <c r="AB179" s="3" t="e">
        <f t="shared" si="80"/>
        <v>#DIV/0!</v>
      </c>
      <c r="AC179" s="3" t="str">
        <f t="shared" si="81"/>
        <v/>
      </c>
      <c r="AD179" s="3">
        <f t="shared" si="68"/>
        <v>0</v>
      </c>
      <c r="AE179" s="3">
        <f t="shared" si="63"/>
        <v>0</v>
      </c>
      <c r="AF179" s="3">
        <f t="shared" si="69"/>
        <v>0</v>
      </c>
      <c r="AG179" s="3" t="e">
        <f>AF179 / SUM(F$2:F179)</f>
        <v>#DIV/0!</v>
      </c>
      <c r="AH179" s="3" t="e">
        <f t="shared" si="70"/>
        <v>#DIV/0!</v>
      </c>
      <c r="AI179" s="3">
        <f t="shared" si="71"/>
        <v>0</v>
      </c>
      <c r="AJ179" s="3" t="e">
        <f t="shared" si="72"/>
        <v>#DIV/0!</v>
      </c>
      <c r="AK179" s="3" t="e">
        <f t="shared" si="87"/>
        <v>#DIV/0!</v>
      </c>
    </row>
    <row r="180" spans="1:37" x14ac:dyDescent="0.3">
      <c r="A180" s="24">
        <v>0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f t="shared" si="60"/>
        <v>0</v>
      </c>
      <c r="H180" s="3">
        <f t="shared" si="77"/>
        <v>0</v>
      </c>
      <c r="I180" s="3">
        <f t="shared" si="82"/>
        <v>0</v>
      </c>
      <c r="J180" s="3">
        <f t="shared" si="83"/>
        <v>0</v>
      </c>
      <c r="K180" s="3">
        <f t="shared" si="84"/>
        <v>0</v>
      </c>
      <c r="L180" s="3">
        <f t="shared" si="85"/>
        <v>0</v>
      </c>
      <c r="M180" s="3" t="e">
        <f t="shared" si="64"/>
        <v>#DIV/0!</v>
      </c>
      <c r="N180" s="3" t="e">
        <f t="shared" si="73"/>
        <v>#DIV/0!</v>
      </c>
      <c r="O180" s="3" t="e">
        <f t="shared" si="86"/>
        <v>#DIV/0!</v>
      </c>
      <c r="P180" s="3">
        <f t="shared" si="74"/>
        <v>0</v>
      </c>
      <c r="Q180" s="3">
        <f t="shared" si="88"/>
        <v>0</v>
      </c>
      <c r="R180" s="3">
        <f t="shared" si="76"/>
        <v>0</v>
      </c>
      <c r="S180" s="3">
        <f t="shared" si="89"/>
        <v>0</v>
      </c>
      <c r="T180" s="3">
        <f t="shared" si="61"/>
        <v>0</v>
      </c>
      <c r="U180" s="3">
        <f t="shared" si="75"/>
        <v>0</v>
      </c>
      <c r="V180" s="3">
        <f t="shared" si="62"/>
        <v>0</v>
      </c>
      <c r="W180" s="3">
        <f t="shared" si="65"/>
        <v>0</v>
      </c>
      <c r="X180" s="3">
        <f t="shared" si="66"/>
        <v>0</v>
      </c>
      <c r="Y180" s="3">
        <f t="shared" si="67"/>
        <v>0</v>
      </c>
      <c r="Z180" s="3">
        <f t="shared" si="78"/>
        <v>0</v>
      </c>
      <c r="AA180" s="3">
        <f t="shared" si="79"/>
        <v>0</v>
      </c>
      <c r="AB180" s="3" t="e">
        <f t="shared" si="80"/>
        <v>#DIV/0!</v>
      </c>
      <c r="AC180" s="3" t="str">
        <f t="shared" si="81"/>
        <v/>
      </c>
      <c r="AD180" s="3">
        <f t="shared" si="68"/>
        <v>0</v>
      </c>
      <c r="AE180" s="3">
        <f t="shared" si="63"/>
        <v>0</v>
      </c>
      <c r="AF180" s="3">
        <f t="shared" si="69"/>
        <v>0</v>
      </c>
      <c r="AG180" s="3" t="e">
        <f>AF180 / SUM(F$2:F180)</f>
        <v>#DIV/0!</v>
      </c>
      <c r="AH180" s="3" t="e">
        <f t="shared" si="70"/>
        <v>#DIV/0!</v>
      </c>
      <c r="AI180" s="3">
        <f t="shared" si="71"/>
        <v>0</v>
      </c>
      <c r="AJ180" s="3" t="e">
        <f t="shared" si="72"/>
        <v>#DIV/0!</v>
      </c>
      <c r="AK180" s="3" t="e">
        <f t="shared" si="87"/>
        <v>#DIV/0!</v>
      </c>
    </row>
    <row r="181" spans="1:37" x14ac:dyDescent="0.3">
      <c r="A181" s="24">
        <v>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f t="shared" si="60"/>
        <v>0</v>
      </c>
      <c r="H181" s="3">
        <f t="shared" si="77"/>
        <v>0</v>
      </c>
      <c r="I181" s="3">
        <f t="shared" si="82"/>
        <v>0</v>
      </c>
      <c r="J181" s="3">
        <f t="shared" si="83"/>
        <v>0</v>
      </c>
      <c r="K181" s="3">
        <f t="shared" si="84"/>
        <v>0</v>
      </c>
      <c r="L181" s="3">
        <f t="shared" si="85"/>
        <v>0</v>
      </c>
      <c r="M181" s="3" t="e">
        <f t="shared" si="64"/>
        <v>#DIV/0!</v>
      </c>
      <c r="N181" s="3" t="e">
        <f t="shared" si="73"/>
        <v>#DIV/0!</v>
      </c>
      <c r="O181" s="3" t="e">
        <f t="shared" si="86"/>
        <v>#DIV/0!</v>
      </c>
      <c r="P181" s="3">
        <f t="shared" si="74"/>
        <v>0</v>
      </c>
      <c r="Q181" s="3">
        <f t="shared" si="88"/>
        <v>0</v>
      </c>
      <c r="R181" s="3">
        <f t="shared" si="76"/>
        <v>0</v>
      </c>
      <c r="S181" s="3">
        <f t="shared" si="89"/>
        <v>0</v>
      </c>
      <c r="T181" s="3">
        <f t="shared" si="61"/>
        <v>0</v>
      </c>
      <c r="U181" s="3">
        <f t="shared" si="75"/>
        <v>0</v>
      </c>
      <c r="V181" s="3">
        <f t="shared" si="62"/>
        <v>0</v>
      </c>
      <c r="W181" s="3">
        <f t="shared" si="65"/>
        <v>0</v>
      </c>
      <c r="X181" s="3">
        <f t="shared" si="66"/>
        <v>0</v>
      </c>
      <c r="Y181" s="3">
        <f t="shared" si="67"/>
        <v>0</v>
      </c>
      <c r="Z181" s="3">
        <f t="shared" si="78"/>
        <v>0</v>
      </c>
      <c r="AA181" s="3">
        <f t="shared" si="79"/>
        <v>0</v>
      </c>
      <c r="AB181" s="3" t="e">
        <f t="shared" si="80"/>
        <v>#DIV/0!</v>
      </c>
      <c r="AC181" s="3" t="str">
        <f t="shared" si="81"/>
        <v/>
      </c>
      <c r="AD181" s="3">
        <f t="shared" si="68"/>
        <v>0</v>
      </c>
      <c r="AE181" s="3">
        <f t="shared" si="63"/>
        <v>0</v>
      </c>
      <c r="AF181" s="3">
        <f t="shared" si="69"/>
        <v>0</v>
      </c>
      <c r="AG181" s="3" t="e">
        <f>AF181 / SUM(F$2:F181)</f>
        <v>#DIV/0!</v>
      </c>
      <c r="AH181" s="3" t="e">
        <f t="shared" si="70"/>
        <v>#DIV/0!</v>
      </c>
      <c r="AI181" s="3">
        <f t="shared" si="71"/>
        <v>0</v>
      </c>
      <c r="AJ181" s="3" t="e">
        <f t="shared" si="72"/>
        <v>#DIV/0!</v>
      </c>
      <c r="AK181" s="3" t="e">
        <f t="shared" si="87"/>
        <v>#DIV/0!</v>
      </c>
    </row>
    <row r="182" spans="1:37" x14ac:dyDescent="0.3">
      <c r="A182" s="24">
        <v>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f t="shared" si="60"/>
        <v>0</v>
      </c>
      <c r="H182" s="3">
        <f t="shared" si="77"/>
        <v>0</v>
      </c>
      <c r="I182" s="3">
        <f t="shared" si="82"/>
        <v>0</v>
      </c>
      <c r="J182" s="3">
        <f t="shared" si="83"/>
        <v>0</v>
      </c>
      <c r="K182" s="3">
        <f t="shared" si="84"/>
        <v>0</v>
      </c>
      <c r="L182" s="3">
        <f t="shared" si="85"/>
        <v>0</v>
      </c>
      <c r="M182" s="3" t="e">
        <f t="shared" si="64"/>
        <v>#DIV/0!</v>
      </c>
      <c r="N182" s="3" t="e">
        <f t="shared" si="73"/>
        <v>#DIV/0!</v>
      </c>
      <c r="O182" s="3" t="e">
        <f t="shared" si="86"/>
        <v>#DIV/0!</v>
      </c>
      <c r="P182" s="3">
        <f t="shared" si="74"/>
        <v>0</v>
      </c>
      <c r="Q182" s="3">
        <f t="shared" si="88"/>
        <v>0</v>
      </c>
      <c r="R182" s="3">
        <f t="shared" si="76"/>
        <v>0</v>
      </c>
      <c r="S182" s="3">
        <f t="shared" si="89"/>
        <v>0</v>
      </c>
      <c r="T182" s="3">
        <f t="shared" si="61"/>
        <v>0</v>
      </c>
      <c r="U182" s="3">
        <f t="shared" si="75"/>
        <v>0</v>
      </c>
      <c r="V182" s="3">
        <f t="shared" si="62"/>
        <v>0</v>
      </c>
      <c r="W182" s="3">
        <f t="shared" si="65"/>
        <v>0</v>
      </c>
      <c r="X182" s="3">
        <f t="shared" si="66"/>
        <v>0</v>
      </c>
      <c r="Y182" s="3">
        <f t="shared" si="67"/>
        <v>0</v>
      </c>
      <c r="Z182" s="3">
        <f t="shared" si="78"/>
        <v>0</v>
      </c>
      <c r="AA182" s="3">
        <f t="shared" si="79"/>
        <v>0</v>
      </c>
      <c r="AB182" s="3" t="e">
        <f t="shared" si="80"/>
        <v>#DIV/0!</v>
      </c>
      <c r="AC182" s="3" t="str">
        <f t="shared" si="81"/>
        <v/>
      </c>
      <c r="AD182" s="3">
        <f t="shared" si="68"/>
        <v>0</v>
      </c>
      <c r="AE182" s="3">
        <f t="shared" si="63"/>
        <v>0</v>
      </c>
      <c r="AF182" s="3">
        <f t="shared" si="69"/>
        <v>0</v>
      </c>
      <c r="AG182" s="3" t="e">
        <f>AF182 / SUM(F$2:F182)</f>
        <v>#DIV/0!</v>
      </c>
      <c r="AH182" s="3" t="e">
        <f t="shared" si="70"/>
        <v>#DIV/0!</v>
      </c>
      <c r="AI182" s="3">
        <f t="shared" si="71"/>
        <v>0</v>
      </c>
      <c r="AJ182" s="3" t="e">
        <f t="shared" si="72"/>
        <v>#DIV/0!</v>
      </c>
      <c r="AK182" s="3" t="e">
        <f t="shared" si="87"/>
        <v>#DIV/0!</v>
      </c>
    </row>
    <row r="183" spans="1:37" x14ac:dyDescent="0.3">
      <c r="A183" s="24">
        <v>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f t="shared" si="60"/>
        <v>0</v>
      </c>
      <c r="H183" s="3">
        <f t="shared" si="77"/>
        <v>0</v>
      </c>
      <c r="I183" s="3">
        <f t="shared" si="82"/>
        <v>0</v>
      </c>
      <c r="J183" s="3">
        <f t="shared" si="83"/>
        <v>0</v>
      </c>
      <c r="K183" s="3">
        <f t="shared" si="84"/>
        <v>0</v>
      </c>
      <c r="L183" s="3">
        <f t="shared" si="85"/>
        <v>0</v>
      </c>
      <c r="M183" s="3" t="e">
        <f t="shared" si="64"/>
        <v>#DIV/0!</v>
      </c>
      <c r="N183" s="3" t="e">
        <f t="shared" si="73"/>
        <v>#DIV/0!</v>
      </c>
      <c r="O183" s="3" t="e">
        <f t="shared" si="86"/>
        <v>#DIV/0!</v>
      </c>
      <c r="P183" s="3">
        <f t="shared" si="74"/>
        <v>0</v>
      </c>
      <c r="Q183" s="3">
        <f t="shared" si="88"/>
        <v>0</v>
      </c>
      <c r="R183" s="3">
        <f t="shared" si="76"/>
        <v>0</v>
      </c>
      <c r="S183" s="3">
        <f t="shared" si="89"/>
        <v>0</v>
      </c>
      <c r="T183" s="3">
        <f t="shared" si="61"/>
        <v>0</v>
      </c>
      <c r="U183" s="3">
        <f t="shared" si="75"/>
        <v>0</v>
      </c>
      <c r="V183" s="3">
        <f t="shared" si="62"/>
        <v>0</v>
      </c>
      <c r="W183" s="3">
        <f t="shared" si="65"/>
        <v>0</v>
      </c>
      <c r="X183" s="3">
        <f t="shared" si="66"/>
        <v>0</v>
      </c>
      <c r="Y183" s="3">
        <f t="shared" si="67"/>
        <v>0</v>
      </c>
      <c r="Z183" s="3">
        <f t="shared" si="78"/>
        <v>0</v>
      </c>
      <c r="AA183" s="3">
        <f t="shared" si="79"/>
        <v>0</v>
      </c>
      <c r="AB183" s="3" t="e">
        <f t="shared" si="80"/>
        <v>#DIV/0!</v>
      </c>
      <c r="AC183" s="3" t="str">
        <f t="shared" si="81"/>
        <v/>
      </c>
      <c r="AD183" s="3">
        <f t="shared" si="68"/>
        <v>0</v>
      </c>
      <c r="AE183" s="3">
        <f t="shared" si="63"/>
        <v>0</v>
      </c>
      <c r="AF183" s="3">
        <f t="shared" si="69"/>
        <v>0</v>
      </c>
      <c r="AG183" s="3" t="e">
        <f>AF183 / SUM(F$2:F183)</f>
        <v>#DIV/0!</v>
      </c>
      <c r="AH183" s="3" t="e">
        <f t="shared" si="70"/>
        <v>#DIV/0!</v>
      </c>
      <c r="AI183" s="3">
        <f t="shared" si="71"/>
        <v>0</v>
      </c>
      <c r="AJ183" s="3" t="e">
        <f t="shared" si="72"/>
        <v>#DIV/0!</v>
      </c>
      <c r="AK183" s="3" t="e">
        <f t="shared" si="87"/>
        <v>#DIV/0!</v>
      </c>
    </row>
    <row r="184" spans="1:37" x14ac:dyDescent="0.3">
      <c r="A184" s="24">
        <v>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f t="shared" si="60"/>
        <v>0</v>
      </c>
      <c r="H184" s="3">
        <f t="shared" si="77"/>
        <v>0</v>
      </c>
      <c r="I184" s="3">
        <f t="shared" si="82"/>
        <v>0</v>
      </c>
      <c r="J184" s="3">
        <f t="shared" si="83"/>
        <v>0</v>
      </c>
      <c r="K184" s="3">
        <f t="shared" si="84"/>
        <v>0</v>
      </c>
      <c r="L184" s="3">
        <f t="shared" si="85"/>
        <v>0</v>
      </c>
      <c r="M184" s="3" t="e">
        <f t="shared" si="64"/>
        <v>#DIV/0!</v>
      </c>
      <c r="N184" s="3" t="e">
        <f t="shared" si="73"/>
        <v>#DIV/0!</v>
      </c>
      <c r="O184" s="3" t="e">
        <f t="shared" si="86"/>
        <v>#DIV/0!</v>
      </c>
      <c r="P184" s="3">
        <f t="shared" si="74"/>
        <v>0</v>
      </c>
      <c r="Q184" s="3">
        <f t="shared" si="88"/>
        <v>0</v>
      </c>
      <c r="R184" s="3">
        <f t="shared" si="76"/>
        <v>0</v>
      </c>
      <c r="S184" s="3">
        <f t="shared" si="89"/>
        <v>0</v>
      </c>
      <c r="T184" s="3">
        <f t="shared" si="61"/>
        <v>0</v>
      </c>
      <c r="U184" s="3">
        <f t="shared" si="75"/>
        <v>0</v>
      </c>
      <c r="V184" s="3">
        <f t="shared" si="62"/>
        <v>0</v>
      </c>
      <c r="W184" s="3">
        <f t="shared" si="65"/>
        <v>0</v>
      </c>
      <c r="X184" s="3">
        <f t="shared" si="66"/>
        <v>0</v>
      </c>
      <c r="Y184" s="3">
        <f t="shared" si="67"/>
        <v>0</v>
      </c>
      <c r="Z184" s="3">
        <f t="shared" si="78"/>
        <v>0</v>
      </c>
      <c r="AA184" s="3">
        <f t="shared" si="79"/>
        <v>0</v>
      </c>
      <c r="AB184" s="3" t="e">
        <f t="shared" si="80"/>
        <v>#DIV/0!</v>
      </c>
      <c r="AC184" s="3" t="str">
        <f t="shared" si="81"/>
        <v/>
      </c>
      <c r="AD184" s="3">
        <f t="shared" si="68"/>
        <v>0</v>
      </c>
      <c r="AE184" s="3">
        <f t="shared" si="63"/>
        <v>0</v>
      </c>
      <c r="AF184" s="3">
        <f t="shared" si="69"/>
        <v>0</v>
      </c>
      <c r="AG184" s="3" t="e">
        <f>AF184 / SUM(F$2:F184)</f>
        <v>#DIV/0!</v>
      </c>
      <c r="AH184" s="3" t="e">
        <f t="shared" si="70"/>
        <v>#DIV/0!</v>
      </c>
      <c r="AI184" s="3">
        <f t="shared" si="71"/>
        <v>0</v>
      </c>
      <c r="AJ184" s="3" t="e">
        <f t="shared" si="72"/>
        <v>#DIV/0!</v>
      </c>
      <c r="AK184" s="3" t="e">
        <f t="shared" si="87"/>
        <v>#DIV/0!</v>
      </c>
    </row>
    <row r="185" spans="1:37" x14ac:dyDescent="0.3">
      <c r="A185" s="24">
        <v>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f t="shared" si="60"/>
        <v>0</v>
      </c>
      <c r="H185" s="3">
        <f t="shared" si="77"/>
        <v>0</v>
      </c>
      <c r="I185" s="3">
        <f t="shared" si="82"/>
        <v>0</v>
      </c>
      <c r="J185" s="3">
        <f t="shared" si="83"/>
        <v>0</v>
      </c>
      <c r="K185" s="3">
        <f t="shared" si="84"/>
        <v>0</v>
      </c>
      <c r="L185" s="3">
        <f t="shared" si="85"/>
        <v>0</v>
      </c>
      <c r="M185" s="3" t="e">
        <f t="shared" si="64"/>
        <v>#DIV/0!</v>
      </c>
      <c r="N185" s="3" t="e">
        <f t="shared" si="73"/>
        <v>#DIV/0!</v>
      </c>
      <c r="O185" s="3" t="e">
        <f t="shared" si="86"/>
        <v>#DIV/0!</v>
      </c>
      <c r="P185" s="3">
        <f t="shared" si="74"/>
        <v>0</v>
      </c>
      <c r="Q185" s="3">
        <f t="shared" si="88"/>
        <v>0</v>
      </c>
      <c r="R185" s="3">
        <f t="shared" si="76"/>
        <v>0</v>
      </c>
      <c r="S185" s="3">
        <f t="shared" si="89"/>
        <v>0</v>
      </c>
      <c r="T185" s="3">
        <f t="shared" si="61"/>
        <v>0</v>
      </c>
      <c r="U185" s="3">
        <f t="shared" si="75"/>
        <v>0</v>
      </c>
      <c r="V185" s="3">
        <f t="shared" si="62"/>
        <v>0</v>
      </c>
      <c r="W185" s="3">
        <f t="shared" si="65"/>
        <v>0</v>
      </c>
      <c r="X185" s="3">
        <f t="shared" si="66"/>
        <v>0</v>
      </c>
      <c r="Y185" s="3">
        <f t="shared" si="67"/>
        <v>0</v>
      </c>
      <c r="Z185" s="3">
        <f t="shared" si="78"/>
        <v>0</v>
      </c>
      <c r="AA185" s="3">
        <f t="shared" si="79"/>
        <v>0</v>
      </c>
      <c r="AB185" s="3" t="e">
        <f t="shared" si="80"/>
        <v>#DIV/0!</v>
      </c>
      <c r="AC185" s="3" t="str">
        <f t="shared" si="81"/>
        <v/>
      </c>
      <c r="AD185" s="3">
        <f t="shared" si="68"/>
        <v>0</v>
      </c>
      <c r="AE185" s="3">
        <f t="shared" si="63"/>
        <v>0</v>
      </c>
      <c r="AF185" s="3">
        <f t="shared" si="69"/>
        <v>0</v>
      </c>
      <c r="AG185" s="3" t="e">
        <f>AF185 / SUM(F$2:F185)</f>
        <v>#DIV/0!</v>
      </c>
      <c r="AH185" s="3" t="e">
        <f t="shared" si="70"/>
        <v>#DIV/0!</v>
      </c>
      <c r="AI185" s="3">
        <f t="shared" si="71"/>
        <v>0</v>
      </c>
      <c r="AJ185" s="3" t="e">
        <f t="shared" si="72"/>
        <v>#DIV/0!</v>
      </c>
      <c r="AK185" s="3" t="e">
        <f t="shared" si="87"/>
        <v>#DIV/0!</v>
      </c>
    </row>
    <row r="186" spans="1:37" x14ac:dyDescent="0.3">
      <c r="A186" s="24">
        <v>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f t="shared" si="60"/>
        <v>0</v>
      </c>
      <c r="H186" s="3">
        <f t="shared" si="77"/>
        <v>0</v>
      </c>
      <c r="I186" s="3">
        <f t="shared" si="82"/>
        <v>0</v>
      </c>
      <c r="J186" s="3">
        <f t="shared" si="83"/>
        <v>0</v>
      </c>
      <c r="K186" s="3">
        <f t="shared" si="84"/>
        <v>0</v>
      </c>
      <c r="L186" s="3">
        <f t="shared" si="85"/>
        <v>0</v>
      </c>
      <c r="M186" s="3" t="e">
        <f t="shared" si="64"/>
        <v>#DIV/0!</v>
      </c>
      <c r="N186" s="3" t="e">
        <f t="shared" si="73"/>
        <v>#DIV/0!</v>
      </c>
      <c r="O186" s="3" t="e">
        <f t="shared" si="86"/>
        <v>#DIV/0!</v>
      </c>
      <c r="P186" s="3">
        <f t="shared" si="74"/>
        <v>0</v>
      </c>
      <c r="Q186" s="3">
        <f t="shared" si="88"/>
        <v>0</v>
      </c>
      <c r="R186" s="3">
        <f t="shared" si="76"/>
        <v>0</v>
      </c>
      <c r="S186" s="3">
        <f t="shared" si="89"/>
        <v>0</v>
      </c>
      <c r="T186" s="3">
        <f t="shared" si="61"/>
        <v>0</v>
      </c>
      <c r="U186" s="3">
        <f t="shared" si="75"/>
        <v>0</v>
      </c>
      <c r="V186" s="3">
        <f t="shared" si="62"/>
        <v>0</v>
      </c>
      <c r="W186" s="3">
        <f t="shared" si="65"/>
        <v>0</v>
      </c>
      <c r="X186" s="3">
        <f t="shared" si="66"/>
        <v>0</v>
      </c>
      <c r="Y186" s="3">
        <f t="shared" si="67"/>
        <v>0</v>
      </c>
      <c r="Z186" s="3">
        <f t="shared" si="78"/>
        <v>0</v>
      </c>
      <c r="AA186" s="3">
        <f t="shared" si="79"/>
        <v>0</v>
      </c>
      <c r="AB186" s="3" t="e">
        <f t="shared" si="80"/>
        <v>#DIV/0!</v>
      </c>
      <c r="AC186" s="3" t="str">
        <f t="shared" si="81"/>
        <v/>
      </c>
      <c r="AD186" s="3">
        <f t="shared" si="68"/>
        <v>0</v>
      </c>
      <c r="AE186" s="3">
        <f t="shared" si="63"/>
        <v>0</v>
      </c>
      <c r="AF186" s="3">
        <f t="shared" si="69"/>
        <v>0</v>
      </c>
      <c r="AG186" s="3" t="e">
        <f>AF186 / SUM(F$2:F186)</f>
        <v>#DIV/0!</v>
      </c>
      <c r="AH186" s="3" t="e">
        <f t="shared" si="70"/>
        <v>#DIV/0!</v>
      </c>
      <c r="AI186" s="3">
        <f t="shared" si="71"/>
        <v>0</v>
      </c>
      <c r="AJ186" s="3" t="e">
        <f t="shared" si="72"/>
        <v>#DIV/0!</v>
      </c>
      <c r="AK186" s="3" t="e">
        <f t="shared" si="87"/>
        <v>#DIV/0!</v>
      </c>
    </row>
    <row r="187" spans="1:37" x14ac:dyDescent="0.3">
      <c r="A187" s="24">
        <v>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f t="shared" si="60"/>
        <v>0</v>
      </c>
      <c r="H187" s="3">
        <f t="shared" si="77"/>
        <v>0</v>
      </c>
      <c r="I187" s="3">
        <f t="shared" si="82"/>
        <v>0</v>
      </c>
      <c r="J187" s="3">
        <f t="shared" si="83"/>
        <v>0</v>
      </c>
      <c r="K187" s="3">
        <f t="shared" si="84"/>
        <v>0</v>
      </c>
      <c r="L187" s="3">
        <f t="shared" si="85"/>
        <v>0</v>
      </c>
      <c r="M187" s="3" t="e">
        <f t="shared" si="64"/>
        <v>#DIV/0!</v>
      </c>
      <c r="N187" s="3" t="e">
        <f t="shared" si="73"/>
        <v>#DIV/0!</v>
      </c>
      <c r="O187" s="3" t="e">
        <f t="shared" si="86"/>
        <v>#DIV/0!</v>
      </c>
      <c r="P187" s="3">
        <f t="shared" si="74"/>
        <v>0</v>
      </c>
      <c r="Q187" s="3">
        <f t="shared" si="88"/>
        <v>0</v>
      </c>
      <c r="R187" s="3">
        <f t="shared" si="76"/>
        <v>0</v>
      </c>
      <c r="S187" s="3">
        <f t="shared" si="89"/>
        <v>0</v>
      </c>
      <c r="T187" s="3">
        <f t="shared" si="61"/>
        <v>0</v>
      </c>
      <c r="U187" s="3">
        <f t="shared" si="75"/>
        <v>0</v>
      </c>
      <c r="V187" s="3">
        <f t="shared" si="62"/>
        <v>0</v>
      </c>
      <c r="W187" s="3">
        <f t="shared" si="65"/>
        <v>0</v>
      </c>
      <c r="X187" s="3">
        <f t="shared" si="66"/>
        <v>0</v>
      </c>
      <c r="Y187" s="3">
        <f t="shared" si="67"/>
        <v>0</v>
      </c>
      <c r="Z187" s="3">
        <f t="shared" si="78"/>
        <v>0</v>
      </c>
      <c r="AA187" s="3">
        <f t="shared" si="79"/>
        <v>0</v>
      </c>
      <c r="AB187" s="3" t="e">
        <f t="shared" si="80"/>
        <v>#DIV/0!</v>
      </c>
      <c r="AC187" s="3" t="str">
        <f t="shared" si="81"/>
        <v/>
      </c>
      <c r="AD187" s="3">
        <f t="shared" si="68"/>
        <v>0</v>
      </c>
      <c r="AE187" s="3">
        <f t="shared" si="63"/>
        <v>0</v>
      </c>
      <c r="AF187" s="3">
        <f t="shared" si="69"/>
        <v>0</v>
      </c>
      <c r="AG187" s="3" t="e">
        <f>AF187 / SUM(F$2:F187)</f>
        <v>#DIV/0!</v>
      </c>
      <c r="AH187" s="3" t="e">
        <f t="shared" si="70"/>
        <v>#DIV/0!</v>
      </c>
      <c r="AI187" s="3">
        <f t="shared" si="71"/>
        <v>0</v>
      </c>
      <c r="AJ187" s="3" t="e">
        <f t="shared" si="72"/>
        <v>#DIV/0!</v>
      </c>
      <c r="AK187" s="3" t="e">
        <f t="shared" si="87"/>
        <v>#DIV/0!</v>
      </c>
    </row>
    <row r="188" spans="1:37" x14ac:dyDescent="0.3">
      <c r="A188" s="24">
        <v>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f t="shared" si="60"/>
        <v>0</v>
      </c>
      <c r="H188" s="3">
        <f t="shared" si="77"/>
        <v>0</v>
      </c>
      <c r="I188" s="3">
        <f t="shared" si="82"/>
        <v>0</v>
      </c>
      <c r="J188" s="3">
        <f t="shared" si="83"/>
        <v>0</v>
      </c>
      <c r="K188" s="3">
        <f t="shared" si="84"/>
        <v>0</v>
      </c>
      <c r="L188" s="3">
        <f t="shared" si="85"/>
        <v>0</v>
      </c>
      <c r="M188" s="3" t="e">
        <f t="shared" si="64"/>
        <v>#DIV/0!</v>
      </c>
      <c r="N188" s="3" t="e">
        <f t="shared" si="73"/>
        <v>#DIV/0!</v>
      </c>
      <c r="O188" s="3" t="e">
        <f t="shared" si="86"/>
        <v>#DIV/0!</v>
      </c>
      <c r="P188" s="3">
        <f t="shared" si="74"/>
        <v>0</v>
      </c>
      <c r="Q188" s="3">
        <f t="shared" si="88"/>
        <v>0</v>
      </c>
      <c r="R188" s="3">
        <f t="shared" si="76"/>
        <v>0</v>
      </c>
      <c r="S188" s="3">
        <f t="shared" si="89"/>
        <v>0</v>
      </c>
      <c r="T188" s="3">
        <f t="shared" si="61"/>
        <v>0</v>
      </c>
      <c r="U188" s="3">
        <f t="shared" si="75"/>
        <v>0</v>
      </c>
      <c r="V188" s="3">
        <f t="shared" si="62"/>
        <v>0</v>
      </c>
      <c r="W188" s="3">
        <f t="shared" si="65"/>
        <v>0</v>
      </c>
      <c r="X188" s="3">
        <f t="shared" si="66"/>
        <v>0</v>
      </c>
      <c r="Y188" s="3">
        <f t="shared" si="67"/>
        <v>0</v>
      </c>
      <c r="Z188" s="3">
        <f t="shared" si="78"/>
        <v>0</v>
      </c>
      <c r="AA188" s="3">
        <f t="shared" si="79"/>
        <v>0</v>
      </c>
      <c r="AB188" s="3" t="e">
        <f t="shared" si="80"/>
        <v>#DIV/0!</v>
      </c>
      <c r="AC188" s="3" t="str">
        <f t="shared" si="81"/>
        <v/>
      </c>
      <c r="AD188" s="3">
        <f t="shared" si="68"/>
        <v>0</v>
      </c>
      <c r="AE188" s="3">
        <f t="shared" si="63"/>
        <v>0</v>
      </c>
      <c r="AF188" s="3">
        <f t="shared" si="69"/>
        <v>0</v>
      </c>
      <c r="AG188" s="3" t="e">
        <f>AF188 / SUM(F$2:F188)</f>
        <v>#DIV/0!</v>
      </c>
      <c r="AH188" s="3" t="e">
        <f t="shared" si="70"/>
        <v>#DIV/0!</v>
      </c>
      <c r="AI188" s="3">
        <f t="shared" si="71"/>
        <v>0</v>
      </c>
      <c r="AJ188" s="3" t="e">
        <f t="shared" si="72"/>
        <v>#DIV/0!</v>
      </c>
      <c r="AK188" s="3" t="e">
        <f t="shared" si="87"/>
        <v>#DIV/0!</v>
      </c>
    </row>
    <row r="189" spans="1:37" x14ac:dyDescent="0.3">
      <c r="A189" s="24">
        <v>0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f t="shared" si="60"/>
        <v>0</v>
      </c>
      <c r="H189" s="3">
        <f t="shared" si="77"/>
        <v>0</v>
      </c>
      <c r="I189" s="3">
        <f t="shared" si="82"/>
        <v>0</v>
      </c>
      <c r="J189" s="3">
        <f t="shared" si="83"/>
        <v>0</v>
      </c>
      <c r="K189" s="3">
        <f t="shared" si="84"/>
        <v>0</v>
      </c>
      <c r="L189" s="3">
        <f t="shared" si="85"/>
        <v>0</v>
      </c>
      <c r="M189" s="3" t="e">
        <f t="shared" si="64"/>
        <v>#DIV/0!</v>
      </c>
      <c r="N189" s="3" t="e">
        <f t="shared" si="73"/>
        <v>#DIV/0!</v>
      </c>
      <c r="O189" s="3" t="e">
        <f t="shared" si="86"/>
        <v>#DIV/0!</v>
      </c>
      <c r="P189" s="3">
        <f t="shared" si="74"/>
        <v>0</v>
      </c>
      <c r="Q189" s="3">
        <f t="shared" si="88"/>
        <v>0</v>
      </c>
      <c r="R189" s="3">
        <f t="shared" si="76"/>
        <v>0</v>
      </c>
      <c r="S189" s="3">
        <f t="shared" si="89"/>
        <v>0</v>
      </c>
      <c r="T189" s="3">
        <f t="shared" si="61"/>
        <v>0</v>
      </c>
      <c r="U189" s="3">
        <f t="shared" si="75"/>
        <v>0</v>
      </c>
      <c r="V189" s="3">
        <f t="shared" si="62"/>
        <v>0</v>
      </c>
      <c r="W189" s="3">
        <f t="shared" si="65"/>
        <v>0</v>
      </c>
      <c r="X189" s="3">
        <f t="shared" si="66"/>
        <v>0</v>
      </c>
      <c r="Y189" s="3">
        <f t="shared" si="67"/>
        <v>0</v>
      </c>
      <c r="Z189" s="3">
        <f t="shared" si="78"/>
        <v>0</v>
      </c>
      <c r="AA189" s="3">
        <f t="shared" si="79"/>
        <v>0</v>
      </c>
      <c r="AB189" s="3" t="e">
        <f t="shared" si="80"/>
        <v>#DIV/0!</v>
      </c>
      <c r="AC189" s="3" t="str">
        <f t="shared" si="81"/>
        <v/>
      </c>
      <c r="AD189" s="3">
        <f t="shared" si="68"/>
        <v>0</v>
      </c>
      <c r="AE189" s="3">
        <f t="shared" si="63"/>
        <v>0</v>
      </c>
      <c r="AF189" s="3">
        <f t="shared" si="69"/>
        <v>0</v>
      </c>
      <c r="AG189" s="3" t="e">
        <f>AF189 / SUM(F$2:F189)</f>
        <v>#DIV/0!</v>
      </c>
      <c r="AH189" s="3" t="e">
        <f t="shared" si="70"/>
        <v>#DIV/0!</v>
      </c>
      <c r="AI189" s="3">
        <f t="shared" si="71"/>
        <v>0</v>
      </c>
      <c r="AJ189" s="3" t="e">
        <f t="shared" si="72"/>
        <v>#DIV/0!</v>
      </c>
      <c r="AK189" s="3" t="e">
        <f t="shared" si="87"/>
        <v>#DIV/0!</v>
      </c>
    </row>
    <row r="190" spans="1:37" x14ac:dyDescent="0.3">
      <c r="A190" s="24">
        <v>0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f t="shared" si="60"/>
        <v>0</v>
      </c>
      <c r="H190" s="3">
        <f t="shared" si="77"/>
        <v>0</v>
      </c>
      <c r="I190" s="3">
        <f t="shared" si="82"/>
        <v>0</v>
      </c>
      <c r="J190" s="3">
        <f t="shared" si="83"/>
        <v>0</v>
      </c>
      <c r="K190" s="3">
        <f t="shared" si="84"/>
        <v>0</v>
      </c>
      <c r="L190" s="3">
        <f t="shared" si="85"/>
        <v>0</v>
      </c>
      <c r="M190" s="3" t="e">
        <f t="shared" si="64"/>
        <v>#DIV/0!</v>
      </c>
      <c r="N190" s="3" t="e">
        <f t="shared" si="73"/>
        <v>#DIV/0!</v>
      </c>
      <c r="O190" s="3" t="e">
        <f t="shared" si="86"/>
        <v>#DIV/0!</v>
      </c>
      <c r="P190" s="3">
        <f t="shared" si="74"/>
        <v>0</v>
      </c>
      <c r="Q190" s="3">
        <f t="shared" si="88"/>
        <v>0</v>
      </c>
      <c r="R190" s="3">
        <f t="shared" si="76"/>
        <v>0</v>
      </c>
      <c r="S190" s="3">
        <f t="shared" si="89"/>
        <v>0</v>
      </c>
      <c r="T190" s="3">
        <f t="shared" si="61"/>
        <v>0</v>
      </c>
      <c r="U190" s="3">
        <f t="shared" si="75"/>
        <v>0</v>
      </c>
      <c r="V190" s="3">
        <f t="shared" si="62"/>
        <v>0</v>
      </c>
      <c r="W190" s="3">
        <f t="shared" si="65"/>
        <v>0</v>
      </c>
      <c r="X190" s="3">
        <f t="shared" si="66"/>
        <v>0</v>
      </c>
      <c r="Y190" s="3">
        <f t="shared" si="67"/>
        <v>0</v>
      </c>
      <c r="Z190" s="3">
        <f t="shared" si="78"/>
        <v>0</v>
      </c>
      <c r="AA190" s="3">
        <f t="shared" si="79"/>
        <v>0</v>
      </c>
      <c r="AB190" s="3" t="e">
        <f t="shared" si="80"/>
        <v>#DIV/0!</v>
      </c>
      <c r="AC190" s="3" t="str">
        <f t="shared" si="81"/>
        <v/>
      </c>
      <c r="AD190" s="3">
        <f t="shared" si="68"/>
        <v>0</v>
      </c>
      <c r="AE190" s="3">
        <f t="shared" si="63"/>
        <v>0</v>
      </c>
      <c r="AF190" s="3">
        <f t="shared" si="69"/>
        <v>0</v>
      </c>
      <c r="AG190" s="3" t="e">
        <f>AF190 / SUM(F$2:F190)</f>
        <v>#DIV/0!</v>
      </c>
      <c r="AH190" s="3" t="e">
        <f t="shared" si="70"/>
        <v>#DIV/0!</v>
      </c>
      <c r="AI190" s="3">
        <f t="shared" si="71"/>
        <v>0</v>
      </c>
      <c r="AJ190" s="3" t="e">
        <f t="shared" si="72"/>
        <v>#DIV/0!</v>
      </c>
      <c r="AK190" s="3" t="e">
        <f t="shared" si="87"/>
        <v>#DIV/0!</v>
      </c>
    </row>
    <row r="191" spans="1:37" x14ac:dyDescent="0.3">
      <c r="A191" s="24">
        <v>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f t="shared" si="60"/>
        <v>0</v>
      </c>
      <c r="H191" s="3">
        <f t="shared" si="77"/>
        <v>0</v>
      </c>
      <c r="I191" s="3">
        <f t="shared" si="82"/>
        <v>0</v>
      </c>
      <c r="J191" s="3">
        <f t="shared" si="83"/>
        <v>0</v>
      </c>
      <c r="K191" s="3">
        <f t="shared" si="84"/>
        <v>0</v>
      </c>
      <c r="L191" s="3">
        <f t="shared" si="85"/>
        <v>0</v>
      </c>
      <c r="M191" s="3" t="e">
        <f t="shared" si="64"/>
        <v>#DIV/0!</v>
      </c>
      <c r="N191" s="3" t="e">
        <f t="shared" si="73"/>
        <v>#DIV/0!</v>
      </c>
      <c r="O191" s="3" t="e">
        <f t="shared" si="86"/>
        <v>#DIV/0!</v>
      </c>
      <c r="P191" s="3">
        <f t="shared" si="74"/>
        <v>0</v>
      </c>
      <c r="Q191" s="3">
        <f t="shared" si="88"/>
        <v>0</v>
      </c>
      <c r="R191" s="3">
        <f t="shared" si="76"/>
        <v>0</v>
      </c>
      <c r="S191" s="3">
        <f t="shared" si="89"/>
        <v>0</v>
      </c>
      <c r="T191" s="3">
        <f t="shared" si="61"/>
        <v>0</v>
      </c>
      <c r="U191" s="3">
        <f t="shared" si="75"/>
        <v>0</v>
      </c>
      <c r="V191" s="3">
        <f t="shared" si="62"/>
        <v>0</v>
      </c>
      <c r="W191" s="3">
        <f t="shared" si="65"/>
        <v>0</v>
      </c>
      <c r="X191" s="3">
        <f t="shared" si="66"/>
        <v>0</v>
      </c>
      <c r="Y191" s="3">
        <f t="shared" si="67"/>
        <v>0</v>
      </c>
      <c r="Z191" s="3">
        <f t="shared" si="78"/>
        <v>0</v>
      </c>
      <c r="AA191" s="3">
        <f t="shared" si="79"/>
        <v>0</v>
      </c>
      <c r="AB191" s="3" t="e">
        <f t="shared" si="80"/>
        <v>#DIV/0!</v>
      </c>
      <c r="AC191" s="3" t="str">
        <f t="shared" si="81"/>
        <v/>
      </c>
      <c r="AD191" s="3">
        <f t="shared" si="68"/>
        <v>0</v>
      </c>
      <c r="AE191" s="3">
        <f t="shared" si="63"/>
        <v>0</v>
      </c>
      <c r="AF191" s="3">
        <f t="shared" si="69"/>
        <v>0</v>
      </c>
      <c r="AG191" s="3" t="e">
        <f>AF191 / SUM(F$2:F191)</f>
        <v>#DIV/0!</v>
      </c>
      <c r="AH191" s="3" t="e">
        <f t="shared" si="70"/>
        <v>#DIV/0!</v>
      </c>
      <c r="AI191" s="3">
        <f t="shared" si="71"/>
        <v>0</v>
      </c>
      <c r="AJ191" s="3" t="e">
        <f t="shared" si="72"/>
        <v>#DIV/0!</v>
      </c>
      <c r="AK191" s="3" t="e">
        <f t="shared" si="87"/>
        <v>#DIV/0!</v>
      </c>
    </row>
    <row r="192" spans="1:37" x14ac:dyDescent="0.3">
      <c r="A192" s="24">
        <v>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f t="shared" si="60"/>
        <v>0</v>
      </c>
      <c r="H192" s="3">
        <f t="shared" si="77"/>
        <v>0</v>
      </c>
      <c r="I192" s="3">
        <f t="shared" si="82"/>
        <v>0</v>
      </c>
      <c r="J192" s="3">
        <f t="shared" si="83"/>
        <v>0</v>
      </c>
      <c r="K192" s="3">
        <f t="shared" si="84"/>
        <v>0</v>
      </c>
      <c r="L192" s="3">
        <f t="shared" si="85"/>
        <v>0</v>
      </c>
      <c r="M192" s="3" t="e">
        <f t="shared" si="64"/>
        <v>#DIV/0!</v>
      </c>
      <c r="N192" s="3" t="e">
        <f t="shared" si="73"/>
        <v>#DIV/0!</v>
      </c>
      <c r="O192" s="3" t="e">
        <f t="shared" si="86"/>
        <v>#DIV/0!</v>
      </c>
      <c r="P192" s="3">
        <f t="shared" si="74"/>
        <v>0</v>
      </c>
      <c r="Q192" s="3">
        <f t="shared" si="88"/>
        <v>0</v>
      </c>
      <c r="R192" s="3">
        <f t="shared" si="76"/>
        <v>0</v>
      </c>
      <c r="S192" s="3">
        <f t="shared" si="89"/>
        <v>0</v>
      </c>
      <c r="T192" s="3">
        <f t="shared" si="61"/>
        <v>0</v>
      </c>
      <c r="U192" s="3">
        <f t="shared" si="75"/>
        <v>0</v>
      </c>
      <c r="V192" s="3">
        <f t="shared" si="62"/>
        <v>0</v>
      </c>
      <c r="W192" s="3">
        <f t="shared" si="65"/>
        <v>0</v>
      </c>
      <c r="X192" s="3">
        <f t="shared" si="66"/>
        <v>0</v>
      </c>
      <c r="Y192" s="3">
        <f t="shared" si="67"/>
        <v>0</v>
      </c>
      <c r="Z192" s="3">
        <f t="shared" si="78"/>
        <v>0</v>
      </c>
      <c r="AA192" s="3">
        <f t="shared" si="79"/>
        <v>0</v>
      </c>
      <c r="AB192" s="3" t="e">
        <f t="shared" si="80"/>
        <v>#DIV/0!</v>
      </c>
      <c r="AC192" s="3" t="str">
        <f t="shared" si="81"/>
        <v/>
      </c>
      <c r="AD192" s="3">
        <f t="shared" si="68"/>
        <v>0</v>
      </c>
      <c r="AE192" s="3">
        <f t="shared" si="63"/>
        <v>0</v>
      </c>
      <c r="AF192" s="3">
        <f t="shared" si="69"/>
        <v>0</v>
      </c>
      <c r="AG192" s="3" t="e">
        <f>AF192 / SUM(F$2:F192)</f>
        <v>#DIV/0!</v>
      </c>
      <c r="AH192" s="3" t="e">
        <f t="shared" si="70"/>
        <v>#DIV/0!</v>
      </c>
      <c r="AI192" s="3">
        <f t="shared" si="71"/>
        <v>0</v>
      </c>
      <c r="AJ192" s="3" t="e">
        <f t="shared" si="72"/>
        <v>#DIV/0!</v>
      </c>
      <c r="AK192" s="3" t="e">
        <f t="shared" si="87"/>
        <v>#DIV/0!</v>
      </c>
    </row>
    <row r="193" spans="1:37" x14ac:dyDescent="0.3">
      <c r="A193" s="24">
        <v>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f t="shared" si="60"/>
        <v>0</v>
      </c>
      <c r="H193" s="3">
        <f t="shared" si="77"/>
        <v>0</v>
      </c>
      <c r="I193" s="3">
        <f t="shared" si="82"/>
        <v>0</v>
      </c>
      <c r="J193" s="3">
        <f t="shared" si="83"/>
        <v>0</v>
      </c>
      <c r="K193" s="3">
        <f t="shared" si="84"/>
        <v>0</v>
      </c>
      <c r="L193" s="3">
        <f t="shared" si="85"/>
        <v>0</v>
      </c>
      <c r="M193" s="3" t="e">
        <f t="shared" si="64"/>
        <v>#DIV/0!</v>
      </c>
      <c r="N193" s="3" t="e">
        <f t="shared" si="73"/>
        <v>#DIV/0!</v>
      </c>
      <c r="O193" s="3" t="e">
        <f t="shared" si="86"/>
        <v>#DIV/0!</v>
      </c>
      <c r="P193" s="3">
        <f t="shared" si="74"/>
        <v>0</v>
      </c>
      <c r="Q193" s="3">
        <f t="shared" si="88"/>
        <v>0</v>
      </c>
      <c r="R193" s="3">
        <f t="shared" si="76"/>
        <v>0</v>
      </c>
      <c r="S193" s="3">
        <f t="shared" si="89"/>
        <v>0</v>
      </c>
      <c r="T193" s="3">
        <f t="shared" si="61"/>
        <v>0</v>
      </c>
      <c r="U193" s="3">
        <f t="shared" si="75"/>
        <v>0</v>
      </c>
      <c r="V193" s="3">
        <f t="shared" si="62"/>
        <v>0</v>
      </c>
      <c r="W193" s="3">
        <f t="shared" si="65"/>
        <v>0</v>
      </c>
      <c r="X193" s="3">
        <f t="shared" si="66"/>
        <v>0</v>
      </c>
      <c r="Y193" s="3">
        <f t="shared" si="67"/>
        <v>0</v>
      </c>
      <c r="Z193" s="3">
        <f t="shared" si="78"/>
        <v>0</v>
      </c>
      <c r="AA193" s="3">
        <f t="shared" si="79"/>
        <v>0</v>
      </c>
      <c r="AB193" s="3" t="e">
        <f t="shared" si="80"/>
        <v>#DIV/0!</v>
      </c>
      <c r="AC193" s="3" t="str">
        <f t="shared" si="81"/>
        <v/>
      </c>
      <c r="AD193" s="3">
        <f t="shared" si="68"/>
        <v>0</v>
      </c>
      <c r="AE193" s="3">
        <f t="shared" si="63"/>
        <v>0</v>
      </c>
      <c r="AF193" s="3">
        <f t="shared" si="69"/>
        <v>0</v>
      </c>
      <c r="AG193" s="3" t="e">
        <f>AF193 / SUM(F$2:F193)</f>
        <v>#DIV/0!</v>
      </c>
      <c r="AH193" s="3" t="e">
        <f t="shared" si="70"/>
        <v>#DIV/0!</v>
      </c>
      <c r="AI193" s="3">
        <f t="shared" si="71"/>
        <v>0</v>
      </c>
      <c r="AJ193" s="3" t="e">
        <f t="shared" si="72"/>
        <v>#DIV/0!</v>
      </c>
      <c r="AK193" s="3" t="e">
        <f t="shared" si="87"/>
        <v>#DIV/0!</v>
      </c>
    </row>
    <row r="194" spans="1:37" x14ac:dyDescent="0.3">
      <c r="A194" s="24">
        <v>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f t="shared" si="60"/>
        <v>0</v>
      </c>
      <c r="H194" s="3">
        <f t="shared" si="77"/>
        <v>0</v>
      </c>
      <c r="I194" s="3">
        <f t="shared" si="82"/>
        <v>0</v>
      </c>
      <c r="J194" s="3">
        <f t="shared" si="83"/>
        <v>0</v>
      </c>
      <c r="K194" s="3">
        <f t="shared" si="84"/>
        <v>0</v>
      </c>
      <c r="L194" s="3">
        <f t="shared" si="85"/>
        <v>0</v>
      </c>
      <c r="M194" s="3" t="e">
        <f t="shared" si="64"/>
        <v>#DIV/0!</v>
      </c>
      <c r="N194" s="3" t="e">
        <f t="shared" si="73"/>
        <v>#DIV/0!</v>
      </c>
      <c r="O194" s="3" t="e">
        <f t="shared" si="86"/>
        <v>#DIV/0!</v>
      </c>
      <c r="P194" s="3">
        <f t="shared" si="74"/>
        <v>0</v>
      </c>
      <c r="Q194" s="3">
        <f t="shared" si="88"/>
        <v>0</v>
      </c>
      <c r="R194" s="3">
        <f t="shared" si="76"/>
        <v>0</v>
      </c>
      <c r="S194" s="3">
        <f t="shared" si="89"/>
        <v>0</v>
      </c>
      <c r="T194" s="3">
        <f t="shared" si="61"/>
        <v>0</v>
      </c>
      <c r="U194" s="3">
        <f t="shared" si="75"/>
        <v>0</v>
      </c>
      <c r="V194" s="3">
        <f t="shared" si="62"/>
        <v>0</v>
      </c>
      <c r="W194" s="3">
        <f t="shared" si="65"/>
        <v>0</v>
      </c>
      <c r="X194" s="3">
        <f t="shared" si="66"/>
        <v>0</v>
      </c>
      <c r="Y194" s="3">
        <f t="shared" si="67"/>
        <v>0</v>
      </c>
      <c r="Z194" s="3">
        <f t="shared" si="78"/>
        <v>0</v>
      </c>
      <c r="AA194" s="3">
        <f t="shared" si="79"/>
        <v>0</v>
      </c>
      <c r="AB194" s="3" t="e">
        <f t="shared" si="80"/>
        <v>#DIV/0!</v>
      </c>
      <c r="AC194" s="3" t="str">
        <f t="shared" si="81"/>
        <v/>
      </c>
      <c r="AD194" s="3">
        <f t="shared" si="68"/>
        <v>0</v>
      </c>
      <c r="AE194" s="3">
        <f t="shared" si="63"/>
        <v>0</v>
      </c>
      <c r="AF194" s="3">
        <f t="shared" si="69"/>
        <v>0</v>
      </c>
      <c r="AG194" s="3" t="e">
        <f>AF194 / SUM(F$2:F194)</f>
        <v>#DIV/0!</v>
      </c>
      <c r="AH194" s="3" t="e">
        <f t="shared" si="70"/>
        <v>#DIV/0!</v>
      </c>
      <c r="AI194" s="3">
        <f t="shared" si="71"/>
        <v>0</v>
      </c>
      <c r="AJ194" s="3" t="e">
        <f t="shared" si="72"/>
        <v>#DIV/0!</v>
      </c>
      <c r="AK194" s="3" t="e">
        <f t="shared" si="87"/>
        <v>#DIV/0!</v>
      </c>
    </row>
    <row r="195" spans="1:37" x14ac:dyDescent="0.3">
      <c r="A195" s="24">
        <v>0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f t="shared" ref="G195:G258" si="90">MAX(C195-D195, ABS(C195-E196), ABS(D195-E196))</f>
        <v>0</v>
      </c>
      <c r="H195" s="3">
        <f t="shared" si="77"/>
        <v>0</v>
      </c>
      <c r="I195" s="3">
        <f t="shared" si="82"/>
        <v>0</v>
      </c>
      <c r="J195" s="3">
        <f t="shared" si="83"/>
        <v>0</v>
      </c>
      <c r="K195" s="3">
        <f t="shared" si="84"/>
        <v>0</v>
      </c>
      <c r="L195" s="3">
        <f t="shared" si="85"/>
        <v>0</v>
      </c>
      <c r="M195" s="3" t="e">
        <f t="shared" si="64"/>
        <v>#DIV/0!</v>
      </c>
      <c r="N195" s="3" t="e">
        <f t="shared" si="73"/>
        <v>#DIV/0!</v>
      </c>
      <c r="O195" s="3" t="e">
        <f t="shared" si="86"/>
        <v>#DIV/0!</v>
      </c>
      <c r="P195" s="3">
        <f t="shared" si="74"/>
        <v>0</v>
      </c>
      <c r="Q195" s="3">
        <f t="shared" si="88"/>
        <v>0</v>
      </c>
      <c r="R195" s="3">
        <f t="shared" si="76"/>
        <v>0</v>
      </c>
      <c r="S195" s="3">
        <f t="shared" si="89"/>
        <v>0</v>
      </c>
      <c r="T195" s="3">
        <f t="shared" ref="T195:T258" si="91">R195 - S195</f>
        <v>0</v>
      </c>
      <c r="U195" s="3">
        <f t="shared" si="75"/>
        <v>0</v>
      </c>
      <c r="V195" s="3">
        <f t="shared" ref="V195:V258" si="92">T195 - U195</f>
        <v>0</v>
      </c>
      <c r="W195" s="3">
        <f t="shared" si="65"/>
        <v>0</v>
      </c>
      <c r="X195" s="3">
        <f t="shared" si="66"/>
        <v>0</v>
      </c>
      <c r="Y195" s="3">
        <f t="shared" si="67"/>
        <v>0</v>
      </c>
      <c r="Z195" s="3">
        <f t="shared" si="78"/>
        <v>0</v>
      </c>
      <c r="AA195" s="3">
        <f t="shared" si="79"/>
        <v>0</v>
      </c>
      <c r="AB195" s="3" t="e">
        <f t="shared" si="80"/>
        <v>#DIV/0!</v>
      </c>
      <c r="AC195" s="3" t="str">
        <f t="shared" si="81"/>
        <v/>
      </c>
      <c r="AD195" s="3">
        <f t="shared" si="68"/>
        <v>0</v>
      </c>
      <c r="AE195" s="3">
        <f t="shared" ref="AE195:AE258" si="93">(C195+D195+E195)/3</f>
        <v>0</v>
      </c>
      <c r="AF195" s="3">
        <f t="shared" si="69"/>
        <v>0</v>
      </c>
      <c r="AG195" s="3" t="e">
        <f>AF195 / SUM(F$2:F195)</f>
        <v>#DIV/0!</v>
      </c>
      <c r="AH195" s="3" t="e">
        <f t="shared" si="70"/>
        <v>#DIV/0!</v>
      </c>
      <c r="AI195" s="3">
        <f t="shared" si="71"/>
        <v>0</v>
      </c>
      <c r="AJ195" s="3" t="e">
        <f t="shared" si="72"/>
        <v>#DIV/0!</v>
      </c>
      <c r="AK195" s="3" t="e">
        <f t="shared" si="87"/>
        <v>#DIV/0!</v>
      </c>
    </row>
    <row r="196" spans="1:37" x14ac:dyDescent="0.3">
      <c r="A196" s="24">
        <v>0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f t="shared" si="90"/>
        <v>0</v>
      </c>
      <c r="H196" s="3">
        <f t="shared" si="77"/>
        <v>0</v>
      </c>
      <c r="I196" s="3">
        <f t="shared" si="82"/>
        <v>0</v>
      </c>
      <c r="J196" s="3">
        <f t="shared" si="83"/>
        <v>0</v>
      </c>
      <c r="K196" s="3">
        <f t="shared" si="84"/>
        <v>0</v>
      </c>
      <c r="L196" s="3">
        <f t="shared" si="85"/>
        <v>0</v>
      </c>
      <c r="M196" s="3" t="e">
        <f t="shared" ref="M196:M259" si="94">LN(E195/E196)</f>
        <v>#DIV/0!</v>
      </c>
      <c r="N196" s="3" t="e">
        <f t="shared" si="73"/>
        <v>#DIV/0!</v>
      </c>
      <c r="O196" s="3" t="e">
        <f t="shared" si="86"/>
        <v>#DIV/0!</v>
      </c>
      <c r="P196" s="3">
        <f t="shared" si="74"/>
        <v>0</v>
      </c>
      <c r="Q196" s="3">
        <f t="shared" si="88"/>
        <v>0</v>
      </c>
      <c r="R196" s="3">
        <f t="shared" si="76"/>
        <v>0</v>
      </c>
      <c r="S196" s="3">
        <f t="shared" si="89"/>
        <v>0</v>
      </c>
      <c r="T196" s="3">
        <f t="shared" si="91"/>
        <v>0</v>
      </c>
      <c r="U196" s="3">
        <f t="shared" si="75"/>
        <v>0</v>
      </c>
      <c r="V196" s="3">
        <f t="shared" si="92"/>
        <v>0</v>
      </c>
      <c r="W196" s="3">
        <f t="shared" ref="W196:W259" si="95">E195-E196</f>
        <v>0</v>
      </c>
      <c r="X196" s="3">
        <f t="shared" ref="X196:X259" si="96">MAX(W196,0)</f>
        <v>0</v>
      </c>
      <c r="Y196" s="3">
        <f t="shared" ref="Y196:Y259" si="97">MAX(-W196,0)</f>
        <v>0</v>
      </c>
      <c r="Z196" s="3">
        <f t="shared" si="78"/>
        <v>0</v>
      </c>
      <c r="AA196" s="3">
        <f t="shared" si="79"/>
        <v>0</v>
      </c>
      <c r="AB196" s="3" t="e">
        <f t="shared" si="80"/>
        <v>#DIV/0!</v>
      </c>
      <c r="AC196" s="3" t="str">
        <f t="shared" si="81"/>
        <v/>
      </c>
      <c r="AD196" s="3">
        <f t="shared" ref="AD196:AD259" si="98">IF(E195&gt;E196,AD195+F195,IF(E195&lt;E196,AD195-F195,AD195))</f>
        <v>0</v>
      </c>
      <c r="AE196" s="3">
        <f t="shared" si="93"/>
        <v>0</v>
      </c>
      <c r="AF196" s="3">
        <f t="shared" ref="AF196:AF259" si="99">AF195 + AE196*F196</f>
        <v>0</v>
      </c>
      <c r="AG196" s="3" t="e">
        <f>AF196 / SUM(F$2:F196)</f>
        <v>#DIV/0!</v>
      </c>
      <c r="AH196" s="3" t="e">
        <f t="shared" ref="AH196:AH259" si="100">(E195-E196)/E196</f>
        <v>#DIV/0!</v>
      </c>
      <c r="AI196" s="3">
        <f t="shared" ref="AI196:AI259" si="101">MAX(AI195,E196)</f>
        <v>0</v>
      </c>
      <c r="AJ196" s="3" t="e">
        <f t="shared" ref="AJ196:AJ259" si="102">(E196-AI196)/AI196</f>
        <v>#DIV/0!</v>
      </c>
      <c r="AK196" s="3" t="e">
        <f t="shared" si="87"/>
        <v>#DIV/0!</v>
      </c>
    </row>
    <row r="197" spans="1:37" x14ac:dyDescent="0.3">
      <c r="A197" s="24">
        <v>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f t="shared" si="90"/>
        <v>0</v>
      </c>
      <c r="H197" s="3">
        <f t="shared" si="77"/>
        <v>0</v>
      </c>
      <c r="I197" s="3">
        <f t="shared" si="82"/>
        <v>0</v>
      </c>
      <c r="J197" s="3">
        <f t="shared" si="83"/>
        <v>0</v>
      </c>
      <c r="K197" s="3">
        <f t="shared" si="84"/>
        <v>0</v>
      </c>
      <c r="L197" s="3">
        <f t="shared" si="85"/>
        <v>0</v>
      </c>
      <c r="M197" s="3" t="e">
        <f t="shared" si="94"/>
        <v>#DIV/0!</v>
      </c>
      <c r="N197" s="3" t="e">
        <f t="shared" si="73"/>
        <v>#DIV/0!</v>
      </c>
      <c r="O197" s="3" t="e">
        <f t="shared" si="86"/>
        <v>#DIV/0!</v>
      </c>
      <c r="P197" s="3">
        <f t="shared" si="74"/>
        <v>0</v>
      </c>
      <c r="Q197" s="3">
        <f t="shared" si="88"/>
        <v>0</v>
      </c>
      <c r="R197" s="3">
        <f t="shared" si="76"/>
        <v>0</v>
      </c>
      <c r="S197" s="3">
        <f t="shared" si="89"/>
        <v>0</v>
      </c>
      <c r="T197" s="3">
        <f t="shared" si="91"/>
        <v>0</v>
      </c>
      <c r="U197" s="3">
        <f t="shared" si="75"/>
        <v>0</v>
      </c>
      <c r="V197" s="3">
        <f t="shared" si="92"/>
        <v>0</v>
      </c>
      <c r="W197" s="3">
        <f t="shared" si="95"/>
        <v>0</v>
      </c>
      <c r="X197" s="3">
        <f t="shared" si="96"/>
        <v>0</v>
      </c>
      <c r="Y197" s="3">
        <f t="shared" si="97"/>
        <v>0</v>
      </c>
      <c r="Z197" s="3">
        <f t="shared" si="78"/>
        <v>0</v>
      </c>
      <c r="AA197" s="3">
        <f t="shared" si="79"/>
        <v>0</v>
      </c>
      <c r="AB197" s="3" t="e">
        <f t="shared" si="80"/>
        <v>#DIV/0!</v>
      </c>
      <c r="AC197" s="3" t="str">
        <f t="shared" si="81"/>
        <v/>
      </c>
      <c r="AD197" s="3">
        <f t="shared" si="98"/>
        <v>0</v>
      </c>
      <c r="AE197" s="3">
        <f t="shared" si="93"/>
        <v>0</v>
      </c>
      <c r="AF197" s="3">
        <f t="shared" si="99"/>
        <v>0</v>
      </c>
      <c r="AG197" s="3" t="e">
        <f>AF197 / SUM(F$2:F197)</f>
        <v>#DIV/0!</v>
      </c>
      <c r="AH197" s="3" t="e">
        <f t="shared" si="100"/>
        <v>#DIV/0!</v>
      </c>
      <c r="AI197" s="3">
        <f t="shared" si="101"/>
        <v>0</v>
      </c>
      <c r="AJ197" s="3" t="e">
        <f t="shared" si="102"/>
        <v>#DIV/0!</v>
      </c>
      <c r="AK197" s="3" t="e">
        <f t="shared" si="87"/>
        <v>#DIV/0!</v>
      </c>
    </row>
    <row r="198" spans="1:37" x14ac:dyDescent="0.3">
      <c r="A198" s="24">
        <v>0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f t="shared" si="90"/>
        <v>0</v>
      </c>
      <c r="H198" s="3">
        <f t="shared" si="77"/>
        <v>0</v>
      </c>
      <c r="I198" s="3">
        <f t="shared" si="82"/>
        <v>0</v>
      </c>
      <c r="J198" s="3">
        <f t="shared" si="83"/>
        <v>0</v>
      </c>
      <c r="K198" s="3">
        <f t="shared" si="84"/>
        <v>0</v>
      </c>
      <c r="L198" s="3">
        <f t="shared" si="85"/>
        <v>0</v>
      </c>
      <c r="M198" s="3" t="e">
        <f t="shared" si="94"/>
        <v>#DIV/0!</v>
      </c>
      <c r="N198" s="3" t="e">
        <f t="shared" si="73"/>
        <v>#DIV/0!</v>
      </c>
      <c r="O198" s="3" t="e">
        <f t="shared" si="86"/>
        <v>#DIV/0!</v>
      </c>
      <c r="P198" s="3">
        <f t="shared" si="74"/>
        <v>0</v>
      </c>
      <c r="Q198" s="3">
        <f t="shared" si="88"/>
        <v>0</v>
      </c>
      <c r="R198" s="3">
        <f t="shared" si="76"/>
        <v>0</v>
      </c>
      <c r="S198" s="3">
        <f t="shared" si="89"/>
        <v>0</v>
      </c>
      <c r="T198" s="3">
        <f t="shared" si="91"/>
        <v>0</v>
      </c>
      <c r="U198" s="3">
        <f t="shared" si="75"/>
        <v>0</v>
      </c>
      <c r="V198" s="3">
        <f t="shared" si="92"/>
        <v>0</v>
      </c>
      <c r="W198" s="3">
        <f t="shared" si="95"/>
        <v>0</v>
      </c>
      <c r="X198" s="3">
        <f t="shared" si="96"/>
        <v>0</v>
      </c>
      <c r="Y198" s="3">
        <f t="shared" si="97"/>
        <v>0</v>
      </c>
      <c r="Z198" s="3">
        <f t="shared" si="78"/>
        <v>0</v>
      </c>
      <c r="AA198" s="3">
        <f t="shared" si="79"/>
        <v>0</v>
      </c>
      <c r="AB198" s="3" t="e">
        <f t="shared" si="80"/>
        <v>#DIV/0!</v>
      </c>
      <c r="AC198" s="3" t="str">
        <f t="shared" si="81"/>
        <v/>
      </c>
      <c r="AD198" s="3">
        <f t="shared" si="98"/>
        <v>0</v>
      </c>
      <c r="AE198" s="3">
        <f t="shared" si="93"/>
        <v>0</v>
      </c>
      <c r="AF198" s="3">
        <f t="shared" si="99"/>
        <v>0</v>
      </c>
      <c r="AG198" s="3" t="e">
        <f>AF198 / SUM(F$2:F198)</f>
        <v>#DIV/0!</v>
      </c>
      <c r="AH198" s="3" t="e">
        <f t="shared" si="100"/>
        <v>#DIV/0!</v>
      </c>
      <c r="AI198" s="3">
        <f t="shared" si="101"/>
        <v>0</v>
      </c>
      <c r="AJ198" s="3" t="e">
        <f t="shared" si="102"/>
        <v>#DIV/0!</v>
      </c>
      <c r="AK198" s="3" t="e">
        <f t="shared" si="87"/>
        <v>#DIV/0!</v>
      </c>
    </row>
    <row r="199" spans="1:37" x14ac:dyDescent="0.3">
      <c r="A199" s="24">
        <v>0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f t="shared" si="90"/>
        <v>0</v>
      </c>
      <c r="H199" s="3">
        <f t="shared" si="77"/>
        <v>0</v>
      </c>
      <c r="I199" s="3">
        <f t="shared" si="82"/>
        <v>0</v>
      </c>
      <c r="J199" s="3">
        <f t="shared" si="83"/>
        <v>0</v>
      </c>
      <c r="K199" s="3">
        <f t="shared" si="84"/>
        <v>0</v>
      </c>
      <c r="L199" s="3">
        <f t="shared" si="85"/>
        <v>0</v>
      </c>
      <c r="M199" s="3" t="e">
        <f t="shared" si="94"/>
        <v>#DIV/0!</v>
      </c>
      <c r="N199" s="3" t="e">
        <f t="shared" si="73"/>
        <v>#DIV/0!</v>
      </c>
      <c r="O199" s="3" t="e">
        <f t="shared" si="86"/>
        <v>#DIV/0!</v>
      </c>
      <c r="P199" s="3">
        <f t="shared" si="74"/>
        <v>0</v>
      </c>
      <c r="Q199" s="3">
        <f t="shared" si="88"/>
        <v>0</v>
      </c>
      <c r="R199" s="3">
        <f t="shared" si="76"/>
        <v>0</v>
      </c>
      <c r="S199" s="3">
        <f t="shared" si="89"/>
        <v>0</v>
      </c>
      <c r="T199" s="3">
        <f t="shared" si="91"/>
        <v>0</v>
      </c>
      <c r="U199" s="3">
        <f t="shared" si="75"/>
        <v>0</v>
      </c>
      <c r="V199" s="3">
        <f t="shared" si="92"/>
        <v>0</v>
      </c>
      <c r="W199" s="3">
        <f t="shared" si="95"/>
        <v>0</v>
      </c>
      <c r="X199" s="3">
        <f t="shared" si="96"/>
        <v>0</v>
      </c>
      <c r="Y199" s="3">
        <f t="shared" si="97"/>
        <v>0</v>
      </c>
      <c r="Z199" s="3">
        <f t="shared" si="78"/>
        <v>0</v>
      </c>
      <c r="AA199" s="3">
        <f t="shared" si="79"/>
        <v>0</v>
      </c>
      <c r="AB199" s="3" t="e">
        <f t="shared" si="80"/>
        <v>#DIV/0!</v>
      </c>
      <c r="AC199" s="3" t="str">
        <f t="shared" si="81"/>
        <v/>
      </c>
      <c r="AD199" s="3">
        <f t="shared" si="98"/>
        <v>0</v>
      </c>
      <c r="AE199" s="3">
        <f t="shared" si="93"/>
        <v>0</v>
      </c>
      <c r="AF199" s="3">
        <f t="shared" si="99"/>
        <v>0</v>
      </c>
      <c r="AG199" s="3" t="e">
        <f>AF199 / SUM(F$2:F199)</f>
        <v>#DIV/0!</v>
      </c>
      <c r="AH199" s="3" t="e">
        <f t="shared" si="100"/>
        <v>#DIV/0!</v>
      </c>
      <c r="AI199" s="3">
        <f t="shared" si="101"/>
        <v>0</v>
      </c>
      <c r="AJ199" s="3" t="e">
        <f t="shared" si="102"/>
        <v>#DIV/0!</v>
      </c>
      <c r="AK199" s="3" t="e">
        <f t="shared" si="87"/>
        <v>#DIV/0!</v>
      </c>
    </row>
    <row r="200" spans="1:37" x14ac:dyDescent="0.3">
      <c r="A200" s="24">
        <v>0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f t="shared" si="90"/>
        <v>0</v>
      </c>
      <c r="H200" s="3">
        <f t="shared" si="77"/>
        <v>0</v>
      </c>
      <c r="I200" s="3">
        <f t="shared" si="82"/>
        <v>0</v>
      </c>
      <c r="J200" s="3">
        <f t="shared" si="83"/>
        <v>0</v>
      </c>
      <c r="K200" s="3">
        <f t="shared" si="84"/>
        <v>0</v>
      </c>
      <c r="L200" s="3">
        <f t="shared" si="85"/>
        <v>0</v>
      </c>
      <c r="M200" s="3" t="e">
        <f t="shared" si="94"/>
        <v>#DIV/0!</v>
      </c>
      <c r="N200" s="3" t="e">
        <f t="shared" si="73"/>
        <v>#DIV/0!</v>
      </c>
      <c r="O200" s="3" t="e">
        <f t="shared" si="86"/>
        <v>#DIV/0!</v>
      </c>
      <c r="P200" s="3">
        <f t="shared" si="74"/>
        <v>0</v>
      </c>
      <c r="Q200" s="3">
        <f t="shared" si="88"/>
        <v>0</v>
      </c>
      <c r="R200" s="3">
        <f t="shared" si="76"/>
        <v>0</v>
      </c>
      <c r="S200" s="3">
        <f t="shared" si="89"/>
        <v>0</v>
      </c>
      <c r="T200" s="3">
        <f t="shared" si="91"/>
        <v>0</v>
      </c>
      <c r="U200" s="3">
        <f t="shared" si="75"/>
        <v>0</v>
      </c>
      <c r="V200" s="3">
        <f t="shared" si="92"/>
        <v>0</v>
      </c>
      <c r="W200" s="3">
        <f t="shared" si="95"/>
        <v>0</v>
      </c>
      <c r="X200" s="3">
        <f t="shared" si="96"/>
        <v>0</v>
      </c>
      <c r="Y200" s="3">
        <f t="shared" si="97"/>
        <v>0</v>
      </c>
      <c r="Z200" s="3">
        <f t="shared" si="78"/>
        <v>0</v>
      </c>
      <c r="AA200" s="3">
        <f t="shared" si="79"/>
        <v>0</v>
      </c>
      <c r="AB200" s="3" t="e">
        <f t="shared" si="80"/>
        <v>#DIV/0!</v>
      </c>
      <c r="AC200" s="3" t="str">
        <f t="shared" si="81"/>
        <v/>
      </c>
      <c r="AD200" s="3">
        <f t="shared" si="98"/>
        <v>0</v>
      </c>
      <c r="AE200" s="3">
        <f t="shared" si="93"/>
        <v>0</v>
      </c>
      <c r="AF200" s="3">
        <f t="shared" si="99"/>
        <v>0</v>
      </c>
      <c r="AG200" s="3" t="e">
        <f>AF200 / SUM(F$2:F200)</f>
        <v>#DIV/0!</v>
      </c>
      <c r="AH200" s="3" t="e">
        <f t="shared" si="100"/>
        <v>#DIV/0!</v>
      </c>
      <c r="AI200" s="3">
        <f t="shared" si="101"/>
        <v>0</v>
      </c>
      <c r="AJ200" s="3" t="e">
        <f t="shared" si="102"/>
        <v>#DIV/0!</v>
      </c>
      <c r="AK200" s="3" t="e">
        <f t="shared" si="87"/>
        <v>#DIV/0!</v>
      </c>
    </row>
    <row r="201" spans="1:37" x14ac:dyDescent="0.3">
      <c r="A201" s="24">
        <v>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f t="shared" si="90"/>
        <v>0</v>
      </c>
      <c r="H201" s="3">
        <f t="shared" si="77"/>
        <v>0</v>
      </c>
      <c r="I201" s="3">
        <f t="shared" si="82"/>
        <v>0</v>
      </c>
      <c r="J201" s="3">
        <f t="shared" si="83"/>
        <v>0</v>
      </c>
      <c r="K201" s="3">
        <f t="shared" si="84"/>
        <v>0</v>
      </c>
      <c r="L201" s="3">
        <f t="shared" si="85"/>
        <v>0</v>
      </c>
      <c r="M201" s="3" t="e">
        <f t="shared" si="94"/>
        <v>#DIV/0!</v>
      </c>
      <c r="N201" s="3" t="e">
        <f t="shared" si="73"/>
        <v>#DIV/0!</v>
      </c>
      <c r="O201" s="3" t="e">
        <f t="shared" si="86"/>
        <v>#DIV/0!</v>
      </c>
      <c r="P201" s="3">
        <f t="shared" si="74"/>
        <v>0</v>
      </c>
      <c r="Q201" s="3">
        <f t="shared" si="88"/>
        <v>0</v>
      </c>
      <c r="R201" s="3">
        <f t="shared" si="76"/>
        <v>0</v>
      </c>
      <c r="S201" s="3">
        <f t="shared" si="89"/>
        <v>0</v>
      </c>
      <c r="T201" s="3">
        <f t="shared" si="91"/>
        <v>0</v>
      </c>
      <c r="U201" s="3">
        <f t="shared" si="75"/>
        <v>0</v>
      </c>
      <c r="V201" s="3">
        <f t="shared" si="92"/>
        <v>0</v>
      </c>
      <c r="W201" s="3">
        <f t="shared" si="95"/>
        <v>0</v>
      </c>
      <c r="X201" s="3">
        <f t="shared" si="96"/>
        <v>0</v>
      </c>
      <c r="Y201" s="3">
        <f t="shared" si="97"/>
        <v>0</v>
      </c>
      <c r="Z201" s="3">
        <f t="shared" si="78"/>
        <v>0</v>
      </c>
      <c r="AA201" s="3">
        <f t="shared" si="79"/>
        <v>0</v>
      </c>
      <c r="AB201" s="3" t="e">
        <f t="shared" si="80"/>
        <v>#DIV/0!</v>
      </c>
      <c r="AC201" s="3" t="str">
        <f t="shared" si="81"/>
        <v/>
      </c>
      <c r="AD201" s="3">
        <f t="shared" si="98"/>
        <v>0</v>
      </c>
      <c r="AE201" s="3">
        <f t="shared" si="93"/>
        <v>0</v>
      </c>
      <c r="AF201" s="3">
        <f t="shared" si="99"/>
        <v>0</v>
      </c>
      <c r="AG201" s="3" t="e">
        <f>AF201 / SUM(F$2:F201)</f>
        <v>#DIV/0!</v>
      </c>
      <c r="AH201" s="3" t="e">
        <f t="shared" si="100"/>
        <v>#DIV/0!</v>
      </c>
      <c r="AI201" s="3">
        <f t="shared" si="101"/>
        <v>0</v>
      </c>
      <c r="AJ201" s="3" t="e">
        <f t="shared" si="102"/>
        <v>#DIV/0!</v>
      </c>
      <c r="AK201" s="3" t="e">
        <f t="shared" si="87"/>
        <v>#DIV/0!</v>
      </c>
    </row>
    <row r="202" spans="1:37" x14ac:dyDescent="0.3">
      <c r="A202" s="24">
        <v>0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f t="shared" si="90"/>
        <v>0</v>
      </c>
      <c r="H202" s="3">
        <f t="shared" si="77"/>
        <v>0</v>
      </c>
      <c r="I202" s="3">
        <f t="shared" si="82"/>
        <v>0</v>
      </c>
      <c r="J202" s="3">
        <f t="shared" si="83"/>
        <v>0</v>
      </c>
      <c r="K202" s="3">
        <f t="shared" si="84"/>
        <v>0</v>
      </c>
      <c r="L202" s="3">
        <f t="shared" si="85"/>
        <v>0</v>
      </c>
      <c r="M202" s="3" t="e">
        <f t="shared" si="94"/>
        <v>#DIV/0!</v>
      </c>
      <c r="N202" s="3" t="e">
        <f t="shared" si="73"/>
        <v>#DIV/0!</v>
      </c>
      <c r="O202" s="3" t="e">
        <f t="shared" si="86"/>
        <v>#DIV/0!</v>
      </c>
      <c r="P202" s="3">
        <f t="shared" si="74"/>
        <v>0</v>
      </c>
      <c r="Q202" s="3">
        <f t="shared" si="88"/>
        <v>0</v>
      </c>
      <c r="R202" s="3">
        <f t="shared" si="76"/>
        <v>0</v>
      </c>
      <c r="S202" s="3">
        <f t="shared" si="89"/>
        <v>0</v>
      </c>
      <c r="T202" s="3">
        <f t="shared" si="91"/>
        <v>0</v>
      </c>
      <c r="U202" s="3">
        <f t="shared" si="75"/>
        <v>0</v>
      </c>
      <c r="V202" s="3">
        <f t="shared" si="92"/>
        <v>0</v>
      </c>
      <c r="W202" s="3">
        <f t="shared" si="95"/>
        <v>0</v>
      </c>
      <c r="X202" s="3">
        <f t="shared" si="96"/>
        <v>0</v>
      </c>
      <c r="Y202" s="3">
        <f t="shared" si="97"/>
        <v>0</v>
      </c>
      <c r="Z202" s="3">
        <f t="shared" si="78"/>
        <v>0</v>
      </c>
      <c r="AA202" s="3">
        <f t="shared" si="79"/>
        <v>0</v>
      </c>
      <c r="AB202" s="3" t="e">
        <f t="shared" si="80"/>
        <v>#DIV/0!</v>
      </c>
      <c r="AC202" s="3" t="str">
        <f t="shared" si="81"/>
        <v/>
      </c>
      <c r="AD202" s="3">
        <f t="shared" si="98"/>
        <v>0</v>
      </c>
      <c r="AE202" s="3">
        <f t="shared" si="93"/>
        <v>0</v>
      </c>
      <c r="AF202" s="3">
        <f t="shared" si="99"/>
        <v>0</v>
      </c>
      <c r="AG202" s="3" t="e">
        <f>AF202 / SUM(F$2:F202)</f>
        <v>#DIV/0!</v>
      </c>
      <c r="AH202" s="3" t="e">
        <f t="shared" si="100"/>
        <v>#DIV/0!</v>
      </c>
      <c r="AI202" s="3">
        <f t="shared" si="101"/>
        <v>0</v>
      </c>
      <c r="AJ202" s="3" t="e">
        <f t="shared" si="102"/>
        <v>#DIV/0!</v>
      </c>
      <c r="AK202" s="3" t="e">
        <f t="shared" si="87"/>
        <v>#DIV/0!</v>
      </c>
    </row>
    <row r="203" spans="1:37" x14ac:dyDescent="0.3">
      <c r="A203" s="24">
        <v>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f t="shared" si="90"/>
        <v>0</v>
      </c>
      <c r="H203" s="3">
        <f t="shared" si="77"/>
        <v>0</v>
      </c>
      <c r="I203" s="3">
        <f t="shared" si="82"/>
        <v>0</v>
      </c>
      <c r="J203" s="3">
        <f t="shared" si="83"/>
        <v>0</v>
      </c>
      <c r="K203" s="3">
        <f t="shared" si="84"/>
        <v>0</v>
      </c>
      <c r="L203" s="3">
        <f t="shared" si="85"/>
        <v>0</v>
      </c>
      <c r="M203" s="3" t="e">
        <f t="shared" si="94"/>
        <v>#DIV/0!</v>
      </c>
      <c r="N203" s="3" t="e">
        <f t="shared" si="73"/>
        <v>#DIV/0!</v>
      </c>
      <c r="O203" s="3" t="e">
        <f t="shared" si="86"/>
        <v>#DIV/0!</v>
      </c>
      <c r="P203" s="3">
        <f t="shared" si="74"/>
        <v>0</v>
      </c>
      <c r="Q203" s="3">
        <f t="shared" si="88"/>
        <v>0</v>
      </c>
      <c r="R203" s="3">
        <f t="shared" si="76"/>
        <v>0</v>
      </c>
      <c r="S203" s="3">
        <f t="shared" si="89"/>
        <v>0</v>
      </c>
      <c r="T203" s="3">
        <f t="shared" si="91"/>
        <v>0</v>
      </c>
      <c r="U203" s="3">
        <f t="shared" si="75"/>
        <v>0</v>
      </c>
      <c r="V203" s="3">
        <f t="shared" si="92"/>
        <v>0</v>
      </c>
      <c r="W203" s="3">
        <f t="shared" si="95"/>
        <v>0</v>
      </c>
      <c r="X203" s="3">
        <f t="shared" si="96"/>
        <v>0</v>
      </c>
      <c r="Y203" s="3">
        <f t="shared" si="97"/>
        <v>0</v>
      </c>
      <c r="Z203" s="3">
        <f t="shared" si="78"/>
        <v>0</v>
      </c>
      <c r="AA203" s="3">
        <f t="shared" si="79"/>
        <v>0</v>
      </c>
      <c r="AB203" s="3" t="e">
        <f t="shared" si="80"/>
        <v>#DIV/0!</v>
      </c>
      <c r="AC203" s="3" t="str">
        <f t="shared" si="81"/>
        <v/>
      </c>
      <c r="AD203" s="3">
        <f t="shared" si="98"/>
        <v>0</v>
      </c>
      <c r="AE203" s="3">
        <f t="shared" si="93"/>
        <v>0</v>
      </c>
      <c r="AF203" s="3">
        <f t="shared" si="99"/>
        <v>0</v>
      </c>
      <c r="AG203" s="3" t="e">
        <f>AF203 / SUM(F$2:F203)</f>
        <v>#DIV/0!</v>
      </c>
      <c r="AH203" s="3" t="e">
        <f t="shared" si="100"/>
        <v>#DIV/0!</v>
      </c>
      <c r="AI203" s="3">
        <f t="shared" si="101"/>
        <v>0</v>
      </c>
      <c r="AJ203" s="3" t="e">
        <f t="shared" si="102"/>
        <v>#DIV/0!</v>
      </c>
      <c r="AK203" s="3" t="e">
        <f t="shared" si="87"/>
        <v>#DIV/0!</v>
      </c>
    </row>
    <row r="204" spans="1:37" x14ac:dyDescent="0.3">
      <c r="A204" s="24">
        <v>0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f t="shared" si="90"/>
        <v>0</v>
      </c>
      <c r="H204" s="3">
        <f t="shared" si="77"/>
        <v>0</v>
      </c>
      <c r="I204" s="3">
        <f t="shared" si="82"/>
        <v>0</v>
      </c>
      <c r="J204" s="3">
        <f t="shared" si="83"/>
        <v>0</v>
      </c>
      <c r="K204" s="3">
        <f t="shared" si="84"/>
        <v>0</v>
      </c>
      <c r="L204" s="3">
        <f t="shared" si="85"/>
        <v>0</v>
      </c>
      <c r="M204" s="3" t="e">
        <f t="shared" si="94"/>
        <v>#DIV/0!</v>
      </c>
      <c r="N204" s="3" t="e">
        <f t="shared" ref="N204:N267" si="103">_xlfn.STDEV.S(M195:M204)*SQRT(10)</f>
        <v>#DIV/0!</v>
      </c>
      <c r="O204" s="3" t="e">
        <f t="shared" si="86"/>
        <v>#DIV/0!</v>
      </c>
      <c r="P204" s="3">
        <f t="shared" ref="P204:P267" si="104">E204*(2/(9+1)) + P203*(1-(2/(9+1)))</f>
        <v>0</v>
      </c>
      <c r="Q204" s="3">
        <f t="shared" si="88"/>
        <v>0</v>
      </c>
      <c r="R204" s="3">
        <f t="shared" si="76"/>
        <v>0</v>
      </c>
      <c r="S204" s="3">
        <f t="shared" si="89"/>
        <v>0</v>
      </c>
      <c r="T204" s="3">
        <f t="shared" si="91"/>
        <v>0</v>
      </c>
      <c r="U204" s="3">
        <f t="shared" ref="U204:U267" si="105">T204*0.2 + U203*0.8</f>
        <v>0</v>
      </c>
      <c r="V204" s="3">
        <f t="shared" si="92"/>
        <v>0</v>
      </c>
      <c r="W204" s="3">
        <f t="shared" si="95"/>
        <v>0</v>
      </c>
      <c r="X204" s="3">
        <f t="shared" si="96"/>
        <v>0</v>
      </c>
      <c r="Y204" s="3">
        <f t="shared" si="97"/>
        <v>0</v>
      </c>
      <c r="Z204" s="3">
        <f t="shared" si="78"/>
        <v>0</v>
      </c>
      <c r="AA204" s="3">
        <f t="shared" si="79"/>
        <v>0</v>
      </c>
      <c r="AB204" s="3" t="e">
        <f t="shared" si="80"/>
        <v>#DIV/0!</v>
      </c>
      <c r="AC204" s="3" t="str">
        <f t="shared" si="81"/>
        <v/>
      </c>
      <c r="AD204" s="3">
        <f t="shared" si="98"/>
        <v>0</v>
      </c>
      <c r="AE204" s="3">
        <f t="shared" si="93"/>
        <v>0</v>
      </c>
      <c r="AF204" s="3">
        <f t="shared" si="99"/>
        <v>0</v>
      </c>
      <c r="AG204" s="3" t="e">
        <f>AF204 / SUM(F$2:F204)</f>
        <v>#DIV/0!</v>
      </c>
      <c r="AH204" s="3" t="e">
        <f t="shared" si="100"/>
        <v>#DIV/0!</v>
      </c>
      <c r="AI204" s="3">
        <f t="shared" si="101"/>
        <v>0</v>
      </c>
      <c r="AJ204" s="3" t="e">
        <f t="shared" si="102"/>
        <v>#DIV/0!</v>
      </c>
      <c r="AK204" s="3" t="e">
        <f t="shared" si="87"/>
        <v>#DIV/0!</v>
      </c>
    </row>
    <row r="205" spans="1:37" x14ac:dyDescent="0.3">
      <c r="A205" s="24">
        <v>0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f t="shared" si="90"/>
        <v>0</v>
      </c>
      <c r="H205" s="3">
        <f t="shared" si="77"/>
        <v>0</v>
      </c>
      <c r="I205" s="3">
        <f t="shared" si="82"/>
        <v>0</v>
      </c>
      <c r="J205" s="3">
        <f t="shared" si="83"/>
        <v>0</v>
      </c>
      <c r="K205" s="3">
        <f t="shared" si="84"/>
        <v>0</v>
      </c>
      <c r="L205" s="3">
        <f t="shared" si="85"/>
        <v>0</v>
      </c>
      <c r="M205" s="3" t="e">
        <f t="shared" si="94"/>
        <v>#DIV/0!</v>
      </c>
      <c r="N205" s="3" t="e">
        <f t="shared" si="103"/>
        <v>#DIV/0!</v>
      </c>
      <c r="O205" s="3" t="e">
        <f t="shared" si="86"/>
        <v>#DIV/0!</v>
      </c>
      <c r="P205" s="3">
        <f t="shared" si="104"/>
        <v>0</v>
      </c>
      <c r="Q205" s="3">
        <f t="shared" si="88"/>
        <v>0</v>
      </c>
      <c r="R205" s="3">
        <f t="shared" si="76"/>
        <v>0</v>
      </c>
      <c r="S205" s="3">
        <f t="shared" si="89"/>
        <v>0</v>
      </c>
      <c r="T205" s="3">
        <f t="shared" si="91"/>
        <v>0</v>
      </c>
      <c r="U205" s="3">
        <f t="shared" si="105"/>
        <v>0</v>
      </c>
      <c r="V205" s="3">
        <f t="shared" si="92"/>
        <v>0</v>
      </c>
      <c r="W205" s="3">
        <f t="shared" si="95"/>
        <v>0</v>
      </c>
      <c r="X205" s="3">
        <f t="shared" si="96"/>
        <v>0</v>
      </c>
      <c r="Y205" s="3">
        <f t="shared" si="97"/>
        <v>0</v>
      </c>
      <c r="Z205" s="3">
        <f t="shared" si="78"/>
        <v>0</v>
      </c>
      <c r="AA205" s="3">
        <f t="shared" si="79"/>
        <v>0</v>
      </c>
      <c r="AB205" s="3" t="e">
        <f t="shared" si="80"/>
        <v>#DIV/0!</v>
      </c>
      <c r="AC205" s="3" t="str">
        <f t="shared" si="81"/>
        <v/>
      </c>
      <c r="AD205" s="3">
        <f t="shared" si="98"/>
        <v>0</v>
      </c>
      <c r="AE205" s="3">
        <f t="shared" si="93"/>
        <v>0</v>
      </c>
      <c r="AF205" s="3">
        <f t="shared" si="99"/>
        <v>0</v>
      </c>
      <c r="AG205" s="3" t="e">
        <f>AF205 / SUM(F$2:F205)</f>
        <v>#DIV/0!</v>
      </c>
      <c r="AH205" s="3" t="e">
        <f t="shared" si="100"/>
        <v>#DIV/0!</v>
      </c>
      <c r="AI205" s="3">
        <f t="shared" si="101"/>
        <v>0</v>
      </c>
      <c r="AJ205" s="3" t="e">
        <f t="shared" si="102"/>
        <v>#DIV/0!</v>
      </c>
      <c r="AK205" s="3" t="e">
        <f t="shared" si="87"/>
        <v>#DIV/0!</v>
      </c>
    </row>
    <row r="206" spans="1:37" x14ac:dyDescent="0.3">
      <c r="A206" s="24">
        <v>0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f t="shared" si="90"/>
        <v>0</v>
      </c>
      <c r="H206" s="3">
        <f t="shared" si="77"/>
        <v>0</v>
      </c>
      <c r="I206" s="3">
        <f t="shared" si="82"/>
        <v>0</v>
      </c>
      <c r="J206" s="3">
        <f t="shared" si="83"/>
        <v>0</v>
      </c>
      <c r="K206" s="3">
        <f t="shared" si="84"/>
        <v>0</v>
      </c>
      <c r="L206" s="3">
        <f t="shared" si="85"/>
        <v>0</v>
      </c>
      <c r="M206" s="3" t="e">
        <f t="shared" si="94"/>
        <v>#DIV/0!</v>
      </c>
      <c r="N206" s="3" t="e">
        <f t="shared" si="103"/>
        <v>#DIV/0!</v>
      </c>
      <c r="O206" s="3" t="e">
        <f t="shared" si="86"/>
        <v>#DIV/0!</v>
      </c>
      <c r="P206" s="3">
        <f t="shared" si="104"/>
        <v>0</v>
      </c>
      <c r="Q206" s="3">
        <f t="shared" si="88"/>
        <v>0</v>
      </c>
      <c r="R206" s="3">
        <f t="shared" si="76"/>
        <v>0</v>
      </c>
      <c r="S206" s="3">
        <f t="shared" si="89"/>
        <v>0</v>
      </c>
      <c r="T206" s="3">
        <f t="shared" si="91"/>
        <v>0</v>
      </c>
      <c r="U206" s="3">
        <f t="shared" si="105"/>
        <v>0</v>
      </c>
      <c r="V206" s="3">
        <f t="shared" si="92"/>
        <v>0</v>
      </c>
      <c r="W206" s="3">
        <f t="shared" si="95"/>
        <v>0</v>
      </c>
      <c r="X206" s="3">
        <f t="shared" si="96"/>
        <v>0</v>
      </c>
      <c r="Y206" s="3">
        <f t="shared" si="97"/>
        <v>0</v>
      </c>
      <c r="Z206" s="3">
        <f t="shared" si="78"/>
        <v>0</v>
      </c>
      <c r="AA206" s="3">
        <f t="shared" si="79"/>
        <v>0</v>
      </c>
      <c r="AB206" s="3" t="e">
        <f t="shared" si="80"/>
        <v>#DIV/0!</v>
      </c>
      <c r="AC206" s="3" t="str">
        <f t="shared" si="81"/>
        <v/>
      </c>
      <c r="AD206" s="3">
        <f t="shared" si="98"/>
        <v>0</v>
      </c>
      <c r="AE206" s="3">
        <f t="shared" si="93"/>
        <v>0</v>
      </c>
      <c r="AF206" s="3">
        <f t="shared" si="99"/>
        <v>0</v>
      </c>
      <c r="AG206" s="3" t="e">
        <f>AF206 / SUM(F$2:F206)</f>
        <v>#DIV/0!</v>
      </c>
      <c r="AH206" s="3" t="e">
        <f t="shared" si="100"/>
        <v>#DIV/0!</v>
      </c>
      <c r="AI206" s="3">
        <f t="shared" si="101"/>
        <v>0</v>
      </c>
      <c r="AJ206" s="3" t="e">
        <f t="shared" si="102"/>
        <v>#DIV/0!</v>
      </c>
      <c r="AK206" s="3" t="e">
        <f t="shared" si="87"/>
        <v>#DIV/0!</v>
      </c>
    </row>
    <row r="207" spans="1:37" x14ac:dyDescent="0.3">
      <c r="A207" s="24">
        <v>0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f t="shared" si="90"/>
        <v>0</v>
      </c>
      <c r="H207" s="3">
        <f t="shared" si="77"/>
        <v>0</v>
      </c>
      <c r="I207" s="3">
        <f t="shared" si="82"/>
        <v>0</v>
      </c>
      <c r="J207" s="3">
        <f t="shared" si="83"/>
        <v>0</v>
      </c>
      <c r="K207" s="3">
        <f t="shared" si="84"/>
        <v>0</v>
      </c>
      <c r="L207" s="3">
        <f t="shared" si="85"/>
        <v>0</v>
      </c>
      <c r="M207" s="3" t="e">
        <f t="shared" si="94"/>
        <v>#DIV/0!</v>
      </c>
      <c r="N207" s="3" t="e">
        <f t="shared" si="103"/>
        <v>#DIV/0!</v>
      </c>
      <c r="O207" s="3" t="e">
        <f t="shared" si="86"/>
        <v>#DIV/0!</v>
      </c>
      <c r="P207" s="3">
        <f t="shared" si="104"/>
        <v>0</v>
      </c>
      <c r="Q207" s="3">
        <f t="shared" si="88"/>
        <v>0</v>
      </c>
      <c r="R207" s="3">
        <f t="shared" ref="R207:R270" si="106">E207*(2/(12+1)) + R206*(1-(2/(12+1)))</f>
        <v>0</v>
      </c>
      <c r="S207" s="3">
        <f t="shared" si="89"/>
        <v>0</v>
      </c>
      <c r="T207" s="3">
        <f t="shared" si="91"/>
        <v>0</v>
      </c>
      <c r="U207" s="3">
        <f t="shared" si="105"/>
        <v>0</v>
      </c>
      <c r="V207" s="3">
        <f t="shared" si="92"/>
        <v>0</v>
      </c>
      <c r="W207" s="3">
        <f t="shared" si="95"/>
        <v>0</v>
      </c>
      <c r="X207" s="3">
        <f t="shared" si="96"/>
        <v>0</v>
      </c>
      <c r="Y207" s="3">
        <f t="shared" si="97"/>
        <v>0</v>
      </c>
      <c r="Z207" s="3">
        <f t="shared" si="78"/>
        <v>0</v>
      </c>
      <c r="AA207" s="3">
        <f t="shared" si="79"/>
        <v>0</v>
      </c>
      <c r="AB207" s="3" t="e">
        <f t="shared" si="80"/>
        <v>#DIV/0!</v>
      </c>
      <c r="AC207" s="3" t="str">
        <f t="shared" si="81"/>
        <v/>
      </c>
      <c r="AD207" s="3">
        <f t="shared" si="98"/>
        <v>0</v>
      </c>
      <c r="AE207" s="3">
        <f t="shared" si="93"/>
        <v>0</v>
      </c>
      <c r="AF207" s="3">
        <f t="shared" si="99"/>
        <v>0</v>
      </c>
      <c r="AG207" s="3" t="e">
        <f>AF207 / SUM(F$2:F207)</f>
        <v>#DIV/0!</v>
      </c>
      <c r="AH207" s="3" t="e">
        <f t="shared" si="100"/>
        <v>#DIV/0!</v>
      </c>
      <c r="AI207" s="3">
        <f t="shared" si="101"/>
        <v>0</v>
      </c>
      <c r="AJ207" s="3" t="e">
        <f t="shared" si="102"/>
        <v>#DIV/0!</v>
      </c>
      <c r="AK207" s="3" t="e">
        <f t="shared" si="87"/>
        <v>#DIV/0!</v>
      </c>
    </row>
    <row r="208" spans="1:37" x14ac:dyDescent="0.3">
      <c r="A208" s="24">
        <v>0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f t="shared" si="90"/>
        <v>0</v>
      </c>
      <c r="H208" s="3">
        <f t="shared" ref="H208:H271" si="107">AVERAGE(G195:G208)</f>
        <v>0</v>
      </c>
      <c r="I208" s="3">
        <f t="shared" si="82"/>
        <v>0</v>
      </c>
      <c r="J208" s="3">
        <f t="shared" si="83"/>
        <v>0</v>
      </c>
      <c r="K208" s="3">
        <f t="shared" si="84"/>
        <v>0</v>
      </c>
      <c r="L208" s="3">
        <f t="shared" si="85"/>
        <v>0</v>
      </c>
      <c r="M208" s="3" t="e">
        <f t="shared" si="94"/>
        <v>#DIV/0!</v>
      </c>
      <c r="N208" s="3" t="e">
        <f t="shared" si="103"/>
        <v>#DIV/0!</v>
      </c>
      <c r="O208" s="3" t="e">
        <f t="shared" si="86"/>
        <v>#DIV/0!</v>
      </c>
      <c r="P208" s="3">
        <f t="shared" si="104"/>
        <v>0</v>
      </c>
      <c r="Q208" s="3">
        <f t="shared" si="88"/>
        <v>0</v>
      </c>
      <c r="R208" s="3">
        <f t="shared" si="106"/>
        <v>0</v>
      </c>
      <c r="S208" s="3">
        <f t="shared" si="89"/>
        <v>0</v>
      </c>
      <c r="T208" s="3">
        <f t="shared" si="91"/>
        <v>0</v>
      </c>
      <c r="U208" s="3">
        <f t="shared" si="105"/>
        <v>0</v>
      </c>
      <c r="V208" s="3">
        <f t="shared" si="92"/>
        <v>0</v>
      </c>
      <c r="W208" s="3">
        <f t="shared" si="95"/>
        <v>0</v>
      </c>
      <c r="X208" s="3">
        <f t="shared" si="96"/>
        <v>0</v>
      </c>
      <c r="Y208" s="3">
        <f t="shared" si="97"/>
        <v>0</v>
      </c>
      <c r="Z208" s="3">
        <f t="shared" ref="Z208:Z271" si="108">AVERAGE(X195:X208)</f>
        <v>0</v>
      </c>
      <c r="AA208" s="3">
        <f t="shared" ref="AA208:AA271" si="109">AVERAGE(Y195:Y208)</f>
        <v>0</v>
      </c>
      <c r="AB208" s="3" t="e">
        <f t="shared" ref="AB208:AB271" si="110">100-(100/(1+(Z208/AA208)))</f>
        <v>#DIV/0!</v>
      </c>
      <c r="AC208" s="3" t="str">
        <f t="shared" ref="AC208:AC271" si="111">IF(
COUNT(AB195:AB208)&lt;14,
"",
IF(
MAX(AB195:AB208)=MIN(AB195:AB208),
0.5,
(AB208-MIN(AB195:AB208)) / (MAX(AB195:AB208)-MIN(AB195:AB208))
)
)</f>
        <v/>
      </c>
      <c r="AD208" s="3">
        <f t="shared" si="98"/>
        <v>0</v>
      </c>
      <c r="AE208" s="3">
        <f t="shared" si="93"/>
        <v>0</v>
      </c>
      <c r="AF208" s="3">
        <f t="shared" si="99"/>
        <v>0</v>
      </c>
      <c r="AG208" s="3" t="e">
        <f>AF208 / SUM(F$2:F208)</f>
        <v>#DIV/0!</v>
      </c>
      <c r="AH208" s="3" t="e">
        <f t="shared" si="100"/>
        <v>#DIV/0!</v>
      </c>
      <c r="AI208" s="3">
        <f t="shared" si="101"/>
        <v>0</v>
      </c>
      <c r="AJ208" s="3" t="e">
        <f t="shared" si="102"/>
        <v>#DIV/0!</v>
      </c>
      <c r="AK208" s="3" t="e">
        <f t="shared" si="87"/>
        <v>#DIV/0!</v>
      </c>
    </row>
    <row r="209" spans="1:37" x14ac:dyDescent="0.3">
      <c r="A209" s="24">
        <v>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f t="shared" si="90"/>
        <v>0</v>
      </c>
      <c r="H209" s="3">
        <f t="shared" si="107"/>
        <v>0</v>
      </c>
      <c r="I209" s="3">
        <f t="shared" si="82"/>
        <v>0</v>
      </c>
      <c r="J209" s="3">
        <f t="shared" si="83"/>
        <v>0</v>
      </c>
      <c r="K209" s="3">
        <f t="shared" si="84"/>
        <v>0</v>
      </c>
      <c r="L209" s="3">
        <f t="shared" si="85"/>
        <v>0</v>
      </c>
      <c r="M209" s="3" t="e">
        <f t="shared" si="94"/>
        <v>#DIV/0!</v>
      </c>
      <c r="N209" s="3" t="e">
        <f t="shared" si="103"/>
        <v>#DIV/0!</v>
      </c>
      <c r="O209" s="3" t="e">
        <f t="shared" si="86"/>
        <v>#DIV/0!</v>
      </c>
      <c r="P209" s="3">
        <f t="shared" si="104"/>
        <v>0</v>
      </c>
      <c r="Q209" s="3">
        <f t="shared" si="88"/>
        <v>0</v>
      </c>
      <c r="R209" s="3">
        <f t="shared" si="106"/>
        <v>0</v>
      </c>
      <c r="S209" s="3">
        <f t="shared" si="89"/>
        <v>0</v>
      </c>
      <c r="T209" s="3">
        <f t="shared" si="91"/>
        <v>0</v>
      </c>
      <c r="U209" s="3">
        <f t="shared" si="105"/>
        <v>0</v>
      </c>
      <c r="V209" s="3">
        <f t="shared" si="92"/>
        <v>0</v>
      </c>
      <c r="W209" s="3">
        <f t="shared" si="95"/>
        <v>0</v>
      </c>
      <c r="X209" s="3">
        <f t="shared" si="96"/>
        <v>0</v>
      </c>
      <c r="Y209" s="3">
        <f t="shared" si="97"/>
        <v>0</v>
      </c>
      <c r="Z209" s="3">
        <f t="shared" si="108"/>
        <v>0</v>
      </c>
      <c r="AA209" s="3">
        <f t="shared" si="109"/>
        <v>0</v>
      </c>
      <c r="AB209" s="3" t="e">
        <f t="shared" si="110"/>
        <v>#DIV/0!</v>
      </c>
      <c r="AC209" s="3" t="str">
        <f t="shared" si="111"/>
        <v/>
      </c>
      <c r="AD209" s="3">
        <f t="shared" si="98"/>
        <v>0</v>
      </c>
      <c r="AE209" s="3">
        <f t="shared" si="93"/>
        <v>0</v>
      </c>
      <c r="AF209" s="3">
        <f t="shared" si="99"/>
        <v>0</v>
      </c>
      <c r="AG209" s="3" t="e">
        <f>AF209 / SUM(F$2:F209)</f>
        <v>#DIV/0!</v>
      </c>
      <c r="AH209" s="3" t="e">
        <f t="shared" si="100"/>
        <v>#DIV/0!</v>
      </c>
      <c r="AI209" s="3">
        <f t="shared" si="101"/>
        <v>0</v>
      </c>
      <c r="AJ209" s="3" t="e">
        <f t="shared" si="102"/>
        <v>#DIV/0!</v>
      </c>
      <c r="AK209" s="3" t="e">
        <f t="shared" si="87"/>
        <v>#DIV/0!</v>
      </c>
    </row>
    <row r="210" spans="1:37" x14ac:dyDescent="0.3">
      <c r="A210" s="24">
        <v>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f t="shared" si="90"/>
        <v>0</v>
      </c>
      <c r="H210" s="3">
        <f t="shared" si="107"/>
        <v>0</v>
      </c>
      <c r="I210" s="3">
        <f t="shared" si="82"/>
        <v>0</v>
      </c>
      <c r="J210" s="3">
        <f t="shared" si="83"/>
        <v>0</v>
      </c>
      <c r="K210" s="3">
        <f t="shared" si="84"/>
        <v>0</v>
      </c>
      <c r="L210" s="3">
        <f t="shared" si="85"/>
        <v>0</v>
      </c>
      <c r="M210" s="3" t="e">
        <f t="shared" si="94"/>
        <v>#DIV/0!</v>
      </c>
      <c r="N210" s="3" t="e">
        <f t="shared" si="103"/>
        <v>#DIV/0!</v>
      </c>
      <c r="O210" s="3" t="e">
        <f t="shared" si="86"/>
        <v>#DIV/0!</v>
      </c>
      <c r="P210" s="3">
        <f t="shared" si="104"/>
        <v>0</v>
      </c>
      <c r="Q210" s="3">
        <f t="shared" si="88"/>
        <v>0</v>
      </c>
      <c r="R210" s="3">
        <f t="shared" si="106"/>
        <v>0</v>
      </c>
      <c r="S210" s="3">
        <f t="shared" si="89"/>
        <v>0</v>
      </c>
      <c r="T210" s="3">
        <f t="shared" si="91"/>
        <v>0</v>
      </c>
      <c r="U210" s="3">
        <f t="shared" si="105"/>
        <v>0</v>
      </c>
      <c r="V210" s="3">
        <f t="shared" si="92"/>
        <v>0</v>
      </c>
      <c r="W210" s="3">
        <f t="shared" si="95"/>
        <v>0</v>
      </c>
      <c r="X210" s="3">
        <f t="shared" si="96"/>
        <v>0</v>
      </c>
      <c r="Y210" s="3">
        <f t="shared" si="97"/>
        <v>0</v>
      </c>
      <c r="Z210" s="3">
        <f t="shared" si="108"/>
        <v>0</v>
      </c>
      <c r="AA210" s="3">
        <f t="shared" si="109"/>
        <v>0</v>
      </c>
      <c r="AB210" s="3" t="e">
        <f t="shared" si="110"/>
        <v>#DIV/0!</v>
      </c>
      <c r="AC210" s="3" t="str">
        <f t="shared" si="111"/>
        <v/>
      </c>
      <c r="AD210" s="3">
        <f t="shared" si="98"/>
        <v>0</v>
      </c>
      <c r="AE210" s="3">
        <f t="shared" si="93"/>
        <v>0</v>
      </c>
      <c r="AF210" s="3">
        <f t="shared" si="99"/>
        <v>0</v>
      </c>
      <c r="AG210" s="3" t="e">
        <f>AF210 / SUM(F$2:F210)</f>
        <v>#DIV/0!</v>
      </c>
      <c r="AH210" s="3" t="e">
        <f t="shared" si="100"/>
        <v>#DIV/0!</v>
      </c>
      <c r="AI210" s="3">
        <f t="shared" si="101"/>
        <v>0</v>
      </c>
      <c r="AJ210" s="3" t="e">
        <f t="shared" si="102"/>
        <v>#DIV/0!</v>
      </c>
      <c r="AK210" s="3" t="e">
        <f t="shared" si="87"/>
        <v>#DIV/0!</v>
      </c>
    </row>
    <row r="211" spans="1:37" x14ac:dyDescent="0.3">
      <c r="A211" s="24">
        <v>0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f t="shared" si="90"/>
        <v>0</v>
      </c>
      <c r="H211" s="3">
        <f t="shared" si="107"/>
        <v>0</v>
      </c>
      <c r="I211" s="3">
        <f t="shared" si="82"/>
        <v>0</v>
      </c>
      <c r="J211" s="3">
        <f t="shared" si="83"/>
        <v>0</v>
      </c>
      <c r="K211" s="3">
        <f t="shared" si="84"/>
        <v>0</v>
      </c>
      <c r="L211" s="3">
        <f t="shared" si="85"/>
        <v>0</v>
      </c>
      <c r="M211" s="3" t="e">
        <f t="shared" si="94"/>
        <v>#DIV/0!</v>
      </c>
      <c r="N211" s="3" t="e">
        <f t="shared" si="103"/>
        <v>#DIV/0!</v>
      </c>
      <c r="O211" s="3" t="e">
        <f t="shared" si="86"/>
        <v>#DIV/0!</v>
      </c>
      <c r="P211" s="3">
        <f t="shared" si="104"/>
        <v>0</v>
      </c>
      <c r="Q211" s="3">
        <f t="shared" si="88"/>
        <v>0</v>
      </c>
      <c r="R211" s="3">
        <f t="shared" si="106"/>
        <v>0</v>
      </c>
      <c r="S211" s="3">
        <f t="shared" si="89"/>
        <v>0</v>
      </c>
      <c r="T211" s="3">
        <f t="shared" si="91"/>
        <v>0</v>
      </c>
      <c r="U211" s="3">
        <f t="shared" si="105"/>
        <v>0</v>
      </c>
      <c r="V211" s="3">
        <f t="shared" si="92"/>
        <v>0</v>
      </c>
      <c r="W211" s="3">
        <f t="shared" si="95"/>
        <v>0</v>
      </c>
      <c r="X211" s="3">
        <f t="shared" si="96"/>
        <v>0</v>
      </c>
      <c r="Y211" s="3">
        <f t="shared" si="97"/>
        <v>0</v>
      </c>
      <c r="Z211" s="3">
        <f t="shared" si="108"/>
        <v>0</v>
      </c>
      <c r="AA211" s="3">
        <f t="shared" si="109"/>
        <v>0</v>
      </c>
      <c r="AB211" s="3" t="e">
        <f t="shared" si="110"/>
        <v>#DIV/0!</v>
      </c>
      <c r="AC211" s="3" t="str">
        <f t="shared" si="111"/>
        <v/>
      </c>
      <c r="AD211" s="3">
        <f t="shared" si="98"/>
        <v>0</v>
      </c>
      <c r="AE211" s="3">
        <f t="shared" si="93"/>
        <v>0</v>
      </c>
      <c r="AF211" s="3">
        <f t="shared" si="99"/>
        <v>0</v>
      </c>
      <c r="AG211" s="3" t="e">
        <f>AF211 / SUM(F$2:F211)</f>
        <v>#DIV/0!</v>
      </c>
      <c r="AH211" s="3" t="e">
        <f t="shared" si="100"/>
        <v>#DIV/0!</v>
      </c>
      <c r="AI211" s="3">
        <f t="shared" si="101"/>
        <v>0</v>
      </c>
      <c r="AJ211" s="3" t="e">
        <f t="shared" si="102"/>
        <v>#DIV/0!</v>
      </c>
      <c r="AK211" s="3" t="e">
        <f t="shared" si="87"/>
        <v>#DIV/0!</v>
      </c>
    </row>
    <row r="212" spans="1:37" x14ac:dyDescent="0.3">
      <c r="A212" s="24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f t="shared" si="90"/>
        <v>0</v>
      </c>
      <c r="H212" s="3">
        <f t="shared" si="107"/>
        <v>0</v>
      </c>
      <c r="I212" s="3">
        <f t="shared" si="82"/>
        <v>0</v>
      </c>
      <c r="J212" s="3">
        <f t="shared" si="83"/>
        <v>0</v>
      </c>
      <c r="K212" s="3">
        <f t="shared" si="84"/>
        <v>0</v>
      </c>
      <c r="L212" s="3">
        <f t="shared" si="85"/>
        <v>0</v>
      </c>
      <c r="M212" s="3" t="e">
        <f t="shared" si="94"/>
        <v>#DIV/0!</v>
      </c>
      <c r="N212" s="3" t="e">
        <f t="shared" si="103"/>
        <v>#DIV/0!</v>
      </c>
      <c r="O212" s="3" t="e">
        <f t="shared" si="86"/>
        <v>#DIV/0!</v>
      </c>
      <c r="P212" s="3">
        <f t="shared" si="104"/>
        <v>0</v>
      </c>
      <c r="Q212" s="3">
        <f t="shared" si="88"/>
        <v>0</v>
      </c>
      <c r="R212" s="3">
        <f t="shared" si="106"/>
        <v>0</v>
      </c>
      <c r="S212" s="3">
        <f t="shared" si="89"/>
        <v>0</v>
      </c>
      <c r="T212" s="3">
        <f t="shared" si="91"/>
        <v>0</v>
      </c>
      <c r="U212" s="3">
        <f t="shared" si="105"/>
        <v>0</v>
      </c>
      <c r="V212" s="3">
        <f t="shared" si="92"/>
        <v>0</v>
      </c>
      <c r="W212" s="3">
        <f t="shared" si="95"/>
        <v>0</v>
      </c>
      <c r="X212" s="3">
        <f t="shared" si="96"/>
        <v>0</v>
      </c>
      <c r="Y212" s="3">
        <f t="shared" si="97"/>
        <v>0</v>
      </c>
      <c r="Z212" s="3">
        <f t="shared" si="108"/>
        <v>0</v>
      </c>
      <c r="AA212" s="3">
        <f t="shared" si="109"/>
        <v>0</v>
      </c>
      <c r="AB212" s="3" t="e">
        <f t="shared" si="110"/>
        <v>#DIV/0!</v>
      </c>
      <c r="AC212" s="3" t="str">
        <f t="shared" si="111"/>
        <v/>
      </c>
      <c r="AD212" s="3">
        <f t="shared" si="98"/>
        <v>0</v>
      </c>
      <c r="AE212" s="3">
        <f t="shared" si="93"/>
        <v>0</v>
      </c>
      <c r="AF212" s="3">
        <f t="shared" si="99"/>
        <v>0</v>
      </c>
      <c r="AG212" s="3" t="e">
        <f>AF212 / SUM(F$2:F212)</f>
        <v>#DIV/0!</v>
      </c>
      <c r="AH212" s="3" t="e">
        <f t="shared" si="100"/>
        <v>#DIV/0!</v>
      </c>
      <c r="AI212" s="3">
        <f t="shared" si="101"/>
        <v>0</v>
      </c>
      <c r="AJ212" s="3" t="e">
        <f t="shared" si="102"/>
        <v>#DIV/0!</v>
      </c>
      <c r="AK212" s="3" t="e">
        <f t="shared" si="87"/>
        <v>#DIV/0!</v>
      </c>
    </row>
    <row r="213" spans="1:37" x14ac:dyDescent="0.3">
      <c r="A213" s="24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f t="shared" si="90"/>
        <v>0</v>
      </c>
      <c r="H213" s="3">
        <f t="shared" si="107"/>
        <v>0</v>
      </c>
      <c r="I213" s="3">
        <f t="shared" si="82"/>
        <v>0</v>
      </c>
      <c r="J213" s="3">
        <f t="shared" si="83"/>
        <v>0</v>
      </c>
      <c r="K213" s="3">
        <f t="shared" si="84"/>
        <v>0</v>
      </c>
      <c r="L213" s="3">
        <f t="shared" si="85"/>
        <v>0</v>
      </c>
      <c r="M213" s="3" t="e">
        <f t="shared" si="94"/>
        <v>#DIV/0!</v>
      </c>
      <c r="N213" s="3" t="e">
        <f t="shared" si="103"/>
        <v>#DIV/0!</v>
      </c>
      <c r="O213" s="3" t="e">
        <f t="shared" si="86"/>
        <v>#DIV/0!</v>
      </c>
      <c r="P213" s="3">
        <f t="shared" si="104"/>
        <v>0</v>
      </c>
      <c r="Q213" s="3">
        <f t="shared" si="88"/>
        <v>0</v>
      </c>
      <c r="R213" s="3">
        <f t="shared" si="106"/>
        <v>0</v>
      </c>
      <c r="S213" s="3">
        <f t="shared" si="89"/>
        <v>0</v>
      </c>
      <c r="T213" s="3">
        <f t="shared" si="91"/>
        <v>0</v>
      </c>
      <c r="U213" s="3">
        <f t="shared" si="105"/>
        <v>0</v>
      </c>
      <c r="V213" s="3">
        <f t="shared" si="92"/>
        <v>0</v>
      </c>
      <c r="W213" s="3">
        <f t="shared" si="95"/>
        <v>0</v>
      </c>
      <c r="X213" s="3">
        <f t="shared" si="96"/>
        <v>0</v>
      </c>
      <c r="Y213" s="3">
        <f t="shared" si="97"/>
        <v>0</v>
      </c>
      <c r="Z213" s="3">
        <f t="shared" si="108"/>
        <v>0</v>
      </c>
      <c r="AA213" s="3">
        <f t="shared" si="109"/>
        <v>0</v>
      </c>
      <c r="AB213" s="3" t="e">
        <f t="shared" si="110"/>
        <v>#DIV/0!</v>
      </c>
      <c r="AC213" s="3" t="str">
        <f t="shared" si="111"/>
        <v/>
      </c>
      <c r="AD213" s="3">
        <f t="shared" si="98"/>
        <v>0</v>
      </c>
      <c r="AE213" s="3">
        <f t="shared" si="93"/>
        <v>0</v>
      </c>
      <c r="AF213" s="3">
        <f t="shared" si="99"/>
        <v>0</v>
      </c>
      <c r="AG213" s="3" t="e">
        <f>AF213 / SUM(F$2:F213)</f>
        <v>#DIV/0!</v>
      </c>
      <c r="AH213" s="3" t="e">
        <f t="shared" si="100"/>
        <v>#DIV/0!</v>
      </c>
      <c r="AI213" s="3">
        <f t="shared" si="101"/>
        <v>0</v>
      </c>
      <c r="AJ213" s="3" t="e">
        <f t="shared" si="102"/>
        <v>#DIV/0!</v>
      </c>
      <c r="AK213" s="3" t="e">
        <f t="shared" si="87"/>
        <v>#DIV/0!</v>
      </c>
    </row>
    <row r="214" spans="1:37" x14ac:dyDescent="0.3">
      <c r="A214" s="24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f t="shared" si="90"/>
        <v>0</v>
      </c>
      <c r="H214" s="3">
        <f t="shared" si="107"/>
        <v>0</v>
      </c>
      <c r="I214" s="3">
        <f t="shared" ref="I214:I277" si="112">AVERAGE(E195:E214)</f>
        <v>0</v>
      </c>
      <c r="J214" s="3">
        <f t="shared" ref="J214:J277" si="113">_xlfn.STDEV.S(E195:E214)</f>
        <v>0</v>
      </c>
      <c r="K214" s="3">
        <f t="shared" ref="K214:K277" si="114">I214 + 2*J214</f>
        <v>0</v>
      </c>
      <c r="L214" s="3">
        <f t="shared" ref="L214:L277" si="115">I214 - 2*J214</f>
        <v>0</v>
      </c>
      <c r="M214" s="3" t="e">
        <f t="shared" si="94"/>
        <v>#DIV/0!</v>
      </c>
      <c r="N214" s="3" t="e">
        <f t="shared" si="103"/>
        <v>#DIV/0!</v>
      </c>
      <c r="O214" s="3" t="e">
        <f t="shared" ref="O214:O277" si="116">_xlfn.STDEV.S(M195:M214)*SQRT(20)</f>
        <v>#DIV/0!</v>
      </c>
      <c r="P214" s="3">
        <f t="shared" si="104"/>
        <v>0</v>
      </c>
      <c r="Q214" s="3">
        <f t="shared" si="88"/>
        <v>0</v>
      </c>
      <c r="R214" s="3">
        <f t="shared" si="106"/>
        <v>0</v>
      </c>
      <c r="S214" s="3">
        <f t="shared" si="89"/>
        <v>0</v>
      </c>
      <c r="T214" s="3">
        <f t="shared" si="91"/>
        <v>0</v>
      </c>
      <c r="U214" s="3">
        <f t="shared" si="105"/>
        <v>0</v>
      </c>
      <c r="V214" s="3">
        <f t="shared" si="92"/>
        <v>0</v>
      </c>
      <c r="W214" s="3">
        <f t="shared" si="95"/>
        <v>0</v>
      </c>
      <c r="X214" s="3">
        <f t="shared" si="96"/>
        <v>0</v>
      </c>
      <c r="Y214" s="3">
        <f t="shared" si="97"/>
        <v>0</v>
      </c>
      <c r="Z214" s="3">
        <f t="shared" si="108"/>
        <v>0</v>
      </c>
      <c r="AA214" s="3">
        <f t="shared" si="109"/>
        <v>0</v>
      </c>
      <c r="AB214" s="3" t="e">
        <f t="shared" si="110"/>
        <v>#DIV/0!</v>
      </c>
      <c r="AC214" s="3" t="str">
        <f t="shared" si="111"/>
        <v/>
      </c>
      <c r="AD214" s="3">
        <f t="shared" si="98"/>
        <v>0</v>
      </c>
      <c r="AE214" s="3">
        <f t="shared" si="93"/>
        <v>0</v>
      </c>
      <c r="AF214" s="3">
        <f t="shared" si="99"/>
        <v>0</v>
      </c>
      <c r="AG214" s="3" t="e">
        <f>AF214 / SUM(F$2:F214)</f>
        <v>#DIV/0!</v>
      </c>
      <c r="AH214" s="3" t="e">
        <f t="shared" si="100"/>
        <v>#DIV/0!</v>
      </c>
      <c r="AI214" s="3">
        <f t="shared" si="101"/>
        <v>0</v>
      </c>
      <c r="AJ214" s="3" t="e">
        <f t="shared" si="102"/>
        <v>#DIV/0!</v>
      </c>
      <c r="AK214" s="3" t="e">
        <f t="shared" ref="AK214:AK277" si="117">F195 / AVERAGE(F195:F214)</f>
        <v>#DIV/0!</v>
      </c>
    </row>
    <row r="215" spans="1:37" x14ac:dyDescent="0.3">
      <c r="A215" s="24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f t="shared" si="90"/>
        <v>0</v>
      </c>
      <c r="H215" s="3">
        <f t="shared" si="107"/>
        <v>0</v>
      </c>
      <c r="I215" s="3">
        <f t="shared" si="112"/>
        <v>0</v>
      </c>
      <c r="J215" s="3">
        <f t="shared" si="113"/>
        <v>0</v>
      </c>
      <c r="K215" s="3">
        <f t="shared" si="114"/>
        <v>0</v>
      </c>
      <c r="L215" s="3">
        <f t="shared" si="115"/>
        <v>0</v>
      </c>
      <c r="M215" s="3" t="e">
        <f t="shared" si="94"/>
        <v>#DIV/0!</v>
      </c>
      <c r="N215" s="3" t="e">
        <f t="shared" si="103"/>
        <v>#DIV/0!</v>
      </c>
      <c r="O215" s="3" t="e">
        <f t="shared" si="116"/>
        <v>#DIV/0!</v>
      </c>
      <c r="P215" s="3">
        <f t="shared" si="104"/>
        <v>0</v>
      </c>
      <c r="Q215" s="3">
        <f t="shared" si="88"/>
        <v>0</v>
      </c>
      <c r="R215" s="3">
        <f t="shared" si="106"/>
        <v>0</v>
      </c>
      <c r="S215" s="3">
        <f t="shared" si="89"/>
        <v>0</v>
      </c>
      <c r="T215" s="3">
        <f t="shared" si="91"/>
        <v>0</v>
      </c>
      <c r="U215" s="3">
        <f t="shared" si="105"/>
        <v>0</v>
      </c>
      <c r="V215" s="3">
        <f t="shared" si="92"/>
        <v>0</v>
      </c>
      <c r="W215" s="3">
        <f t="shared" si="95"/>
        <v>0</v>
      </c>
      <c r="X215" s="3">
        <f t="shared" si="96"/>
        <v>0</v>
      </c>
      <c r="Y215" s="3">
        <f t="shared" si="97"/>
        <v>0</v>
      </c>
      <c r="Z215" s="3">
        <f t="shared" si="108"/>
        <v>0</v>
      </c>
      <c r="AA215" s="3">
        <f t="shared" si="109"/>
        <v>0</v>
      </c>
      <c r="AB215" s="3" t="e">
        <f t="shared" si="110"/>
        <v>#DIV/0!</v>
      </c>
      <c r="AC215" s="3" t="str">
        <f t="shared" si="111"/>
        <v/>
      </c>
      <c r="AD215" s="3">
        <f t="shared" si="98"/>
        <v>0</v>
      </c>
      <c r="AE215" s="3">
        <f t="shared" si="93"/>
        <v>0</v>
      </c>
      <c r="AF215" s="3">
        <f t="shared" si="99"/>
        <v>0</v>
      </c>
      <c r="AG215" s="3" t="e">
        <f>AF215 / SUM(F$2:F215)</f>
        <v>#DIV/0!</v>
      </c>
      <c r="AH215" s="3" t="e">
        <f t="shared" si="100"/>
        <v>#DIV/0!</v>
      </c>
      <c r="AI215" s="3">
        <f t="shared" si="101"/>
        <v>0</v>
      </c>
      <c r="AJ215" s="3" t="e">
        <f t="shared" si="102"/>
        <v>#DIV/0!</v>
      </c>
      <c r="AK215" s="3" t="e">
        <f t="shared" si="117"/>
        <v>#DIV/0!</v>
      </c>
    </row>
    <row r="216" spans="1:37" x14ac:dyDescent="0.3">
      <c r="A216" s="24">
        <v>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f t="shared" si="90"/>
        <v>0</v>
      </c>
      <c r="H216" s="3">
        <f t="shared" si="107"/>
        <v>0</v>
      </c>
      <c r="I216" s="3">
        <f t="shared" si="112"/>
        <v>0</v>
      </c>
      <c r="J216" s="3">
        <f t="shared" si="113"/>
        <v>0</v>
      </c>
      <c r="K216" s="3">
        <f t="shared" si="114"/>
        <v>0</v>
      </c>
      <c r="L216" s="3">
        <f t="shared" si="115"/>
        <v>0</v>
      </c>
      <c r="M216" s="3" t="e">
        <f t="shared" si="94"/>
        <v>#DIV/0!</v>
      </c>
      <c r="N216" s="3" t="e">
        <f t="shared" si="103"/>
        <v>#DIV/0!</v>
      </c>
      <c r="O216" s="3" t="e">
        <f t="shared" si="116"/>
        <v>#DIV/0!</v>
      </c>
      <c r="P216" s="3">
        <f t="shared" si="104"/>
        <v>0</v>
      </c>
      <c r="Q216" s="3">
        <f t="shared" ref="Q216:Q279" si="118">E216*(2/(21+1)) + Q215*(1-(2/(21+1)))</f>
        <v>0</v>
      </c>
      <c r="R216" s="3">
        <f t="shared" si="106"/>
        <v>0</v>
      </c>
      <c r="S216" s="3">
        <f t="shared" si="89"/>
        <v>0</v>
      </c>
      <c r="T216" s="3">
        <f t="shared" si="91"/>
        <v>0</v>
      </c>
      <c r="U216" s="3">
        <f t="shared" si="105"/>
        <v>0</v>
      </c>
      <c r="V216" s="3">
        <f t="shared" si="92"/>
        <v>0</v>
      </c>
      <c r="W216" s="3">
        <f t="shared" si="95"/>
        <v>0</v>
      </c>
      <c r="X216" s="3">
        <f t="shared" si="96"/>
        <v>0</v>
      </c>
      <c r="Y216" s="3">
        <f t="shared" si="97"/>
        <v>0</v>
      </c>
      <c r="Z216" s="3">
        <f t="shared" si="108"/>
        <v>0</v>
      </c>
      <c r="AA216" s="3">
        <f t="shared" si="109"/>
        <v>0</v>
      </c>
      <c r="AB216" s="3" t="e">
        <f t="shared" si="110"/>
        <v>#DIV/0!</v>
      </c>
      <c r="AC216" s="3" t="str">
        <f t="shared" si="111"/>
        <v/>
      </c>
      <c r="AD216" s="3">
        <f t="shared" si="98"/>
        <v>0</v>
      </c>
      <c r="AE216" s="3">
        <f t="shared" si="93"/>
        <v>0</v>
      </c>
      <c r="AF216" s="3">
        <f t="shared" si="99"/>
        <v>0</v>
      </c>
      <c r="AG216" s="3" t="e">
        <f>AF216 / SUM(F$2:F216)</f>
        <v>#DIV/0!</v>
      </c>
      <c r="AH216" s="3" t="e">
        <f t="shared" si="100"/>
        <v>#DIV/0!</v>
      </c>
      <c r="AI216" s="3">
        <f t="shared" si="101"/>
        <v>0</v>
      </c>
      <c r="AJ216" s="3" t="e">
        <f t="shared" si="102"/>
        <v>#DIV/0!</v>
      </c>
      <c r="AK216" s="3" t="e">
        <f t="shared" si="117"/>
        <v>#DIV/0!</v>
      </c>
    </row>
    <row r="217" spans="1:37" x14ac:dyDescent="0.3">
      <c r="A217" s="24">
        <v>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f t="shared" si="90"/>
        <v>0</v>
      </c>
      <c r="H217" s="3">
        <f t="shared" si="107"/>
        <v>0</v>
      </c>
      <c r="I217" s="3">
        <f t="shared" si="112"/>
        <v>0</v>
      </c>
      <c r="J217" s="3">
        <f t="shared" si="113"/>
        <v>0</v>
      </c>
      <c r="K217" s="3">
        <f t="shared" si="114"/>
        <v>0</v>
      </c>
      <c r="L217" s="3">
        <f t="shared" si="115"/>
        <v>0</v>
      </c>
      <c r="M217" s="3" t="e">
        <f t="shared" si="94"/>
        <v>#DIV/0!</v>
      </c>
      <c r="N217" s="3" t="e">
        <f t="shared" si="103"/>
        <v>#DIV/0!</v>
      </c>
      <c r="O217" s="3" t="e">
        <f t="shared" si="116"/>
        <v>#DIV/0!</v>
      </c>
      <c r="P217" s="3">
        <f t="shared" si="104"/>
        <v>0</v>
      </c>
      <c r="Q217" s="3">
        <f t="shared" si="118"/>
        <v>0</v>
      </c>
      <c r="R217" s="3">
        <f t="shared" si="106"/>
        <v>0</v>
      </c>
      <c r="S217" s="3">
        <f t="shared" si="89"/>
        <v>0</v>
      </c>
      <c r="T217" s="3">
        <f t="shared" si="91"/>
        <v>0</v>
      </c>
      <c r="U217" s="3">
        <f t="shared" si="105"/>
        <v>0</v>
      </c>
      <c r="V217" s="3">
        <f t="shared" si="92"/>
        <v>0</v>
      </c>
      <c r="W217" s="3">
        <f t="shared" si="95"/>
        <v>0</v>
      </c>
      <c r="X217" s="3">
        <f t="shared" si="96"/>
        <v>0</v>
      </c>
      <c r="Y217" s="3">
        <f t="shared" si="97"/>
        <v>0</v>
      </c>
      <c r="Z217" s="3">
        <f t="shared" si="108"/>
        <v>0</v>
      </c>
      <c r="AA217" s="3">
        <f t="shared" si="109"/>
        <v>0</v>
      </c>
      <c r="AB217" s="3" t="e">
        <f t="shared" si="110"/>
        <v>#DIV/0!</v>
      </c>
      <c r="AC217" s="3" t="str">
        <f t="shared" si="111"/>
        <v/>
      </c>
      <c r="AD217" s="3">
        <f t="shared" si="98"/>
        <v>0</v>
      </c>
      <c r="AE217" s="3">
        <f t="shared" si="93"/>
        <v>0</v>
      </c>
      <c r="AF217" s="3">
        <f t="shared" si="99"/>
        <v>0</v>
      </c>
      <c r="AG217" s="3" t="e">
        <f>AF217 / SUM(F$2:F217)</f>
        <v>#DIV/0!</v>
      </c>
      <c r="AH217" s="3" t="e">
        <f t="shared" si="100"/>
        <v>#DIV/0!</v>
      </c>
      <c r="AI217" s="3">
        <f t="shared" si="101"/>
        <v>0</v>
      </c>
      <c r="AJ217" s="3" t="e">
        <f t="shared" si="102"/>
        <v>#DIV/0!</v>
      </c>
      <c r="AK217" s="3" t="e">
        <f t="shared" si="117"/>
        <v>#DIV/0!</v>
      </c>
    </row>
    <row r="218" spans="1:37" x14ac:dyDescent="0.3">
      <c r="A218" s="24">
        <v>0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f t="shared" si="90"/>
        <v>0</v>
      </c>
      <c r="H218" s="3">
        <f t="shared" si="107"/>
        <v>0</v>
      </c>
      <c r="I218" s="3">
        <f t="shared" si="112"/>
        <v>0</v>
      </c>
      <c r="J218" s="3">
        <f t="shared" si="113"/>
        <v>0</v>
      </c>
      <c r="K218" s="3">
        <f t="shared" si="114"/>
        <v>0</v>
      </c>
      <c r="L218" s="3">
        <f t="shared" si="115"/>
        <v>0</v>
      </c>
      <c r="M218" s="3" t="e">
        <f t="shared" si="94"/>
        <v>#DIV/0!</v>
      </c>
      <c r="N218" s="3" t="e">
        <f t="shared" si="103"/>
        <v>#DIV/0!</v>
      </c>
      <c r="O218" s="3" t="e">
        <f t="shared" si="116"/>
        <v>#DIV/0!</v>
      </c>
      <c r="P218" s="3">
        <f t="shared" si="104"/>
        <v>0</v>
      </c>
      <c r="Q218" s="3">
        <f t="shared" si="118"/>
        <v>0</v>
      </c>
      <c r="R218" s="3">
        <f t="shared" si="106"/>
        <v>0</v>
      </c>
      <c r="S218" s="3">
        <f t="shared" si="89"/>
        <v>0</v>
      </c>
      <c r="T218" s="3">
        <f t="shared" si="91"/>
        <v>0</v>
      </c>
      <c r="U218" s="3">
        <f t="shared" si="105"/>
        <v>0</v>
      </c>
      <c r="V218" s="3">
        <f t="shared" si="92"/>
        <v>0</v>
      </c>
      <c r="W218" s="3">
        <f t="shared" si="95"/>
        <v>0</v>
      </c>
      <c r="X218" s="3">
        <f t="shared" si="96"/>
        <v>0</v>
      </c>
      <c r="Y218" s="3">
        <f t="shared" si="97"/>
        <v>0</v>
      </c>
      <c r="Z218" s="3">
        <f t="shared" si="108"/>
        <v>0</v>
      </c>
      <c r="AA218" s="3">
        <f t="shared" si="109"/>
        <v>0</v>
      </c>
      <c r="AB218" s="3" t="e">
        <f t="shared" si="110"/>
        <v>#DIV/0!</v>
      </c>
      <c r="AC218" s="3" t="str">
        <f t="shared" si="111"/>
        <v/>
      </c>
      <c r="AD218" s="3">
        <f t="shared" si="98"/>
        <v>0</v>
      </c>
      <c r="AE218" s="3">
        <f t="shared" si="93"/>
        <v>0</v>
      </c>
      <c r="AF218" s="3">
        <f t="shared" si="99"/>
        <v>0</v>
      </c>
      <c r="AG218" s="3" t="e">
        <f>AF218 / SUM(F$2:F218)</f>
        <v>#DIV/0!</v>
      </c>
      <c r="AH218" s="3" t="e">
        <f t="shared" si="100"/>
        <v>#DIV/0!</v>
      </c>
      <c r="AI218" s="3">
        <f t="shared" si="101"/>
        <v>0</v>
      </c>
      <c r="AJ218" s="3" t="e">
        <f t="shared" si="102"/>
        <v>#DIV/0!</v>
      </c>
      <c r="AK218" s="3" t="e">
        <f t="shared" si="117"/>
        <v>#DIV/0!</v>
      </c>
    </row>
    <row r="219" spans="1:37" x14ac:dyDescent="0.3">
      <c r="A219" s="24">
        <v>0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f t="shared" si="90"/>
        <v>0</v>
      </c>
      <c r="H219" s="3">
        <f t="shared" si="107"/>
        <v>0</v>
      </c>
      <c r="I219" s="3">
        <f t="shared" si="112"/>
        <v>0</v>
      </c>
      <c r="J219" s="3">
        <f t="shared" si="113"/>
        <v>0</v>
      </c>
      <c r="K219" s="3">
        <f t="shared" si="114"/>
        <v>0</v>
      </c>
      <c r="L219" s="3">
        <f t="shared" si="115"/>
        <v>0</v>
      </c>
      <c r="M219" s="3" t="e">
        <f t="shared" si="94"/>
        <v>#DIV/0!</v>
      </c>
      <c r="N219" s="3" t="e">
        <f t="shared" si="103"/>
        <v>#DIV/0!</v>
      </c>
      <c r="O219" s="3" t="e">
        <f t="shared" si="116"/>
        <v>#DIV/0!</v>
      </c>
      <c r="P219" s="3">
        <f t="shared" si="104"/>
        <v>0</v>
      </c>
      <c r="Q219" s="3">
        <f t="shared" si="118"/>
        <v>0</v>
      </c>
      <c r="R219" s="3">
        <f t="shared" si="106"/>
        <v>0</v>
      </c>
      <c r="S219" s="3">
        <f t="shared" si="89"/>
        <v>0</v>
      </c>
      <c r="T219" s="3">
        <f t="shared" si="91"/>
        <v>0</v>
      </c>
      <c r="U219" s="3">
        <f t="shared" si="105"/>
        <v>0</v>
      </c>
      <c r="V219" s="3">
        <f t="shared" si="92"/>
        <v>0</v>
      </c>
      <c r="W219" s="3">
        <f t="shared" si="95"/>
        <v>0</v>
      </c>
      <c r="X219" s="3">
        <f t="shared" si="96"/>
        <v>0</v>
      </c>
      <c r="Y219" s="3">
        <f t="shared" si="97"/>
        <v>0</v>
      </c>
      <c r="Z219" s="3">
        <f t="shared" si="108"/>
        <v>0</v>
      </c>
      <c r="AA219" s="3">
        <f t="shared" si="109"/>
        <v>0</v>
      </c>
      <c r="AB219" s="3" t="e">
        <f t="shared" si="110"/>
        <v>#DIV/0!</v>
      </c>
      <c r="AC219" s="3" t="str">
        <f t="shared" si="111"/>
        <v/>
      </c>
      <c r="AD219" s="3">
        <f t="shared" si="98"/>
        <v>0</v>
      </c>
      <c r="AE219" s="3">
        <f t="shared" si="93"/>
        <v>0</v>
      </c>
      <c r="AF219" s="3">
        <f t="shared" si="99"/>
        <v>0</v>
      </c>
      <c r="AG219" s="3" t="e">
        <f>AF219 / SUM(F$2:F219)</f>
        <v>#DIV/0!</v>
      </c>
      <c r="AH219" s="3" t="e">
        <f t="shared" si="100"/>
        <v>#DIV/0!</v>
      </c>
      <c r="AI219" s="3">
        <f t="shared" si="101"/>
        <v>0</v>
      </c>
      <c r="AJ219" s="3" t="e">
        <f t="shared" si="102"/>
        <v>#DIV/0!</v>
      </c>
      <c r="AK219" s="3" t="e">
        <f t="shared" si="117"/>
        <v>#DIV/0!</v>
      </c>
    </row>
    <row r="220" spans="1:37" x14ac:dyDescent="0.3">
      <c r="A220" s="24">
        <v>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f t="shared" si="90"/>
        <v>0</v>
      </c>
      <c r="H220" s="3">
        <f t="shared" si="107"/>
        <v>0</v>
      </c>
      <c r="I220" s="3">
        <f t="shared" si="112"/>
        <v>0</v>
      </c>
      <c r="J220" s="3">
        <f t="shared" si="113"/>
        <v>0</v>
      </c>
      <c r="K220" s="3">
        <f t="shared" si="114"/>
        <v>0</v>
      </c>
      <c r="L220" s="3">
        <f t="shared" si="115"/>
        <v>0</v>
      </c>
      <c r="M220" s="3" t="e">
        <f t="shared" si="94"/>
        <v>#DIV/0!</v>
      </c>
      <c r="N220" s="3" t="e">
        <f t="shared" si="103"/>
        <v>#DIV/0!</v>
      </c>
      <c r="O220" s="3" t="e">
        <f t="shared" si="116"/>
        <v>#DIV/0!</v>
      </c>
      <c r="P220" s="3">
        <f t="shared" si="104"/>
        <v>0</v>
      </c>
      <c r="Q220" s="3">
        <f t="shared" si="118"/>
        <v>0</v>
      </c>
      <c r="R220" s="3">
        <f t="shared" si="106"/>
        <v>0</v>
      </c>
      <c r="S220" s="3">
        <f t="shared" si="89"/>
        <v>0</v>
      </c>
      <c r="T220" s="3">
        <f t="shared" si="91"/>
        <v>0</v>
      </c>
      <c r="U220" s="3">
        <f t="shared" si="105"/>
        <v>0</v>
      </c>
      <c r="V220" s="3">
        <f t="shared" si="92"/>
        <v>0</v>
      </c>
      <c r="W220" s="3">
        <f t="shared" si="95"/>
        <v>0</v>
      </c>
      <c r="X220" s="3">
        <f t="shared" si="96"/>
        <v>0</v>
      </c>
      <c r="Y220" s="3">
        <f t="shared" si="97"/>
        <v>0</v>
      </c>
      <c r="Z220" s="3">
        <f t="shared" si="108"/>
        <v>0</v>
      </c>
      <c r="AA220" s="3">
        <f t="shared" si="109"/>
        <v>0</v>
      </c>
      <c r="AB220" s="3" t="e">
        <f t="shared" si="110"/>
        <v>#DIV/0!</v>
      </c>
      <c r="AC220" s="3" t="str">
        <f t="shared" si="111"/>
        <v/>
      </c>
      <c r="AD220" s="3">
        <f t="shared" si="98"/>
        <v>0</v>
      </c>
      <c r="AE220" s="3">
        <f t="shared" si="93"/>
        <v>0</v>
      </c>
      <c r="AF220" s="3">
        <f t="shared" si="99"/>
        <v>0</v>
      </c>
      <c r="AG220" s="3" t="e">
        <f>AF220 / SUM(F$2:F220)</f>
        <v>#DIV/0!</v>
      </c>
      <c r="AH220" s="3" t="e">
        <f t="shared" si="100"/>
        <v>#DIV/0!</v>
      </c>
      <c r="AI220" s="3">
        <f t="shared" si="101"/>
        <v>0</v>
      </c>
      <c r="AJ220" s="3" t="e">
        <f t="shared" si="102"/>
        <v>#DIV/0!</v>
      </c>
      <c r="AK220" s="3" t="e">
        <f t="shared" si="117"/>
        <v>#DIV/0!</v>
      </c>
    </row>
    <row r="221" spans="1:37" x14ac:dyDescent="0.3">
      <c r="A221" s="24">
        <v>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f t="shared" si="90"/>
        <v>0</v>
      </c>
      <c r="H221" s="3">
        <f t="shared" si="107"/>
        <v>0</v>
      </c>
      <c r="I221" s="3">
        <f t="shared" si="112"/>
        <v>0</v>
      </c>
      <c r="J221" s="3">
        <f t="shared" si="113"/>
        <v>0</v>
      </c>
      <c r="K221" s="3">
        <f t="shared" si="114"/>
        <v>0</v>
      </c>
      <c r="L221" s="3">
        <f t="shared" si="115"/>
        <v>0</v>
      </c>
      <c r="M221" s="3" t="e">
        <f t="shared" si="94"/>
        <v>#DIV/0!</v>
      </c>
      <c r="N221" s="3" t="e">
        <f t="shared" si="103"/>
        <v>#DIV/0!</v>
      </c>
      <c r="O221" s="3" t="e">
        <f t="shared" si="116"/>
        <v>#DIV/0!</v>
      </c>
      <c r="P221" s="3">
        <f t="shared" si="104"/>
        <v>0</v>
      </c>
      <c r="Q221" s="3">
        <f t="shared" si="118"/>
        <v>0</v>
      </c>
      <c r="R221" s="3">
        <f t="shared" si="106"/>
        <v>0</v>
      </c>
      <c r="S221" s="3">
        <f t="shared" ref="S221:S284" si="119">E221*(2/(26+1)) + S220*(1-(2/(26+1)))</f>
        <v>0</v>
      </c>
      <c r="T221" s="3">
        <f t="shared" si="91"/>
        <v>0</v>
      </c>
      <c r="U221" s="3">
        <f t="shared" si="105"/>
        <v>0</v>
      </c>
      <c r="V221" s="3">
        <f t="shared" si="92"/>
        <v>0</v>
      </c>
      <c r="W221" s="3">
        <f t="shared" si="95"/>
        <v>0</v>
      </c>
      <c r="X221" s="3">
        <f t="shared" si="96"/>
        <v>0</v>
      </c>
      <c r="Y221" s="3">
        <f t="shared" si="97"/>
        <v>0</v>
      </c>
      <c r="Z221" s="3">
        <f t="shared" si="108"/>
        <v>0</v>
      </c>
      <c r="AA221" s="3">
        <f t="shared" si="109"/>
        <v>0</v>
      </c>
      <c r="AB221" s="3" t="e">
        <f t="shared" si="110"/>
        <v>#DIV/0!</v>
      </c>
      <c r="AC221" s="3" t="str">
        <f t="shared" si="111"/>
        <v/>
      </c>
      <c r="AD221" s="3">
        <f t="shared" si="98"/>
        <v>0</v>
      </c>
      <c r="AE221" s="3">
        <f t="shared" si="93"/>
        <v>0</v>
      </c>
      <c r="AF221" s="3">
        <f t="shared" si="99"/>
        <v>0</v>
      </c>
      <c r="AG221" s="3" t="e">
        <f>AF221 / SUM(F$2:F221)</f>
        <v>#DIV/0!</v>
      </c>
      <c r="AH221" s="3" t="e">
        <f t="shared" si="100"/>
        <v>#DIV/0!</v>
      </c>
      <c r="AI221" s="3">
        <f t="shared" si="101"/>
        <v>0</v>
      </c>
      <c r="AJ221" s="3" t="e">
        <f t="shared" si="102"/>
        <v>#DIV/0!</v>
      </c>
      <c r="AK221" s="3" t="e">
        <f t="shared" si="117"/>
        <v>#DIV/0!</v>
      </c>
    </row>
    <row r="222" spans="1:37" x14ac:dyDescent="0.3">
      <c r="A222" s="24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f t="shared" si="90"/>
        <v>0</v>
      </c>
      <c r="H222" s="3">
        <f t="shared" si="107"/>
        <v>0</v>
      </c>
      <c r="I222" s="3">
        <f t="shared" si="112"/>
        <v>0</v>
      </c>
      <c r="J222" s="3">
        <f t="shared" si="113"/>
        <v>0</v>
      </c>
      <c r="K222" s="3">
        <f t="shared" si="114"/>
        <v>0</v>
      </c>
      <c r="L222" s="3">
        <f t="shared" si="115"/>
        <v>0</v>
      </c>
      <c r="M222" s="3" t="e">
        <f t="shared" si="94"/>
        <v>#DIV/0!</v>
      </c>
      <c r="N222" s="3" t="e">
        <f t="shared" si="103"/>
        <v>#DIV/0!</v>
      </c>
      <c r="O222" s="3" t="e">
        <f t="shared" si="116"/>
        <v>#DIV/0!</v>
      </c>
      <c r="P222" s="3">
        <f t="shared" si="104"/>
        <v>0</v>
      </c>
      <c r="Q222" s="3">
        <f t="shared" si="118"/>
        <v>0</v>
      </c>
      <c r="R222" s="3">
        <f t="shared" si="106"/>
        <v>0</v>
      </c>
      <c r="S222" s="3">
        <f t="shared" si="119"/>
        <v>0</v>
      </c>
      <c r="T222" s="3">
        <f t="shared" si="91"/>
        <v>0</v>
      </c>
      <c r="U222" s="3">
        <f t="shared" si="105"/>
        <v>0</v>
      </c>
      <c r="V222" s="3">
        <f t="shared" si="92"/>
        <v>0</v>
      </c>
      <c r="W222" s="3">
        <f t="shared" si="95"/>
        <v>0</v>
      </c>
      <c r="X222" s="3">
        <f t="shared" si="96"/>
        <v>0</v>
      </c>
      <c r="Y222" s="3">
        <f t="shared" si="97"/>
        <v>0</v>
      </c>
      <c r="Z222" s="3">
        <f t="shared" si="108"/>
        <v>0</v>
      </c>
      <c r="AA222" s="3">
        <f t="shared" si="109"/>
        <v>0</v>
      </c>
      <c r="AB222" s="3" t="e">
        <f t="shared" si="110"/>
        <v>#DIV/0!</v>
      </c>
      <c r="AC222" s="3" t="str">
        <f t="shared" si="111"/>
        <v/>
      </c>
      <c r="AD222" s="3">
        <f t="shared" si="98"/>
        <v>0</v>
      </c>
      <c r="AE222" s="3">
        <f t="shared" si="93"/>
        <v>0</v>
      </c>
      <c r="AF222" s="3">
        <f t="shared" si="99"/>
        <v>0</v>
      </c>
      <c r="AG222" s="3" t="e">
        <f>AF222 / SUM(F$2:F222)</f>
        <v>#DIV/0!</v>
      </c>
      <c r="AH222" s="3" t="e">
        <f t="shared" si="100"/>
        <v>#DIV/0!</v>
      </c>
      <c r="AI222" s="3">
        <f t="shared" si="101"/>
        <v>0</v>
      </c>
      <c r="AJ222" s="3" t="e">
        <f t="shared" si="102"/>
        <v>#DIV/0!</v>
      </c>
      <c r="AK222" s="3" t="e">
        <f t="shared" si="117"/>
        <v>#DIV/0!</v>
      </c>
    </row>
    <row r="223" spans="1:37" x14ac:dyDescent="0.3">
      <c r="A223" s="24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f t="shared" si="90"/>
        <v>0</v>
      </c>
      <c r="H223" s="3">
        <f t="shared" si="107"/>
        <v>0</v>
      </c>
      <c r="I223" s="3">
        <f t="shared" si="112"/>
        <v>0</v>
      </c>
      <c r="J223" s="3">
        <f t="shared" si="113"/>
        <v>0</v>
      </c>
      <c r="K223" s="3">
        <f t="shared" si="114"/>
        <v>0</v>
      </c>
      <c r="L223" s="3">
        <f t="shared" si="115"/>
        <v>0</v>
      </c>
      <c r="M223" s="3" t="e">
        <f t="shared" si="94"/>
        <v>#DIV/0!</v>
      </c>
      <c r="N223" s="3" t="e">
        <f t="shared" si="103"/>
        <v>#DIV/0!</v>
      </c>
      <c r="O223" s="3" t="e">
        <f t="shared" si="116"/>
        <v>#DIV/0!</v>
      </c>
      <c r="P223" s="3">
        <f t="shared" si="104"/>
        <v>0</v>
      </c>
      <c r="Q223" s="3">
        <f t="shared" si="118"/>
        <v>0</v>
      </c>
      <c r="R223" s="3">
        <f t="shared" si="106"/>
        <v>0</v>
      </c>
      <c r="S223" s="3">
        <f t="shared" si="119"/>
        <v>0</v>
      </c>
      <c r="T223" s="3">
        <f t="shared" si="91"/>
        <v>0</v>
      </c>
      <c r="U223" s="3">
        <f t="shared" si="105"/>
        <v>0</v>
      </c>
      <c r="V223" s="3">
        <f t="shared" si="92"/>
        <v>0</v>
      </c>
      <c r="W223" s="3">
        <f t="shared" si="95"/>
        <v>0</v>
      </c>
      <c r="X223" s="3">
        <f t="shared" si="96"/>
        <v>0</v>
      </c>
      <c r="Y223" s="3">
        <f t="shared" si="97"/>
        <v>0</v>
      </c>
      <c r="Z223" s="3">
        <f t="shared" si="108"/>
        <v>0</v>
      </c>
      <c r="AA223" s="3">
        <f t="shared" si="109"/>
        <v>0</v>
      </c>
      <c r="AB223" s="3" t="e">
        <f t="shared" si="110"/>
        <v>#DIV/0!</v>
      </c>
      <c r="AC223" s="3" t="str">
        <f t="shared" si="111"/>
        <v/>
      </c>
      <c r="AD223" s="3">
        <f t="shared" si="98"/>
        <v>0</v>
      </c>
      <c r="AE223" s="3">
        <f t="shared" si="93"/>
        <v>0</v>
      </c>
      <c r="AF223" s="3">
        <f t="shared" si="99"/>
        <v>0</v>
      </c>
      <c r="AG223" s="3" t="e">
        <f>AF223 / SUM(F$2:F223)</f>
        <v>#DIV/0!</v>
      </c>
      <c r="AH223" s="3" t="e">
        <f t="shared" si="100"/>
        <v>#DIV/0!</v>
      </c>
      <c r="AI223" s="3">
        <f t="shared" si="101"/>
        <v>0</v>
      </c>
      <c r="AJ223" s="3" t="e">
        <f t="shared" si="102"/>
        <v>#DIV/0!</v>
      </c>
      <c r="AK223" s="3" t="e">
        <f t="shared" si="117"/>
        <v>#DIV/0!</v>
      </c>
    </row>
    <row r="224" spans="1:37" x14ac:dyDescent="0.3">
      <c r="A224" s="24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f t="shared" si="90"/>
        <v>0</v>
      </c>
      <c r="H224" s="3">
        <f t="shared" si="107"/>
        <v>0</v>
      </c>
      <c r="I224" s="3">
        <f t="shared" si="112"/>
        <v>0</v>
      </c>
      <c r="J224" s="3">
        <f t="shared" si="113"/>
        <v>0</v>
      </c>
      <c r="K224" s="3">
        <f t="shared" si="114"/>
        <v>0</v>
      </c>
      <c r="L224" s="3">
        <f t="shared" si="115"/>
        <v>0</v>
      </c>
      <c r="M224" s="3" t="e">
        <f t="shared" si="94"/>
        <v>#DIV/0!</v>
      </c>
      <c r="N224" s="3" t="e">
        <f t="shared" si="103"/>
        <v>#DIV/0!</v>
      </c>
      <c r="O224" s="3" t="e">
        <f t="shared" si="116"/>
        <v>#DIV/0!</v>
      </c>
      <c r="P224" s="3">
        <f t="shared" si="104"/>
        <v>0</v>
      </c>
      <c r="Q224" s="3">
        <f t="shared" si="118"/>
        <v>0</v>
      </c>
      <c r="R224" s="3">
        <f t="shared" si="106"/>
        <v>0</v>
      </c>
      <c r="S224" s="3">
        <f t="shared" si="119"/>
        <v>0</v>
      </c>
      <c r="T224" s="3">
        <f t="shared" si="91"/>
        <v>0</v>
      </c>
      <c r="U224" s="3">
        <f t="shared" si="105"/>
        <v>0</v>
      </c>
      <c r="V224" s="3">
        <f t="shared" si="92"/>
        <v>0</v>
      </c>
      <c r="W224" s="3">
        <f t="shared" si="95"/>
        <v>0</v>
      </c>
      <c r="X224" s="3">
        <f t="shared" si="96"/>
        <v>0</v>
      </c>
      <c r="Y224" s="3">
        <f t="shared" si="97"/>
        <v>0</v>
      </c>
      <c r="Z224" s="3">
        <f t="shared" si="108"/>
        <v>0</v>
      </c>
      <c r="AA224" s="3">
        <f t="shared" si="109"/>
        <v>0</v>
      </c>
      <c r="AB224" s="3" t="e">
        <f t="shared" si="110"/>
        <v>#DIV/0!</v>
      </c>
      <c r="AC224" s="3" t="str">
        <f t="shared" si="111"/>
        <v/>
      </c>
      <c r="AD224" s="3">
        <f t="shared" si="98"/>
        <v>0</v>
      </c>
      <c r="AE224" s="3">
        <f t="shared" si="93"/>
        <v>0</v>
      </c>
      <c r="AF224" s="3">
        <f t="shared" si="99"/>
        <v>0</v>
      </c>
      <c r="AG224" s="3" t="e">
        <f>AF224 / SUM(F$2:F224)</f>
        <v>#DIV/0!</v>
      </c>
      <c r="AH224" s="3" t="e">
        <f t="shared" si="100"/>
        <v>#DIV/0!</v>
      </c>
      <c r="AI224" s="3">
        <f t="shared" si="101"/>
        <v>0</v>
      </c>
      <c r="AJ224" s="3" t="e">
        <f t="shared" si="102"/>
        <v>#DIV/0!</v>
      </c>
      <c r="AK224" s="3" t="e">
        <f t="shared" si="117"/>
        <v>#DIV/0!</v>
      </c>
    </row>
    <row r="225" spans="1:37" x14ac:dyDescent="0.3">
      <c r="A225" s="24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f t="shared" si="90"/>
        <v>0</v>
      </c>
      <c r="H225" s="3">
        <f t="shared" si="107"/>
        <v>0</v>
      </c>
      <c r="I225" s="3">
        <f t="shared" si="112"/>
        <v>0</v>
      </c>
      <c r="J225" s="3">
        <f t="shared" si="113"/>
        <v>0</v>
      </c>
      <c r="K225" s="3">
        <f t="shared" si="114"/>
        <v>0</v>
      </c>
      <c r="L225" s="3">
        <f t="shared" si="115"/>
        <v>0</v>
      </c>
      <c r="M225" s="3" t="e">
        <f t="shared" si="94"/>
        <v>#DIV/0!</v>
      </c>
      <c r="N225" s="3" t="e">
        <f t="shared" si="103"/>
        <v>#DIV/0!</v>
      </c>
      <c r="O225" s="3" t="e">
        <f t="shared" si="116"/>
        <v>#DIV/0!</v>
      </c>
      <c r="P225" s="3">
        <f t="shared" si="104"/>
        <v>0</v>
      </c>
      <c r="Q225" s="3">
        <f t="shared" si="118"/>
        <v>0</v>
      </c>
      <c r="R225" s="3">
        <f t="shared" si="106"/>
        <v>0</v>
      </c>
      <c r="S225" s="3">
        <f t="shared" si="119"/>
        <v>0</v>
      </c>
      <c r="T225" s="3">
        <f t="shared" si="91"/>
        <v>0</v>
      </c>
      <c r="U225" s="3">
        <f t="shared" si="105"/>
        <v>0</v>
      </c>
      <c r="V225" s="3">
        <f t="shared" si="92"/>
        <v>0</v>
      </c>
      <c r="W225" s="3">
        <f t="shared" si="95"/>
        <v>0</v>
      </c>
      <c r="X225" s="3">
        <f t="shared" si="96"/>
        <v>0</v>
      </c>
      <c r="Y225" s="3">
        <f t="shared" si="97"/>
        <v>0</v>
      </c>
      <c r="Z225" s="3">
        <f t="shared" si="108"/>
        <v>0</v>
      </c>
      <c r="AA225" s="3">
        <f t="shared" si="109"/>
        <v>0</v>
      </c>
      <c r="AB225" s="3" t="e">
        <f t="shared" si="110"/>
        <v>#DIV/0!</v>
      </c>
      <c r="AC225" s="3" t="str">
        <f t="shared" si="111"/>
        <v/>
      </c>
      <c r="AD225" s="3">
        <f t="shared" si="98"/>
        <v>0</v>
      </c>
      <c r="AE225" s="3">
        <f t="shared" si="93"/>
        <v>0</v>
      </c>
      <c r="AF225" s="3">
        <f t="shared" si="99"/>
        <v>0</v>
      </c>
      <c r="AG225" s="3" t="e">
        <f>AF225 / SUM(F$2:F225)</f>
        <v>#DIV/0!</v>
      </c>
      <c r="AH225" s="3" t="e">
        <f t="shared" si="100"/>
        <v>#DIV/0!</v>
      </c>
      <c r="AI225" s="3">
        <f t="shared" si="101"/>
        <v>0</v>
      </c>
      <c r="AJ225" s="3" t="e">
        <f t="shared" si="102"/>
        <v>#DIV/0!</v>
      </c>
      <c r="AK225" s="3" t="e">
        <f t="shared" si="117"/>
        <v>#DIV/0!</v>
      </c>
    </row>
    <row r="226" spans="1:37" x14ac:dyDescent="0.3">
      <c r="A226" s="24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f t="shared" si="90"/>
        <v>0</v>
      </c>
      <c r="H226" s="3">
        <f t="shared" si="107"/>
        <v>0</v>
      </c>
      <c r="I226" s="3">
        <f t="shared" si="112"/>
        <v>0</v>
      </c>
      <c r="J226" s="3">
        <f t="shared" si="113"/>
        <v>0</v>
      </c>
      <c r="K226" s="3">
        <f t="shared" si="114"/>
        <v>0</v>
      </c>
      <c r="L226" s="3">
        <f t="shared" si="115"/>
        <v>0</v>
      </c>
      <c r="M226" s="3" t="e">
        <f t="shared" si="94"/>
        <v>#DIV/0!</v>
      </c>
      <c r="N226" s="3" t="e">
        <f t="shared" si="103"/>
        <v>#DIV/0!</v>
      </c>
      <c r="O226" s="3" t="e">
        <f t="shared" si="116"/>
        <v>#DIV/0!</v>
      </c>
      <c r="P226" s="3">
        <f t="shared" si="104"/>
        <v>0</v>
      </c>
      <c r="Q226" s="3">
        <f t="shared" si="118"/>
        <v>0</v>
      </c>
      <c r="R226" s="3">
        <f t="shared" si="106"/>
        <v>0</v>
      </c>
      <c r="S226" s="3">
        <f t="shared" si="119"/>
        <v>0</v>
      </c>
      <c r="T226" s="3">
        <f t="shared" si="91"/>
        <v>0</v>
      </c>
      <c r="U226" s="3">
        <f t="shared" si="105"/>
        <v>0</v>
      </c>
      <c r="V226" s="3">
        <f t="shared" si="92"/>
        <v>0</v>
      </c>
      <c r="W226" s="3">
        <f t="shared" si="95"/>
        <v>0</v>
      </c>
      <c r="X226" s="3">
        <f t="shared" si="96"/>
        <v>0</v>
      </c>
      <c r="Y226" s="3">
        <f t="shared" si="97"/>
        <v>0</v>
      </c>
      <c r="Z226" s="3">
        <f t="shared" si="108"/>
        <v>0</v>
      </c>
      <c r="AA226" s="3">
        <f t="shared" si="109"/>
        <v>0</v>
      </c>
      <c r="AB226" s="3" t="e">
        <f t="shared" si="110"/>
        <v>#DIV/0!</v>
      </c>
      <c r="AC226" s="3" t="str">
        <f t="shared" si="111"/>
        <v/>
      </c>
      <c r="AD226" s="3">
        <f t="shared" si="98"/>
        <v>0</v>
      </c>
      <c r="AE226" s="3">
        <f t="shared" si="93"/>
        <v>0</v>
      </c>
      <c r="AF226" s="3">
        <f t="shared" si="99"/>
        <v>0</v>
      </c>
      <c r="AG226" s="3" t="e">
        <f>AF226 / SUM(F$2:F226)</f>
        <v>#DIV/0!</v>
      </c>
      <c r="AH226" s="3" t="e">
        <f t="shared" si="100"/>
        <v>#DIV/0!</v>
      </c>
      <c r="AI226" s="3">
        <f t="shared" si="101"/>
        <v>0</v>
      </c>
      <c r="AJ226" s="3" t="e">
        <f t="shared" si="102"/>
        <v>#DIV/0!</v>
      </c>
      <c r="AK226" s="3" t="e">
        <f t="shared" si="117"/>
        <v>#DIV/0!</v>
      </c>
    </row>
    <row r="227" spans="1:37" x14ac:dyDescent="0.3">
      <c r="A227" s="24">
        <v>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f t="shared" si="90"/>
        <v>0</v>
      </c>
      <c r="H227" s="3">
        <f t="shared" si="107"/>
        <v>0</v>
      </c>
      <c r="I227" s="3">
        <f t="shared" si="112"/>
        <v>0</v>
      </c>
      <c r="J227" s="3">
        <f t="shared" si="113"/>
        <v>0</v>
      </c>
      <c r="K227" s="3">
        <f t="shared" si="114"/>
        <v>0</v>
      </c>
      <c r="L227" s="3">
        <f t="shared" si="115"/>
        <v>0</v>
      </c>
      <c r="M227" s="3" t="e">
        <f t="shared" si="94"/>
        <v>#DIV/0!</v>
      </c>
      <c r="N227" s="3" t="e">
        <f t="shared" si="103"/>
        <v>#DIV/0!</v>
      </c>
      <c r="O227" s="3" t="e">
        <f t="shared" si="116"/>
        <v>#DIV/0!</v>
      </c>
      <c r="P227" s="3">
        <f t="shared" si="104"/>
        <v>0</v>
      </c>
      <c r="Q227" s="3">
        <f t="shared" si="118"/>
        <v>0</v>
      </c>
      <c r="R227" s="3">
        <f t="shared" si="106"/>
        <v>0</v>
      </c>
      <c r="S227" s="3">
        <f t="shared" si="119"/>
        <v>0</v>
      </c>
      <c r="T227" s="3">
        <f t="shared" si="91"/>
        <v>0</v>
      </c>
      <c r="U227" s="3">
        <f t="shared" si="105"/>
        <v>0</v>
      </c>
      <c r="V227" s="3">
        <f t="shared" si="92"/>
        <v>0</v>
      </c>
      <c r="W227" s="3">
        <f t="shared" si="95"/>
        <v>0</v>
      </c>
      <c r="X227" s="3">
        <f t="shared" si="96"/>
        <v>0</v>
      </c>
      <c r="Y227" s="3">
        <f t="shared" si="97"/>
        <v>0</v>
      </c>
      <c r="Z227" s="3">
        <f t="shared" si="108"/>
        <v>0</v>
      </c>
      <c r="AA227" s="3">
        <f t="shared" si="109"/>
        <v>0</v>
      </c>
      <c r="AB227" s="3" t="e">
        <f t="shared" si="110"/>
        <v>#DIV/0!</v>
      </c>
      <c r="AC227" s="3" t="str">
        <f t="shared" si="111"/>
        <v/>
      </c>
      <c r="AD227" s="3">
        <f t="shared" si="98"/>
        <v>0</v>
      </c>
      <c r="AE227" s="3">
        <f t="shared" si="93"/>
        <v>0</v>
      </c>
      <c r="AF227" s="3">
        <f t="shared" si="99"/>
        <v>0</v>
      </c>
      <c r="AG227" s="3" t="e">
        <f>AF227 / SUM(F$2:F227)</f>
        <v>#DIV/0!</v>
      </c>
      <c r="AH227" s="3" t="e">
        <f t="shared" si="100"/>
        <v>#DIV/0!</v>
      </c>
      <c r="AI227" s="3">
        <f t="shared" si="101"/>
        <v>0</v>
      </c>
      <c r="AJ227" s="3" t="e">
        <f t="shared" si="102"/>
        <v>#DIV/0!</v>
      </c>
      <c r="AK227" s="3" t="e">
        <f t="shared" si="117"/>
        <v>#DIV/0!</v>
      </c>
    </row>
    <row r="228" spans="1:37" x14ac:dyDescent="0.3">
      <c r="A228" s="24">
        <v>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f t="shared" si="90"/>
        <v>0</v>
      </c>
      <c r="H228" s="3">
        <f t="shared" si="107"/>
        <v>0</v>
      </c>
      <c r="I228" s="3">
        <f t="shared" si="112"/>
        <v>0</v>
      </c>
      <c r="J228" s="3">
        <f t="shared" si="113"/>
        <v>0</v>
      </c>
      <c r="K228" s="3">
        <f t="shared" si="114"/>
        <v>0</v>
      </c>
      <c r="L228" s="3">
        <f t="shared" si="115"/>
        <v>0</v>
      </c>
      <c r="M228" s="3" t="e">
        <f t="shared" si="94"/>
        <v>#DIV/0!</v>
      </c>
      <c r="N228" s="3" t="e">
        <f t="shared" si="103"/>
        <v>#DIV/0!</v>
      </c>
      <c r="O228" s="3" t="e">
        <f t="shared" si="116"/>
        <v>#DIV/0!</v>
      </c>
      <c r="P228" s="3">
        <f t="shared" si="104"/>
        <v>0</v>
      </c>
      <c r="Q228" s="3">
        <f t="shared" si="118"/>
        <v>0</v>
      </c>
      <c r="R228" s="3">
        <f t="shared" si="106"/>
        <v>0</v>
      </c>
      <c r="S228" s="3">
        <f t="shared" si="119"/>
        <v>0</v>
      </c>
      <c r="T228" s="3">
        <f t="shared" si="91"/>
        <v>0</v>
      </c>
      <c r="U228" s="3">
        <f t="shared" si="105"/>
        <v>0</v>
      </c>
      <c r="V228" s="3">
        <f t="shared" si="92"/>
        <v>0</v>
      </c>
      <c r="W228" s="3">
        <f t="shared" si="95"/>
        <v>0</v>
      </c>
      <c r="X228" s="3">
        <f t="shared" si="96"/>
        <v>0</v>
      </c>
      <c r="Y228" s="3">
        <f t="shared" si="97"/>
        <v>0</v>
      </c>
      <c r="Z228" s="3">
        <f t="shared" si="108"/>
        <v>0</v>
      </c>
      <c r="AA228" s="3">
        <f t="shared" si="109"/>
        <v>0</v>
      </c>
      <c r="AB228" s="3" t="e">
        <f t="shared" si="110"/>
        <v>#DIV/0!</v>
      </c>
      <c r="AC228" s="3" t="str">
        <f t="shared" si="111"/>
        <v/>
      </c>
      <c r="AD228" s="3">
        <f t="shared" si="98"/>
        <v>0</v>
      </c>
      <c r="AE228" s="3">
        <f t="shared" si="93"/>
        <v>0</v>
      </c>
      <c r="AF228" s="3">
        <f t="shared" si="99"/>
        <v>0</v>
      </c>
      <c r="AG228" s="3" t="e">
        <f>AF228 / SUM(F$2:F228)</f>
        <v>#DIV/0!</v>
      </c>
      <c r="AH228" s="3" t="e">
        <f t="shared" si="100"/>
        <v>#DIV/0!</v>
      </c>
      <c r="AI228" s="3">
        <f t="shared" si="101"/>
        <v>0</v>
      </c>
      <c r="AJ228" s="3" t="e">
        <f t="shared" si="102"/>
        <v>#DIV/0!</v>
      </c>
      <c r="AK228" s="3" t="e">
        <f t="shared" si="117"/>
        <v>#DIV/0!</v>
      </c>
    </row>
    <row r="229" spans="1:37" x14ac:dyDescent="0.3">
      <c r="A229" s="24">
        <v>0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f t="shared" si="90"/>
        <v>0</v>
      </c>
      <c r="H229" s="3">
        <f t="shared" si="107"/>
        <v>0</v>
      </c>
      <c r="I229" s="3">
        <f t="shared" si="112"/>
        <v>0</v>
      </c>
      <c r="J229" s="3">
        <f t="shared" si="113"/>
        <v>0</v>
      </c>
      <c r="K229" s="3">
        <f t="shared" si="114"/>
        <v>0</v>
      </c>
      <c r="L229" s="3">
        <f t="shared" si="115"/>
        <v>0</v>
      </c>
      <c r="M229" s="3" t="e">
        <f t="shared" si="94"/>
        <v>#DIV/0!</v>
      </c>
      <c r="N229" s="3" t="e">
        <f t="shared" si="103"/>
        <v>#DIV/0!</v>
      </c>
      <c r="O229" s="3" t="e">
        <f t="shared" si="116"/>
        <v>#DIV/0!</v>
      </c>
      <c r="P229" s="3">
        <f t="shared" si="104"/>
        <v>0</v>
      </c>
      <c r="Q229" s="3">
        <f t="shared" si="118"/>
        <v>0</v>
      </c>
      <c r="R229" s="3">
        <f t="shared" si="106"/>
        <v>0</v>
      </c>
      <c r="S229" s="3">
        <f t="shared" si="119"/>
        <v>0</v>
      </c>
      <c r="T229" s="3">
        <f t="shared" si="91"/>
        <v>0</v>
      </c>
      <c r="U229" s="3">
        <f t="shared" si="105"/>
        <v>0</v>
      </c>
      <c r="V229" s="3">
        <f t="shared" si="92"/>
        <v>0</v>
      </c>
      <c r="W229" s="3">
        <f t="shared" si="95"/>
        <v>0</v>
      </c>
      <c r="X229" s="3">
        <f t="shared" si="96"/>
        <v>0</v>
      </c>
      <c r="Y229" s="3">
        <f t="shared" si="97"/>
        <v>0</v>
      </c>
      <c r="Z229" s="3">
        <f t="shared" si="108"/>
        <v>0</v>
      </c>
      <c r="AA229" s="3">
        <f t="shared" si="109"/>
        <v>0</v>
      </c>
      <c r="AB229" s="3" t="e">
        <f t="shared" si="110"/>
        <v>#DIV/0!</v>
      </c>
      <c r="AC229" s="3" t="str">
        <f t="shared" si="111"/>
        <v/>
      </c>
      <c r="AD229" s="3">
        <f t="shared" si="98"/>
        <v>0</v>
      </c>
      <c r="AE229" s="3">
        <f t="shared" si="93"/>
        <v>0</v>
      </c>
      <c r="AF229" s="3">
        <f t="shared" si="99"/>
        <v>0</v>
      </c>
      <c r="AG229" s="3" t="e">
        <f>AF229 / SUM(F$2:F229)</f>
        <v>#DIV/0!</v>
      </c>
      <c r="AH229" s="3" t="e">
        <f t="shared" si="100"/>
        <v>#DIV/0!</v>
      </c>
      <c r="AI229" s="3">
        <f t="shared" si="101"/>
        <v>0</v>
      </c>
      <c r="AJ229" s="3" t="e">
        <f t="shared" si="102"/>
        <v>#DIV/0!</v>
      </c>
      <c r="AK229" s="3" t="e">
        <f t="shared" si="117"/>
        <v>#DIV/0!</v>
      </c>
    </row>
    <row r="230" spans="1:37" x14ac:dyDescent="0.3">
      <c r="A230" s="24">
        <v>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f t="shared" si="90"/>
        <v>0</v>
      </c>
      <c r="H230" s="3">
        <f t="shared" si="107"/>
        <v>0</v>
      </c>
      <c r="I230" s="3">
        <f t="shared" si="112"/>
        <v>0</v>
      </c>
      <c r="J230" s="3">
        <f t="shared" si="113"/>
        <v>0</v>
      </c>
      <c r="K230" s="3">
        <f t="shared" si="114"/>
        <v>0</v>
      </c>
      <c r="L230" s="3">
        <f t="shared" si="115"/>
        <v>0</v>
      </c>
      <c r="M230" s="3" t="e">
        <f t="shared" si="94"/>
        <v>#DIV/0!</v>
      </c>
      <c r="N230" s="3" t="e">
        <f t="shared" si="103"/>
        <v>#DIV/0!</v>
      </c>
      <c r="O230" s="3" t="e">
        <f t="shared" si="116"/>
        <v>#DIV/0!</v>
      </c>
      <c r="P230" s="3">
        <f t="shared" si="104"/>
        <v>0</v>
      </c>
      <c r="Q230" s="3">
        <f t="shared" si="118"/>
        <v>0</v>
      </c>
      <c r="R230" s="3">
        <f t="shared" si="106"/>
        <v>0</v>
      </c>
      <c r="S230" s="3">
        <f t="shared" si="119"/>
        <v>0</v>
      </c>
      <c r="T230" s="3">
        <f t="shared" si="91"/>
        <v>0</v>
      </c>
      <c r="U230" s="3">
        <f t="shared" si="105"/>
        <v>0</v>
      </c>
      <c r="V230" s="3">
        <f t="shared" si="92"/>
        <v>0</v>
      </c>
      <c r="W230" s="3">
        <f t="shared" si="95"/>
        <v>0</v>
      </c>
      <c r="X230" s="3">
        <f t="shared" si="96"/>
        <v>0</v>
      </c>
      <c r="Y230" s="3">
        <f t="shared" si="97"/>
        <v>0</v>
      </c>
      <c r="Z230" s="3">
        <f t="shared" si="108"/>
        <v>0</v>
      </c>
      <c r="AA230" s="3">
        <f t="shared" si="109"/>
        <v>0</v>
      </c>
      <c r="AB230" s="3" t="e">
        <f t="shared" si="110"/>
        <v>#DIV/0!</v>
      </c>
      <c r="AC230" s="3" t="str">
        <f t="shared" si="111"/>
        <v/>
      </c>
      <c r="AD230" s="3">
        <f t="shared" si="98"/>
        <v>0</v>
      </c>
      <c r="AE230" s="3">
        <f t="shared" si="93"/>
        <v>0</v>
      </c>
      <c r="AF230" s="3">
        <f t="shared" si="99"/>
        <v>0</v>
      </c>
      <c r="AG230" s="3" t="e">
        <f>AF230 / SUM(F$2:F230)</f>
        <v>#DIV/0!</v>
      </c>
      <c r="AH230" s="3" t="e">
        <f t="shared" si="100"/>
        <v>#DIV/0!</v>
      </c>
      <c r="AI230" s="3">
        <f t="shared" si="101"/>
        <v>0</v>
      </c>
      <c r="AJ230" s="3" t="e">
        <f t="shared" si="102"/>
        <v>#DIV/0!</v>
      </c>
      <c r="AK230" s="3" t="e">
        <f t="shared" si="117"/>
        <v>#DIV/0!</v>
      </c>
    </row>
    <row r="231" spans="1:37" x14ac:dyDescent="0.3">
      <c r="A231" s="24">
        <v>0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f t="shared" si="90"/>
        <v>0</v>
      </c>
      <c r="H231" s="3">
        <f t="shared" si="107"/>
        <v>0</v>
      </c>
      <c r="I231" s="3">
        <f t="shared" si="112"/>
        <v>0</v>
      </c>
      <c r="J231" s="3">
        <f t="shared" si="113"/>
        <v>0</v>
      </c>
      <c r="K231" s="3">
        <f t="shared" si="114"/>
        <v>0</v>
      </c>
      <c r="L231" s="3">
        <f t="shared" si="115"/>
        <v>0</v>
      </c>
      <c r="M231" s="3" t="e">
        <f t="shared" si="94"/>
        <v>#DIV/0!</v>
      </c>
      <c r="N231" s="3" t="e">
        <f t="shared" si="103"/>
        <v>#DIV/0!</v>
      </c>
      <c r="O231" s="3" t="e">
        <f t="shared" si="116"/>
        <v>#DIV/0!</v>
      </c>
      <c r="P231" s="3">
        <f t="shared" si="104"/>
        <v>0</v>
      </c>
      <c r="Q231" s="3">
        <f t="shared" si="118"/>
        <v>0</v>
      </c>
      <c r="R231" s="3">
        <f t="shared" si="106"/>
        <v>0</v>
      </c>
      <c r="S231" s="3">
        <f t="shared" si="119"/>
        <v>0</v>
      </c>
      <c r="T231" s="3">
        <f t="shared" si="91"/>
        <v>0</v>
      </c>
      <c r="U231" s="3">
        <f t="shared" si="105"/>
        <v>0</v>
      </c>
      <c r="V231" s="3">
        <f t="shared" si="92"/>
        <v>0</v>
      </c>
      <c r="W231" s="3">
        <f t="shared" si="95"/>
        <v>0</v>
      </c>
      <c r="X231" s="3">
        <f t="shared" si="96"/>
        <v>0</v>
      </c>
      <c r="Y231" s="3">
        <f t="shared" si="97"/>
        <v>0</v>
      </c>
      <c r="Z231" s="3">
        <f t="shared" si="108"/>
        <v>0</v>
      </c>
      <c r="AA231" s="3">
        <f t="shared" si="109"/>
        <v>0</v>
      </c>
      <c r="AB231" s="3" t="e">
        <f t="shared" si="110"/>
        <v>#DIV/0!</v>
      </c>
      <c r="AC231" s="3" t="str">
        <f t="shared" si="111"/>
        <v/>
      </c>
      <c r="AD231" s="3">
        <f t="shared" si="98"/>
        <v>0</v>
      </c>
      <c r="AE231" s="3">
        <f t="shared" si="93"/>
        <v>0</v>
      </c>
      <c r="AF231" s="3">
        <f t="shared" si="99"/>
        <v>0</v>
      </c>
      <c r="AG231" s="3" t="e">
        <f>AF231 / SUM(F$2:F231)</f>
        <v>#DIV/0!</v>
      </c>
      <c r="AH231" s="3" t="e">
        <f t="shared" si="100"/>
        <v>#DIV/0!</v>
      </c>
      <c r="AI231" s="3">
        <f t="shared" si="101"/>
        <v>0</v>
      </c>
      <c r="AJ231" s="3" t="e">
        <f t="shared" si="102"/>
        <v>#DIV/0!</v>
      </c>
      <c r="AK231" s="3" t="e">
        <f t="shared" si="117"/>
        <v>#DIV/0!</v>
      </c>
    </row>
    <row r="232" spans="1:37" x14ac:dyDescent="0.3">
      <c r="A232" s="24">
        <v>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f t="shared" si="90"/>
        <v>0</v>
      </c>
      <c r="H232" s="3">
        <f t="shared" si="107"/>
        <v>0</v>
      </c>
      <c r="I232" s="3">
        <f t="shared" si="112"/>
        <v>0</v>
      </c>
      <c r="J232" s="3">
        <f t="shared" si="113"/>
        <v>0</v>
      </c>
      <c r="K232" s="3">
        <f t="shared" si="114"/>
        <v>0</v>
      </c>
      <c r="L232" s="3">
        <f t="shared" si="115"/>
        <v>0</v>
      </c>
      <c r="M232" s="3" t="e">
        <f t="shared" si="94"/>
        <v>#DIV/0!</v>
      </c>
      <c r="N232" s="3" t="e">
        <f t="shared" si="103"/>
        <v>#DIV/0!</v>
      </c>
      <c r="O232" s="3" t="e">
        <f t="shared" si="116"/>
        <v>#DIV/0!</v>
      </c>
      <c r="P232" s="3">
        <f t="shared" si="104"/>
        <v>0</v>
      </c>
      <c r="Q232" s="3">
        <f t="shared" si="118"/>
        <v>0</v>
      </c>
      <c r="R232" s="3">
        <f t="shared" si="106"/>
        <v>0</v>
      </c>
      <c r="S232" s="3">
        <f t="shared" si="119"/>
        <v>0</v>
      </c>
      <c r="T232" s="3">
        <f t="shared" si="91"/>
        <v>0</v>
      </c>
      <c r="U232" s="3">
        <f t="shared" si="105"/>
        <v>0</v>
      </c>
      <c r="V232" s="3">
        <f t="shared" si="92"/>
        <v>0</v>
      </c>
      <c r="W232" s="3">
        <f t="shared" si="95"/>
        <v>0</v>
      </c>
      <c r="X232" s="3">
        <f t="shared" si="96"/>
        <v>0</v>
      </c>
      <c r="Y232" s="3">
        <f t="shared" si="97"/>
        <v>0</v>
      </c>
      <c r="Z232" s="3">
        <f t="shared" si="108"/>
        <v>0</v>
      </c>
      <c r="AA232" s="3">
        <f t="shared" si="109"/>
        <v>0</v>
      </c>
      <c r="AB232" s="3" t="e">
        <f t="shared" si="110"/>
        <v>#DIV/0!</v>
      </c>
      <c r="AC232" s="3" t="str">
        <f t="shared" si="111"/>
        <v/>
      </c>
      <c r="AD232" s="3">
        <f t="shared" si="98"/>
        <v>0</v>
      </c>
      <c r="AE232" s="3">
        <f t="shared" si="93"/>
        <v>0</v>
      </c>
      <c r="AF232" s="3">
        <f t="shared" si="99"/>
        <v>0</v>
      </c>
      <c r="AG232" s="3" t="e">
        <f>AF232 / SUM(F$2:F232)</f>
        <v>#DIV/0!</v>
      </c>
      <c r="AH232" s="3" t="e">
        <f t="shared" si="100"/>
        <v>#DIV/0!</v>
      </c>
      <c r="AI232" s="3">
        <f t="shared" si="101"/>
        <v>0</v>
      </c>
      <c r="AJ232" s="3" t="e">
        <f t="shared" si="102"/>
        <v>#DIV/0!</v>
      </c>
      <c r="AK232" s="3" t="e">
        <f t="shared" si="117"/>
        <v>#DIV/0!</v>
      </c>
    </row>
    <row r="233" spans="1:37" x14ac:dyDescent="0.3">
      <c r="A233" s="24">
        <v>0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f t="shared" si="90"/>
        <v>0</v>
      </c>
      <c r="H233" s="3">
        <f t="shared" si="107"/>
        <v>0</v>
      </c>
      <c r="I233" s="3">
        <f t="shared" si="112"/>
        <v>0</v>
      </c>
      <c r="J233" s="3">
        <f t="shared" si="113"/>
        <v>0</v>
      </c>
      <c r="K233" s="3">
        <f t="shared" si="114"/>
        <v>0</v>
      </c>
      <c r="L233" s="3">
        <f t="shared" si="115"/>
        <v>0</v>
      </c>
      <c r="M233" s="3" t="e">
        <f t="shared" si="94"/>
        <v>#DIV/0!</v>
      </c>
      <c r="N233" s="3" t="e">
        <f t="shared" si="103"/>
        <v>#DIV/0!</v>
      </c>
      <c r="O233" s="3" t="e">
        <f t="shared" si="116"/>
        <v>#DIV/0!</v>
      </c>
      <c r="P233" s="3">
        <f t="shared" si="104"/>
        <v>0</v>
      </c>
      <c r="Q233" s="3">
        <f t="shared" si="118"/>
        <v>0</v>
      </c>
      <c r="R233" s="3">
        <f t="shared" si="106"/>
        <v>0</v>
      </c>
      <c r="S233" s="3">
        <f t="shared" si="119"/>
        <v>0</v>
      </c>
      <c r="T233" s="3">
        <f t="shared" si="91"/>
        <v>0</v>
      </c>
      <c r="U233" s="3">
        <f t="shared" si="105"/>
        <v>0</v>
      </c>
      <c r="V233" s="3">
        <f t="shared" si="92"/>
        <v>0</v>
      </c>
      <c r="W233" s="3">
        <f t="shared" si="95"/>
        <v>0</v>
      </c>
      <c r="X233" s="3">
        <f t="shared" si="96"/>
        <v>0</v>
      </c>
      <c r="Y233" s="3">
        <f t="shared" si="97"/>
        <v>0</v>
      </c>
      <c r="Z233" s="3">
        <f t="shared" si="108"/>
        <v>0</v>
      </c>
      <c r="AA233" s="3">
        <f t="shared" si="109"/>
        <v>0</v>
      </c>
      <c r="AB233" s="3" t="e">
        <f t="shared" si="110"/>
        <v>#DIV/0!</v>
      </c>
      <c r="AC233" s="3" t="str">
        <f t="shared" si="111"/>
        <v/>
      </c>
      <c r="AD233" s="3">
        <f t="shared" si="98"/>
        <v>0</v>
      </c>
      <c r="AE233" s="3">
        <f t="shared" si="93"/>
        <v>0</v>
      </c>
      <c r="AF233" s="3">
        <f t="shared" si="99"/>
        <v>0</v>
      </c>
      <c r="AG233" s="3" t="e">
        <f>AF233 / SUM(F$2:F233)</f>
        <v>#DIV/0!</v>
      </c>
      <c r="AH233" s="3" t="e">
        <f t="shared" si="100"/>
        <v>#DIV/0!</v>
      </c>
      <c r="AI233" s="3">
        <f t="shared" si="101"/>
        <v>0</v>
      </c>
      <c r="AJ233" s="3" t="e">
        <f t="shared" si="102"/>
        <v>#DIV/0!</v>
      </c>
      <c r="AK233" s="3" t="e">
        <f t="shared" si="117"/>
        <v>#DIV/0!</v>
      </c>
    </row>
    <row r="234" spans="1:37" x14ac:dyDescent="0.3">
      <c r="A234" s="24">
        <v>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f t="shared" si="90"/>
        <v>0</v>
      </c>
      <c r="H234" s="3">
        <f t="shared" si="107"/>
        <v>0</v>
      </c>
      <c r="I234" s="3">
        <f t="shared" si="112"/>
        <v>0</v>
      </c>
      <c r="J234" s="3">
        <f t="shared" si="113"/>
        <v>0</v>
      </c>
      <c r="K234" s="3">
        <f t="shared" si="114"/>
        <v>0</v>
      </c>
      <c r="L234" s="3">
        <f t="shared" si="115"/>
        <v>0</v>
      </c>
      <c r="M234" s="3" t="e">
        <f t="shared" si="94"/>
        <v>#DIV/0!</v>
      </c>
      <c r="N234" s="3" t="e">
        <f t="shared" si="103"/>
        <v>#DIV/0!</v>
      </c>
      <c r="O234" s="3" t="e">
        <f t="shared" si="116"/>
        <v>#DIV/0!</v>
      </c>
      <c r="P234" s="3">
        <f t="shared" si="104"/>
        <v>0</v>
      </c>
      <c r="Q234" s="3">
        <f t="shared" si="118"/>
        <v>0</v>
      </c>
      <c r="R234" s="3">
        <f t="shared" si="106"/>
        <v>0</v>
      </c>
      <c r="S234" s="3">
        <f t="shared" si="119"/>
        <v>0</v>
      </c>
      <c r="T234" s="3">
        <f t="shared" si="91"/>
        <v>0</v>
      </c>
      <c r="U234" s="3">
        <f t="shared" si="105"/>
        <v>0</v>
      </c>
      <c r="V234" s="3">
        <f t="shared" si="92"/>
        <v>0</v>
      </c>
      <c r="W234" s="3">
        <f t="shared" si="95"/>
        <v>0</v>
      </c>
      <c r="X234" s="3">
        <f t="shared" si="96"/>
        <v>0</v>
      </c>
      <c r="Y234" s="3">
        <f t="shared" si="97"/>
        <v>0</v>
      </c>
      <c r="Z234" s="3">
        <f t="shared" si="108"/>
        <v>0</v>
      </c>
      <c r="AA234" s="3">
        <f t="shared" si="109"/>
        <v>0</v>
      </c>
      <c r="AB234" s="3" t="e">
        <f t="shared" si="110"/>
        <v>#DIV/0!</v>
      </c>
      <c r="AC234" s="3" t="str">
        <f t="shared" si="111"/>
        <v/>
      </c>
      <c r="AD234" s="3">
        <f t="shared" si="98"/>
        <v>0</v>
      </c>
      <c r="AE234" s="3">
        <f t="shared" si="93"/>
        <v>0</v>
      </c>
      <c r="AF234" s="3">
        <f t="shared" si="99"/>
        <v>0</v>
      </c>
      <c r="AG234" s="3" t="e">
        <f>AF234 / SUM(F$2:F234)</f>
        <v>#DIV/0!</v>
      </c>
      <c r="AH234" s="3" t="e">
        <f t="shared" si="100"/>
        <v>#DIV/0!</v>
      </c>
      <c r="AI234" s="3">
        <f t="shared" si="101"/>
        <v>0</v>
      </c>
      <c r="AJ234" s="3" t="e">
        <f t="shared" si="102"/>
        <v>#DIV/0!</v>
      </c>
      <c r="AK234" s="3" t="e">
        <f t="shared" si="117"/>
        <v>#DIV/0!</v>
      </c>
    </row>
    <row r="235" spans="1:37" x14ac:dyDescent="0.3">
      <c r="A235" s="24">
        <v>0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f t="shared" si="90"/>
        <v>0</v>
      </c>
      <c r="H235" s="3">
        <f t="shared" si="107"/>
        <v>0</v>
      </c>
      <c r="I235" s="3">
        <f t="shared" si="112"/>
        <v>0</v>
      </c>
      <c r="J235" s="3">
        <f t="shared" si="113"/>
        <v>0</v>
      </c>
      <c r="K235" s="3">
        <f t="shared" si="114"/>
        <v>0</v>
      </c>
      <c r="L235" s="3">
        <f t="shared" si="115"/>
        <v>0</v>
      </c>
      <c r="M235" s="3" t="e">
        <f t="shared" si="94"/>
        <v>#DIV/0!</v>
      </c>
      <c r="N235" s="3" t="e">
        <f t="shared" si="103"/>
        <v>#DIV/0!</v>
      </c>
      <c r="O235" s="3" t="e">
        <f t="shared" si="116"/>
        <v>#DIV/0!</v>
      </c>
      <c r="P235" s="3">
        <f t="shared" si="104"/>
        <v>0</v>
      </c>
      <c r="Q235" s="3">
        <f t="shared" si="118"/>
        <v>0</v>
      </c>
      <c r="R235" s="3">
        <f t="shared" si="106"/>
        <v>0</v>
      </c>
      <c r="S235" s="3">
        <f t="shared" si="119"/>
        <v>0</v>
      </c>
      <c r="T235" s="3">
        <f t="shared" si="91"/>
        <v>0</v>
      </c>
      <c r="U235" s="3">
        <f t="shared" si="105"/>
        <v>0</v>
      </c>
      <c r="V235" s="3">
        <f t="shared" si="92"/>
        <v>0</v>
      </c>
      <c r="W235" s="3">
        <f t="shared" si="95"/>
        <v>0</v>
      </c>
      <c r="X235" s="3">
        <f t="shared" si="96"/>
        <v>0</v>
      </c>
      <c r="Y235" s="3">
        <f t="shared" si="97"/>
        <v>0</v>
      </c>
      <c r="Z235" s="3">
        <f t="shared" si="108"/>
        <v>0</v>
      </c>
      <c r="AA235" s="3">
        <f t="shared" si="109"/>
        <v>0</v>
      </c>
      <c r="AB235" s="3" t="e">
        <f t="shared" si="110"/>
        <v>#DIV/0!</v>
      </c>
      <c r="AC235" s="3" t="str">
        <f t="shared" si="111"/>
        <v/>
      </c>
      <c r="AD235" s="3">
        <f t="shared" si="98"/>
        <v>0</v>
      </c>
      <c r="AE235" s="3">
        <f t="shared" si="93"/>
        <v>0</v>
      </c>
      <c r="AF235" s="3">
        <f t="shared" si="99"/>
        <v>0</v>
      </c>
      <c r="AG235" s="3" t="e">
        <f>AF235 / SUM(F$2:F235)</f>
        <v>#DIV/0!</v>
      </c>
      <c r="AH235" s="3" t="e">
        <f t="shared" si="100"/>
        <v>#DIV/0!</v>
      </c>
      <c r="AI235" s="3">
        <f t="shared" si="101"/>
        <v>0</v>
      </c>
      <c r="AJ235" s="3" t="e">
        <f t="shared" si="102"/>
        <v>#DIV/0!</v>
      </c>
      <c r="AK235" s="3" t="e">
        <f t="shared" si="117"/>
        <v>#DIV/0!</v>
      </c>
    </row>
    <row r="236" spans="1:37" x14ac:dyDescent="0.3">
      <c r="A236" s="24">
        <v>0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f t="shared" si="90"/>
        <v>0</v>
      </c>
      <c r="H236" s="3">
        <f t="shared" si="107"/>
        <v>0</v>
      </c>
      <c r="I236" s="3">
        <f t="shared" si="112"/>
        <v>0</v>
      </c>
      <c r="J236" s="3">
        <f t="shared" si="113"/>
        <v>0</v>
      </c>
      <c r="K236" s="3">
        <f t="shared" si="114"/>
        <v>0</v>
      </c>
      <c r="L236" s="3">
        <f t="shared" si="115"/>
        <v>0</v>
      </c>
      <c r="M236" s="3" t="e">
        <f t="shared" si="94"/>
        <v>#DIV/0!</v>
      </c>
      <c r="N236" s="3" t="e">
        <f t="shared" si="103"/>
        <v>#DIV/0!</v>
      </c>
      <c r="O236" s="3" t="e">
        <f t="shared" si="116"/>
        <v>#DIV/0!</v>
      </c>
      <c r="P236" s="3">
        <f t="shared" si="104"/>
        <v>0</v>
      </c>
      <c r="Q236" s="3">
        <f t="shared" si="118"/>
        <v>0</v>
      </c>
      <c r="R236" s="3">
        <f t="shared" si="106"/>
        <v>0</v>
      </c>
      <c r="S236" s="3">
        <f t="shared" si="119"/>
        <v>0</v>
      </c>
      <c r="T236" s="3">
        <f t="shared" si="91"/>
        <v>0</v>
      </c>
      <c r="U236" s="3">
        <f t="shared" si="105"/>
        <v>0</v>
      </c>
      <c r="V236" s="3">
        <f t="shared" si="92"/>
        <v>0</v>
      </c>
      <c r="W236" s="3">
        <f t="shared" si="95"/>
        <v>0</v>
      </c>
      <c r="X236" s="3">
        <f t="shared" si="96"/>
        <v>0</v>
      </c>
      <c r="Y236" s="3">
        <f t="shared" si="97"/>
        <v>0</v>
      </c>
      <c r="Z236" s="3">
        <f t="shared" si="108"/>
        <v>0</v>
      </c>
      <c r="AA236" s="3">
        <f t="shared" si="109"/>
        <v>0</v>
      </c>
      <c r="AB236" s="3" t="e">
        <f t="shared" si="110"/>
        <v>#DIV/0!</v>
      </c>
      <c r="AC236" s="3" t="str">
        <f t="shared" si="111"/>
        <v/>
      </c>
      <c r="AD236" s="3">
        <f t="shared" si="98"/>
        <v>0</v>
      </c>
      <c r="AE236" s="3">
        <f t="shared" si="93"/>
        <v>0</v>
      </c>
      <c r="AF236" s="3">
        <f t="shared" si="99"/>
        <v>0</v>
      </c>
      <c r="AG236" s="3" t="e">
        <f>AF236 / SUM(F$2:F236)</f>
        <v>#DIV/0!</v>
      </c>
      <c r="AH236" s="3" t="e">
        <f t="shared" si="100"/>
        <v>#DIV/0!</v>
      </c>
      <c r="AI236" s="3">
        <f t="shared" si="101"/>
        <v>0</v>
      </c>
      <c r="AJ236" s="3" t="e">
        <f t="shared" si="102"/>
        <v>#DIV/0!</v>
      </c>
      <c r="AK236" s="3" t="e">
        <f t="shared" si="117"/>
        <v>#DIV/0!</v>
      </c>
    </row>
    <row r="237" spans="1:37" x14ac:dyDescent="0.3">
      <c r="A237" s="24">
        <v>0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f t="shared" si="90"/>
        <v>0</v>
      </c>
      <c r="H237" s="3">
        <f t="shared" si="107"/>
        <v>0</v>
      </c>
      <c r="I237" s="3">
        <f t="shared" si="112"/>
        <v>0</v>
      </c>
      <c r="J237" s="3">
        <f t="shared" si="113"/>
        <v>0</v>
      </c>
      <c r="K237" s="3">
        <f t="shared" si="114"/>
        <v>0</v>
      </c>
      <c r="L237" s="3">
        <f t="shared" si="115"/>
        <v>0</v>
      </c>
      <c r="M237" s="3" t="e">
        <f t="shared" si="94"/>
        <v>#DIV/0!</v>
      </c>
      <c r="N237" s="3" t="e">
        <f t="shared" si="103"/>
        <v>#DIV/0!</v>
      </c>
      <c r="O237" s="3" t="e">
        <f t="shared" si="116"/>
        <v>#DIV/0!</v>
      </c>
      <c r="P237" s="3">
        <f t="shared" si="104"/>
        <v>0</v>
      </c>
      <c r="Q237" s="3">
        <f t="shared" si="118"/>
        <v>0</v>
      </c>
      <c r="R237" s="3">
        <f t="shared" si="106"/>
        <v>0</v>
      </c>
      <c r="S237" s="3">
        <f t="shared" si="119"/>
        <v>0</v>
      </c>
      <c r="T237" s="3">
        <f t="shared" si="91"/>
        <v>0</v>
      </c>
      <c r="U237" s="3">
        <f t="shared" si="105"/>
        <v>0</v>
      </c>
      <c r="V237" s="3">
        <f t="shared" si="92"/>
        <v>0</v>
      </c>
      <c r="W237" s="3">
        <f t="shared" si="95"/>
        <v>0</v>
      </c>
      <c r="X237" s="3">
        <f t="shared" si="96"/>
        <v>0</v>
      </c>
      <c r="Y237" s="3">
        <f t="shared" si="97"/>
        <v>0</v>
      </c>
      <c r="Z237" s="3">
        <f t="shared" si="108"/>
        <v>0</v>
      </c>
      <c r="AA237" s="3">
        <f t="shared" si="109"/>
        <v>0</v>
      </c>
      <c r="AB237" s="3" t="e">
        <f t="shared" si="110"/>
        <v>#DIV/0!</v>
      </c>
      <c r="AC237" s="3" t="str">
        <f t="shared" si="111"/>
        <v/>
      </c>
      <c r="AD237" s="3">
        <f t="shared" si="98"/>
        <v>0</v>
      </c>
      <c r="AE237" s="3">
        <f t="shared" si="93"/>
        <v>0</v>
      </c>
      <c r="AF237" s="3">
        <f t="shared" si="99"/>
        <v>0</v>
      </c>
      <c r="AG237" s="3" t="e">
        <f>AF237 / SUM(F$2:F237)</f>
        <v>#DIV/0!</v>
      </c>
      <c r="AH237" s="3" t="e">
        <f t="shared" si="100"/>
        <v>#DIV/0!</v>
      </c>
      <c r="AI237" s="3">
        <f t="shared" si="101"/>
        <v>0</v>
      </c>
      <c r="AJ237" s="3" t="e">
        <f t="shared" si="102"/>
        <v>#DIV/0!</v>
      </c>
      <c r="AK237" s="3" t="e">
        <f t="shared" si="117"/>
        <v>#DIV/0!</v>
      </c>
    </row>
    <row r="238" spans="1:37" x14ac:dyDescent="0.3">
      <c r="A238" s="24">
        <v>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f t="shared" si="90"/>
        <v>0</v>
      </c>
      <c r="H238" s="3">
        <f t="shared" si="107"/>
        <v>0</v>
      </c>
      <c r="I238" s="3">
        <f t="shared" si="112"/>
        <v>0</v>
      </c>
      <c r="J238" s="3">
        <f t="shared" si="113"/>
        <v>0</v>
      </c>
      <c r="K238" s="3">
        <f t="shared" si="114"/>
        <v>0</v>
      </c>
      <c r="L238" s="3">
        <f t="shared" si="115"/>
        <v>0</v>
      </c>
      <c r="M238" s="3" t="e">
        <f t="shared" si="94"/>
        <v>#DIV/0!</v>
      </c>
      <c r="N238" s="3" t="e">
        <f t="shared" si="103"/>
        <v>#DIV/0!</v>
      </c>
      <c r="O238" s="3" t="e">
        <f t="shared" si="116"/>
        <v>#DIV/0!</v>
      </c>
      <c r="P238" s="3">
        <f t="shared" si="104"/>
        <v>0</v>
      </c>
      <c r="Q238" s="3">
        <f t="shared" si="118"/>
        <v>0</v>
      </c>
      <c r="R238" s="3">
        <f t="shared" si="106"/>
        <v>0</v>
      </c>
      <c r="S238" s="3">
        <f t="shared" si="119"/>
        <v>0</v>
      </c>
      <c r="T238" s="3">
        <f t="shared" si="91"/>
        <v>0</v>
      </c>
      <c r="U238" s="3">
        <f t="shared" si="105"/>
        <v>0</v>
      </c>
      <c r="V238" s="3">
        <f t="shared" si="92"/>
        <v>0</v>
      </c>
      <c r="W238" s="3">
        <f t="shared" si="95"/>
        <v>0</v>
      </c>
      <c r="X238" s="3">
        <f t="shared" si="96"/>
        <v>0</v>
      </c>
      <c r="Y238" s="3">
        <f t="shared" si="97"/>
        <v>0</v>
      </c>
      <c r="Z238" s="3">
        <f t="shared" si="108"/>
        <v>0</v>
      </c>
      <c r="AA238" s="3">
        <f t="shared" si="109"/>
        <v>0</v>
      </c>
      <c r="AB238" s="3" t="e">
        <f t="shared" si="110"/>
        <v>#DIV/0!</v>
      </c>
      <c r="AC238" s="3" t="str">
        <f t="shared" si="111"/>
        <v/>
      </c>
      <c r="AD238" s="3">
        <f t="shared" si="98"/>
        <v>0</v>
      </c>
      <c r="AE238" s="3">
        <f t="shared" si="93"/>
        <v>0</v>
      </c>
      <c r="AF238" s="3">
        <f t="shared" si="99"/>
        <v>0</v>
      </c>
      <c r="AG238" s="3" t="e">
        <f>AF238 / SUM(F$2:F238)</f>
        <v>#DIV/0!</v>
      </c>
      <c r="AH238" s="3" t="e">
        <f t="shared" si="100"/>
        <v>#DIV/0!</v>
      </c>
      <c r="AI238" s="3">
        <f t="shared" si="101"/>
        <v>0</v>
      </c>
      <c r="AJ238" s="3" t="e">
        <f t="shared" si="102"/>
        <v>#DIV/0!</v>
      </c>
      <c r="AK238" s="3" t="e">
        <f t="shared" si="117"/>
        <v>#DIV/0!</v>
      </c>
    </row>
    <row r="239" spans="1:37" x14ac:dyDescent="0.3">
      <c r="A239" s="24">
        <v>0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f t="shared" si="90"/>
        <v>0</v>
      </c>
      <c r="H239" s="3">
        <f t="shared" si="107"/>
        <v>0</v>
      </c>
      <c r="I239" s="3">
        <f t="shared" si="112"/>
        <v>0</v>
      </c>
      <c r="J239" s="3">
        <f t="shared" si="113"/>
        <v>0</v>
      </c>
      <c r="K239" s="3">
        <f t="shared" si="114"/>
        <v>0</v>
      </c>
      <c r="L239" s="3">
        <f t="shared" si="115"/>
        <v>0</v>
      </c>
      <c r="M239" s="3" t="e">
        <f t="shared" si="94"/>
        <v>#DIV/0!</v>
      </c>
      <c r="N239" s="3" t="e">
        <f t="shared" si="103"/>
        <v>#DIV/0!</v>
      </c>
      <c r="O239" s="3" t="e">
        <f t="shared" si="116"/>
        <v>#DIV/0!</v>
      </c>
      <c r="P239" s="3">
        <f t="shared" si="104"/>
        <v>0</v>
      </c>
      <c r="Q239" s="3">
        <f t="shared" si="118"/>
        <v>0</v>
      </c>
      <c r="R239" s="3">
        <f t="shared" si="106"/>
        <v>0</v>
      </c>
      <c r="S239" s="3">
        <f t="shared" si="119"/>
        <v>0</v>
      </c>
      <c r="T239" s="3">
        <f t="shared" si="91"/>
        <v>0</v>
      </c>
      <c r="U239" s="3">
        <f t="shared" si="105"/>
        <v>0</v>
      </c>
      <c r="V239" s="3">
        <f t="shared" si="92"/>
        <v>0</v>
      </c>
      <c r="W239" s="3">
        <f t="shared" si="95"/>
        <v>0</v>
      </c>
      <c r="X239" s="3">
        <f t="shared" si="96"/>
        <v>0</v>
      </c>
      <c r="Y239" s="3">
        <f t="shared" si="97"/>
        <v>0</v>
      </c>
      <c r="Z239" s="3">
        <f t="shared" si="108"/>
        <v>0</v>
      </c>
      <c r="AA239" s="3">
        <f t="shared" si="109"/>
        <v>0</v>
      </c>
      <c r="AB239" s="3" t="e">
        <f t="shared" si="110"/>
        <v>#DIV/0!</v>
      </c>
      <c r="AC239" s="3" t="str">
        <f t="shared" si="111"/>
        <v/>
      </c>
      <c r="AD239" s="3">
        <f t="shared" si="98"/>
        <v>0</v>
      </c>
      <c r="AE239" s="3">
        <f t="shared" si="93"/>
        <v>0</v>
      </c>
      <c r="AF239" s="3">
        <f t="shared" si="99"/>
        <v>0</v>
      </c>
      <c r="AG239" s="3" t="e">
        <f>AF239 / SUM(F$2:F239)</f>
        <v>#DIV/0!</v>
      </c>
      <c r="AH239" s="3" t="e">
        <f t="shared" si="100"/>
        <v>#DIV/0!</v>
      </c>
      <c r="AI239" s="3">
        <f t="shared" si="101"/>
        <v>0</v>
      </c>
      <c r="AJ239" s="3" t="e">
        <f t="shared" si="102"/>
        <v>#DIV/0!</v>
      </c>
      <c r="AK239" s="3" t="e">
        <f t="shared" si="117"/>
        <v>#DIV/0!</v>
      </c>
    </row>
    <row r="240" spans="1:37" x14ac:dyDescent="0.3">
      <c r="A240" s="24">
        <v>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f t="shared" si="90"/>
        <v>0</v>
      </c>
      <c r="H240" s="3">
        <f t="shared" si="107"/>
        <v>0</v>
      </c>
      <c r="I240" s="3">
        <f t="shared" si="112"/>
        <v>0</v>
      </c>
      <c r="J240" s="3">
        <f t="shared" si="113"/>
        <v>0</v>
      </c>
      <c r="K240" s="3">
        <f t="shared" si="114"/>
        <v>0</v>
      </c>
      <c r="L240" s="3">
        <f t="shared" si="115"/>
        <v>0</v>
      </c>
      <c r="M240" s="3" t="e">
        <f t="shared" si="94"/>
        <v>#DIV/0!</v>
      </c>
      <c r="N240" s="3" t="e">
        <f t="shared" si="103"/>
        <v>#DIV/0!</v>
      </c>
      <c r="O240" s="3" t="e">
        <f t="shared" si="116"/>
        <v>#DIV/0!</v>
      </c>
      <c r="P240" s="3">
        <f t="shared" si="104"/>
        <v>0</v>
      </c>
      <c r="Q240" s="3">
        <f t="shared" si="118"/>
        <v>0</v>
      </c>
      <c r="R240" s="3">
        <f t="shared" si="106"/>
        <v>0</v>
      </c>
      <c r="S240" s="3">
        <f t="shared" si="119"/>
        <v>0</v>
      </c>
      <c r="T240" s="3">
        <f t="shared" si="91"/>
        <v>0</v>
      </c>
      <c r="U240" s="3">
        <f t="shared" si="105"/>
        <v>0</v>
      </c>
      <c r="V240" s="3">
        <f t="shared" si="92"/>
        <v>0</v>
      </c>
      <c r="W240" s="3">
        <f t="shared" si="95"/>
        <v>0</v>
      </c>
      <c r="X240" s="3">
        <f t="shared" si="96"/>
        <v>0</v>
      </c>
      <c r="Y240" s="3">
        <f t="shared" si="97"/>
        <v>0</v>
      </c>
      <c r="Z240" s="3">
        <f t="shared" si="108"/>
        <v>0</v>
      </c>
      <c r="AA240" s="3">
        <f t="shared" si="109"/>
        <v>0</v>
      </c>
      <c r="AB240" s="3" t="e">
        <f t="shared" si="110"/>
        <v>#DIV/0!</v>
      </c>
      <c r="AC240" s="3" t="str">
        <f t="shared" si="111"/>
        <v/>
      </c>
      <c r="AD240" s="3">
        <f t="shared" si="98"/>
        <v>0</v>
      </c>
      <c r="AE240" s="3">
        <f t="shared" si="93"/>
        <v>0</v>
      </c>
      <c r="AF240" s="3">
        <f t="shared" si="99"/>
        <v>0</v>
      </c>
      <c r="AG240" s="3" t="e">
        <f>AF240 / SUM(F$2:F240)</f>
        <v>#DIV/0!</v>
      </c>
      <c r="AH240" s="3" t="e">
        <f t="shared" si="100"/>
        <v>#DIV/0!</v>
      </c>
      <c r="AI240" s="3">
        <f t="shared" si="101"/>
        <v>0</v>
      </c>
      <c r="AJ240" s="3" t="e">
        <f t="shared" si="102"/>
        <v>#DIV/0!</v>
      </c>
      <c r="AK240" s="3" t="e">
        <f t="shared" si="117"/>
        <v>#DIV/0!</v>
      </c>
    </row>
    <row r="241" spans="1:37" x14ac:dyDescent="0.3">
      <c r="A241" s="24">
        <v>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f t="shared" si="90"/>
        <v>0</v>
      </c>
      <c r="H241" s="3">
        <f t="shared" si="107"/>
        <v>0</v>
      </c>
      <c r="I241" s="3">
        <f t="shared" si="112"/>
        <v>0</v>
      </c>
      <c r="J241" s="3">
        <f t="shared" si="113"/>
        <v>0</v>
      </c>
      <c r="K241" s="3">
        <f t="shared" si="114"/>
        <v>0</v>
      </c>
      <c r="L241" s="3">
        <f t="shared" si="115"/>
        <v>0</v>
      </c>
      <c r="M241" s="3" t="e">
        <f t="shared" si="94"/>
        <v>#DIV/0!</v>
      </c>
      <c r="N241" s="3" t="e">
        <f t="shared" si="103"/>
        <v>#DIV/0!</v>
      </c>
      <c r="O241" s="3" t="e">
        <f t="shared" si="116"/>
        <v>#DIV/0!</v>
      </c>
      <c r="P241" s="3">
        <f t="shared" si="104"/>
        <v>0</v>
      </c>
      <c r="Q241" s="3">
        <f t="shared" si="118"/>
        <v>0</v>
      </c>
      <c r="R241" s="3">
        <f t="shared" si="106"/>
        <v>0</v>
      </c>
      <c r="S241" s="3">
        <f t="shared" si="119"/>
        <v>0</v>
      </c>
      <c r="T241" s="3">
        <f t="shared" si="91"/>
        <v>0</v>
      </c>
      <c r="U241" s="3">
        <f t="shared" si="105"/>
        <v>0</v>
      </c>
      <c r="V241" s="3">
        <f t="shared" si="92"/>
        <v>0</v>
      </c>
      <c r="W241" s="3">
        <f t="shared" si="95"/>
        <v>0</v>
      </c>
      <c r="X241" s="3">
        <f t="shared" si="96"/>
        <v>0</v>
      </c>
      <c r="Y241" s="3">
        <f t="shared" si="97"/>
        <v>0</v>
      </c>
      <c r="Z241" s="3">
        <f t="shared" si="108"/>
        <v>0</v>
      </c>
      <c r="AA241" s="3">
        <f t="shared" si="109"/>
        <v>0</v>
      </c>
      <c r="AB241" s="3" t="e">
        <f t="shared" si="110"/>
        <v>#DIV/0!</v>
      </c>
      <c r="AC241" s="3" t="str">
        <f t="shared" si="111"/>
        <v/>
      </c>
      <c r="AD241" s="3">
        <f t="shared" si="98"/>
        <v>0</v>
      </c>
      <c r="AE241" s="3">
        <f t="shared" si="93"/>
        <v>0</v>
      </c>
      <c r="AF241" s="3">
        <f t="shared" si="99"/>
        <v>0</v>
      </c>
      <c r="AG241" s="3" t="e">
        <f>AF241 / SUM(F$2:F241)</f>
        <v>#DIV/0!</v>
      </c>
      <c r="AH241" s="3" t="e">
        <f t="shared" si="100"/>
        <v>#DIV/0!</v>
      </c>
      <c r="AI241" s="3">
        <f t="shared" si="101"/>
        <v>0</v>
      </c>
      <c r="AJ241" s="3" t="e">
        <f t="shared" si="102"/>
        <v>#DIV/0!</v>
      </c>
      <c r="AK241" s="3" t="e">
        <f t="shared" si="117"/>
        <v>#DIV/0!</v>
      </c>
    </row>
    <row r="242" spans="1:37" x14ac:dyDescent="0.3">
      <c r="A242" s="24">
        <v>0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f t="shared" si="90"/>
        <v>0</v>
      </c>
      <c r="H242" s="3">
        <f t="shared" si="107"/>
        <v>0</v>
      </c>
      <c r="I242" s="3">
        <f t="shared" si="112"/>
        <v>0</v>
      </c>
      <c r="J242" s="3">
        <f t="shared" si="113"/>
        <v>0</v>
      </c>
      <c r="K242" s="3">
        <f t="shared" si="114"/>
        <v>0</v>
      </c>
      <c r="L242" s="3">
        <f t="shared" si="115"/>
        <v>0</v>
      </c>
      <c r="M242" s="3" t="e">
        <f t="shared" si="94"/>
        <v>#DIV/0!</v>
      </c>
      <c r="N242" s="3" t="e">
        <f t="shared" si="103"/>
        <v>#DIV/0!</v>
      </c>
      <c r="O242" s="3" t="e">
        <f t="shared" si="116"/>
        <v>#DIV/0!</v>
      </c>
      <c r="P242" s="3">
        <f t="shared" si="104"/>
        <v>0</v>
      </c>
      <c r="Q242" s="3">
        <f t="shared" si="118"/>
        <v>0</v>
      </c>
      <c r="R242" s="3">
        <f t="shared" si="106"/>
        <v>0</v>
      </c>
      <c r="S242" s="3">
        <f t="shared" si="119"/>
        <v>0</v>
      </c>
      <c r="T242" s="3">
        <f t="shared" si="91"/>
        <v>0</v>
      </c>
      <c r="U242" s="3">
        <f t="shared" si="105"/>
        <v>0</v>
      </c>
      <c r="V242" s="3">
        <f t="shared" si="92"/>
        <v>0</v>
      </c>
      <c r="W242" s="3">
        <f t="shared" si="95"/>
        <v>0</v>
      </c>
      <c r="X242" s="3">
        <f t="shared" si="96"/>
        <v>0</v>
      </c>
      <c r="Y242" s="3">
        <f t="shared" si="97"/>
        <v>0</v>
      </c>
      <c r="Z242" s="3">
        <f t="shared" si="108"/>
        <v>0</v>
      </c>
      <c r="AA242" s="3">
        <f t="shared" si="109"/>
        <v>0</v>
      </c>
      <c r="AB242" s="3" t="e">
        <f t="shared" si="110"/>
        <v>#DIV/0!</v>
      </c>
      <c r="AC242" s="3" t="str">
        <f t="shared" si="111"/>
        <v/>
      </c>
      <c r="AD242" s="3">
        <f t="shared" si="98"/>
        <v>0</v>
      </c>
      <c r="AE242" s="3">
        <f t="shared" si="93"/>
        <v>0</v>
      </c>
      <c r="AF242" s="3">
        <f t="shared" si="99"/>
        <v>0</v>
      </c>
      <c r="AG242" s="3" t="e">
        <f>AF242 / SUM(F$2:F242)</f>
        <v>#DIV/0!</v>
      </c>
      <c r="AH242" s="3" t="e">
        <f t="shared" si="100"/>
        <v>#DIV/0!</v>
      </c>
      <c r="AI242" s="3">
        <f t="shared" si="101"/>
        <v>0</v>
      </c>
      <c r="AJ242" s="3" t="e">
        <f t="shared" si="102"/>
        <v>#DIV/0!</v>
      </c>
      <c r="AK242" s="3" t="e">
        <f t="shared" si="117"/>
        <v>#DIV/0!</v>
      </c>
    </row>
    <row r="243" spans="1:37" x14ac:dyDescent="0.3">
      <c r="A243" s="24">
        <v>0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f t="shared" si="90"/>
        <v>0</v>
      </c>
      <c r="H243" s="3">
        <f t="shared" si="107"/>
        <v>0</v>
      </c>
      <c r="I243" s="3">
        <f t="shared" si="112"/>
        <v>0</v>
      </c>
      <c r="J243" s="3">
        <f t="shared" si="113"/>
        <v>0</v>
      </c>
      <c r="K243" s="3">
        <f t="shared" si="114"/>
        <v>0</v>
      </c>
      <c r="L243" s="3">
        <f t="shared" si="115"/>
        <v>0</v>
      </c>
      <c r="M243" s="3" t="e">
        <f t="shared" si="94"/>
        <v>#DIV/0!</v>
      </c>
      <c r="N243" s="3" t="e">
        <f t="shared" si="103"/>
        <v>#DIV/0!</v>
      </c>
      <c r="O243" s="3" t="e">
        <f t="shared" si="116"/>
        <v>#DIV/0!</v>
      </c>
      <c r="P243" s="3">
        <f t="shared" si="104"/>
        <v>0</v>
      </c>
      <c r="Q243" s="3">
        <f t="shared" si="118"/>
        <v>0</v>
      </c>
      <c r="R243" s="3">
        <f t="shared" si="106"/>
        <v>0</v>
      </c>
      <c r="S243" s="3">
        <f t="shared" si="119"/>
        <v>0</v>
      </c>
      <c r="T243" s="3">
        <f t="shared" si="91"/>
        <v>0</v>
      </c>
      <c r="U243" s="3">
        <f t="shared" si="105"/>
        <v>0</v>
      </c>
      <c r="V243" s="3">
        <f t="shared" si="92"/>
        <v>0</v>
      </c>
      <c r="W243" s="3">
        <f t="shared" si="95"/>
        <v>0</v>
      </c>
      <c r="X243" s="3">
        <f t="shared" si="96"/>
        <v>0</v>
      </c>
      <c r="Y243" s="3">
        <f t="shared" si="97"/>
        <v>0</v>
      </c>
      <c r="Z243" s="3">
        <f t="shared" si="108"/>
        <v>0</v>
      </c>
      <c r="AA243" s="3">
        <f t="shared" si="109"/>
        <v>0</v>
      </c>
      <c r="AB243" s="3" t="e">
        <f t="shared" si="110"/>
        <v>#DIV/0!</v>
      </c>
      <c r="AC243" s="3" t="str">
        <f t="shared" si="111"/>
        <v/>
      </c>
      <c r="AD243" s="3">
        <f t="shared" si="98"/>
        <v>0</v>
      </c>
      <c r="AE243" s="3">
        <f t="shared" si="93"/>
        <v>0</v>
      </c>
      <c r="AF243" s="3">
        <f t="shared" si="99"/>
        <v>0</v>
      </c>
      <c r="AG243" s="3" t="e">
        <f>AF243 / SUM(F$2:F243)</f>
        <v>#DIV/0!</v>
      </c>
      <c r="AH243" s="3" t="e">
        <f t="shared" si="100"/>
        <v>#DIV/0!</v>
      </c>
      <c r="AI243" s="3">
        <f t="shared" si="101"/>
        <v>0</v>
      </c>
      <c r="AJ243" s="3" t="e">
        <f t="shared" si="102"/>
        <v>#DIV/0!</v>
      </c>
      <c r="AK243" s="3" t="e">
        <f t="shared" si="117"/>
        <v>#DIV/0!</v>
      </c>
    </row>
    <row r="244" spans="1:37" x14ac:dyDescent="0.3">
      <c r="A244" s="24">
        <v>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f t="shared" si="90"/>
        <v>0</v>
      </c>
      <c r="H244" s="3">
        <f t="shared" si="107"/>
        <v>0</v>
      </c>
      <c r="I244" s="3">
        <f t="shared" si="112"/>
        <v>0</v>
      </c>
      <c r="J244" s="3">
        <f t="shared" si="113"/>
        <v>0</v>
      </c>
      <c r="K244" s="3">
        <f t="shared" si="114"/>
        <v>0</v>
      </c>
      <c r="L244" s="3">
        <f t="shared" si="115"/>
        <v>0</v>
      </c>
      <c r="M244" s="3" t="e">
        <f t="shared" si="94"/>
        <v>#DIV/0!</v>
      </c>
      <c r="N244" s="3" t="e">
        <f t="shared" si="103"/>
        <v>#DIV/0!</v>
      </c>
      <c r="O244" s="3" t="e">
        <f t="shared" si="116"/>
        <v>#DIV/0!</v>
      </c>
      <c r="P244" s="3">
        <f t="shared" si="104"/>
        <v>0</v>
      </c>
      <c r="Q244" s="3">
        <f t="shared" si="118"/>
        <v>0</v>
      </c>
      <c r="R244" s="3">
        <f t="shared" si="106"/>
        <v>0</v>
      </c>
      <c r="S244" s="3">
        <f t="shared" si="119"/>
        <v>0</v>
      </c>
      <c r="T244" s="3">
        <f t="shared" si="91"/>
        <v>0</v>
      </c>
      <c r="U244" s="3">
        <f t="shared" si="105"/>
        <v>0</v>
      </c>
      <c r="V244" s="3">
        <f t="shared" si="92"/>
        <v>0</v>
      </c>
      <c r="W244" s="3">
        <f t="shared" si="95"/>
        <v>0</v>
      </c>
      <c r="X244" s="3">
        <f t="shared" si="96"/>
        <v>0</v>
      </c>
      <c r="Y244" s="3">
        <f t="shared" si="97"/>
        <v>0</v>
      </c>
      <c r="Z244" s="3">
        <f t="shared" si="108"/>
        <v>0</v>
      </c>
      <c r="AA244" s="3">
        <f t="shared" si="109"/>
        <v>0</v>
      </c>
      <c r="AB244" s="3" t="e">
        <f t="shared" si="110"/>
        <v>#DIV/0!</v>
      </c>
      <c r="AC244" s="3" t="str">
        <f t="shared" si="111"/>
        <v/>
      </c>
      <c r="AD244" s="3">
        <f t="shared" si="98"/>
        <v>0</v>
      </c>
      <c r="AE244" s="3">
        <f t="shared" si="93"/>
        <v>0</v>
      </c>
      <c r="AF244" s="3">
        <f t="shared" si="99"/>
        <v>0</v>
      </c>
      <c r="AG244" s="3" t="e">
        <f>AF244 / SUM(F$2:F244)</f>
        <v>#DIV/0!</v>
      </c>
      <c r="AH244" s="3" t="e">
        <f t="shared" si="100"/>
        <v>#DIV/0!</v>
      </c>
      <c r="AI244" s="3">
        <f t="shared" si="101"/>
        <v>0</v>
      </c>
      <c r="AJ244" s="3" t="e">
        <f t="shared" si="102"/>
        <v>#DIV/0!</v>
      </c>
      <c r="AK244" s="3" t="e">
        <f t="shared" si="117"/>
        <v>#DIV/0!</v>
      </c>
    </row>
    <row r="245" spans="1:37" x14ac:dyDescent="0.3">
      <c r="A245" s="24">
        <v>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f t="shared" si="90"/>
        <v>0</v>
      </c>
      <c r="H245" s="3">
        <f t="shared" si="107"/>
        <v>0</v>
      </c>
      <c r="I245" s="3">
        <f t="shared" si="112"/>
        <v>0</v>
      </c>
      <c r="J245" s="3">
        <f t="shared" si="113"/>
        <v>0</v>
      </c>
      <c r="K245" s="3">
        <f t="shared" si="114"/>
        <v>0</v>
      </c>
      <c r="L245" s="3">
        <f t="shared" si="115"/>
        <v>0</v>
      </c>
      <c r="M245" s="3" t="e">
        <f t="shared" si="94"/>
        <v>#DIV/0!</v>
      </c>
      <c r="N245" s="3" t="e">
        <f t="shared" si="103"/>
        <v>#DIV/0!</v>
      </c>
      <c r="O245" s="3" t="e">
        <f t="shared" si="116"/>
        <v>#DIV/0!</v>
      </c>
      <c r="P245" s="3">
        <f t="shared" si="104"/>
        <v>0</v>
      </c>
      <c r="Q245" s="3">
        <f t="shared" si="118"/>
        <v>0</v>
      </c>
      <c r="R245" s="3">
        <f t="shared" si="106"/>
        <v>0</v>
      </c>
      <c r="S245" s="3">
        <f t="shared" si="119"/>
        <v>0</v>
      </c>
      <c r="T245" s="3">
        <f t="shared" si="91"/>
        <v>0</v>
      </c>
      <c r="U245" s="3">
        <f t="shared" si="105"/>
        <v>0</v>
      </c>
      <c r="V245" s="3">
        <f t="shared" si="92"/>
        <v>0</v>
      </c>
      <c r="W245" s="3">
        <f t="shared" si="95"/>
        <v>0</v>
      </c>
      <c r="X245" s="3">
        <f t="shared" si="96"/>
        <v>0</v>
      </c>
      <c r="Y245" s="3">
        <f t="shared" si="97"/>
        <v>0</v>
      </c>
      <c r="Z245" s="3">
        <f t="shared" si="108"/>
        <v>0</v>
      </c>
      <c r="AA245" s="3">
        <f t="shared" si="109"/>
        <v>0</v>
      </c>
      <c r="AB245" s="3" t="e">
        <f t="shared" si="110"/>
        <v>#DIV/0!</v>
      </c>
      <c r="AC245" s="3" t="str">
        <f t="shared" si="111"/>
        <v/>
      </c>
      <c r="AD245" s="3">
        <f t="shared" si="98"/>
        <v>0</v>
      </c>
      <c r="AE245" s="3">
        <f t="shared" si="93"/>
        <v>0</v>
      </c>
      <c r="AF245" s="3">
        <f t="shared" si="99"/>
        <v>0</v>
      </c>
      <c r="AG245" s="3" t="e">
        <f>AF245 / SUM(F$2:F245)</f>
        <v>#DIV/0!</v>
      </c>
      <c r="AH245" s="3" t="e">
        <f t="shared" si="100"/>
        <v>#DIV/0!</v>
      </c>
      <c r="AI245" s="3">
        <f t="shared" si="101"/>
        <v>0</v>
      </c>
      <c r="AJ245" s="3" t="e">
        <f t="shared" si="102"/>
        <v>#DIV/0!</v>
      </c>
      <c r="AK245" s="3" t="e">
        <f t="shared" si="117"/>
        <v>#DIV/0!</v>
      </c>
    </row>
    <row r="246" spans="1:37" x14ac:dyDescent="0.3">
      <c r="A246" s="24">
        <v>0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f t="shared" si="90"/>
        <v>0</v>
      </c>
      <c r="H246" s="3">
        <f t="shared" si="107"/>
        <v>0</v>
      </c>
      <c r="I246" s="3">
        <f t="shared" si="112"/>
        <v>0</v>
      </c>
      <c r="J246" s="3">
        <f t="shared" si="113"/>
        <v>0</v>
      </c>
      <c r="K246" s="3">
        <f t="shared" si="114"/>
        <v>0</v>
      </c>
      <c r="L246" s="3">
        <f t="shared" si="115"/>
        <v>0</v>
      </c>
      <c r="M246" s="3" t="e">
        <f t="shared" si="94"/>
        <v>#DIV/0!</v>
      </c>
      <c r="N246" s="3" t="e">
        <f t="shared" si="103"/>
        <v>#DIV/0!</v>
      </c>
      <c r="O246" s="3" t="e">
        <f t="shared" si="116"/>
        <v>#DIV/0!</v>
      </c>
      <c r="P246" s="3">
        <f t="shared" si="104"/>
        <v>0</v>
      </c>
      <c r="Q246" s="3">
        <f t="shared" si="118"/>
        <v>0</v>
      </c>
      <c r="R246" s="3">
        <f t="shared" si="106"/>
        <v>0</v>
      </c>
      <c r="S246" s="3">
        <f t="shared" si="119"/>
        <v>0</v>
      </c>
      <c r="T246" s="3">
        <f t="shared" si="91"/>
        <v>0</v>
      </c>
      <c r="U246" s="3">
        <f t="shared" si="105"/>
        <v>0</v>
      </c>
      <c r="V246" s="3">
        <f t="shared" si="92"/>
        <v>0</v>
      </c>
      <c r="W246" s="3">
        <f t="shared" si="95"/>
        <v>0</v>
      </c>
      <c r="X246" s="3">
        <f t="shared" si="96"/>
        <v>0</v>
      </c>
      <c r="Y246" s="3">
        <f t="shared" si="97"/>
        <v>0</v>
      </c>
      <c r="Z246" s="3">
        <f t="shared" si="108"/>
        <v>0</v>
      </c>
      <c r="AA246" s="3">
        <f t="shared" si="109"/>
        <v>0</v>
      </c>
      <c r="AB246" s="3" t="e">
        <f t="shared" si="110"/>
        <v>#DIV/0!</v>
      </c>
      <c r="AC246" s="3" t="str">
        <f t="shared" si="111"/>
        <v/>
      </c>
      <c r="AD246" s="3">
        <f t="shared" si="98"/>
        <v>0</v>
      </c>
      <c r="AE246" s="3">
        <f t="shared" si="93"/>
        <v>0</v>
      </c>
      <c r="AF246" s="3">
        <f t="shared" si="99"/>
        <v>0</v>
      </c>
      <c r="AG246" s="3" t="e">
        <f>AF246 / SUM(F$2:F246)</f>
        <v>#DIV/0!</v>
      </c>
      <c r="AH246" s="3" t="e">
        <f t="shared" si="100"/>
        <v>#DIV/0!</v>
      </c>
      <c r="AI246" s="3">
        <f t="shared" si="101"/>
        <v>0</v>
      </c>
      <c r="AJ246" s="3" t="e">
        <f t="shared" si="102"/>
        <v>#DIV/0!</v>
      </c>
      <c r="AK246" s="3" t="e">
        <f t="shared" si="117"/>
        <v>#DIV/0!</v>
      </c>
    </row>
    <row r="247" spans="1:37" x14ac:dyDescent="0.3">
      <c r="A247" s="24">
        <v>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f t="shared" si="90"/>
        <v>0</v>
      </c>
      <c r="H247" s="3">
        <f t="shared" si="107"/>
        <v>0</v>
      </c>
      <c r="I247" s="3">
        <f t="shared" si="112"/>
        <v>0</v>
      </c>
      <c r="J247" s="3">
        <f t="shared" si="113"/>
        <v>0</v>
      </c>
      <c r="K247" s="3">
        <f t="shared" si="114"/>
        <v>0</v>
      </c>
      <c r="L247" s="3">
        <f t="shared" si="115"/>
        <v>0</v>
      </c>
      <c r="M247" s="3" t="e">
        <f t="shared" si="94"/>
        <v>#DIV/0!</v>
      </c>
      <c r="N247" s="3" t="e">
        <f t="shared" si="103"/>
        <v>#DIV/0!</v>
      </c>
      <c r="O247" s="3" t="e">
        <f t="shared" si="116"/>
        <v>#DIV/0!</v>
      </c>
      <c r="P247" s="3">
        <f t="shared" si="104"/>
        <v>0</v>
      </c>
      <c r="Q247" s="3">
        <f t="shared" si="118"/>
        <v>0</v>
      </c>
      <c r="R247" s="3">
        <f t="shared" si="106"/>
        <v>0</v>
      </c>
      <c r="S247" s="3">
        <f t="shared" si="119"/>
        <v>0</v>
      </c>
      <c r="T247" s="3">
        <f t="shared" si="91"/>
        <v>0</v>
      </c>
      <c r="U247" s="3">
        <f t="shared" si="105"/>
        <v>0</v>
      </c>
      <c r="V247" s="3">
        <f t="shared" si="92"/>
        <v>0</v>
      </c>
      <c r="W247" s="3">
        <f t="shared" si="95"/>
        <v>0</v>
      </c>
      <c r="X247" s="3">
        <f t="shared" si="96"/>
        <v>0</v>
      </c>
      <c r="Y247" s="3">
        <f t="shared" si="97"/>
        <v>0</v>
      </c>
      <c r="Z247" s="3">
        <f t="shared" si="108"/>
        <v>0</v>
      </c>
      <c r="AA247" s="3">
        <f t="shared" si="109"/>
        <v>0</v>
      </c>
      <c r="AB247" s="3" t="e">
        <f t="shared" si="110"/>
        <v>#DIV/0!</v>
      </c>
      <c r="AC247" s="3" t="str">
        <f t="shared" si="111"/>
        <v/>
      </c>
      <c r="AD247" s="3">
        <f t="shared" si="98"/>
        <v>0</v>
      </c>
      <c r="AE247" s="3">
        <f t="shared" si="93"/>
        <v>0</v>
      </c>
      <c r="AF247" s="3">
        <f t="shared" si="99"/>
        <v>0</v>
      </c>
      <c r="AG247" s="3" t="e">
        <f>AF247 / SUM(F$2:F247)</f>
        <v>#DIV/0!</v>
      </c>
      <c r="AH247" s="3" t="e">
        <f t="shared" si="100"/>
        <v>#DIV/0!</v>
      </c>
      <c r="AI247" s="3">
        <f t="shared" si="101"/>
        <v>0</v>
      </c>
      <c r="AJ247" s="3" t="e">
        <f t="shared" si="102"/>
        <v>#DIV/0!</v>
      </c>
      <c r="AK247" s="3" t="e">
        <f t="shared" si="117"/>
        <v>#DIV/0!</v>
      </c>
    </row>
    <row r="248" spans="1:37" x14ac:dyDescent="0.3">
      <c r="A248" s="24">
        <v>0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f t="shared" si="90"/>
        <v>0</v>
      </c>
      <c r="H248" s="3">
        <f t="shared" si="107"/>
        <v>0</v>
      </c>
      <c r="I248" s="3">
        <f t="shared" si="112"/>
        <v>0</v>
      </c>
      <c r="J248" s="3">
        <f t="shared" si="113"/>
        <v>0</v>
      </c>
      <c r="K248" s="3">
        <f t="shared" si="114"/>
        <v>0</v>
      </c>
      <c r="L248" s="3">
        <f t="shared" si="115"/>
        <v>0</v>
      </c>
      <c r="M248" s="3" t="e">
        <f t="shared" si="94"/>
        <v>#DIV/0!</v>
      </c>
      <c r="N248" s="3" t="e">
        <f t="shared" si="103"/>
        <v>#DIV/0!</v>
      </c>
      <c r="O248" s="3" t="e">
        <f t="shared" si="116"/>
        <v>#DIV/0!</v>
      </c>
      <c r="P248" s="3">
        <f t="shared" si="104"/>
        <v>0</v>
      </c>
      <c r="Q248" s="3">
        <f t="shared" si="118"/>
        <v>0</v>
      </c>
      <c r="R248" s="3">
        <f t="shared" si="106"/>
        <v>0</v>
      </c>
      <c r="S248" s="3">
        <f t="shared" si="119"/>
        <v>0</v>
      </c>
      <c r="T248" s="3">
        <f t="shared" si="91"/>
        <v>0</v>
      </c>
      <c r="U248" s="3">
        <f t="shared" si="105"/>
        <v>0</v>
      </c>
      <c r="V248" s="3">
        <f t="shared" si="92"/>
        <v>0</v>
      </c>
      <c r="W248" s="3">
        <f t="shared" si="95"/>
        <v>0</v>
      </c>
      <c r="X248" s="3">
        <f t="shared" si="96"/>
        <v>0</v>
      </c>
      <c r="Y248" s="3">
        <f t="shared" si="97"/>
        <v>0</v>
      </c>
      <c r="Z248" s="3">
        <f t="shared" si="108"/>
        <v>0</v>
      </c>
      <c r="AA248" s="3">
        <f t="shared" si="109"/>
        <v>0</v>
      </c>
      <c r="AB248" s="3" t="e">
        <f t="shared" si="110"/>
        <v>#DIV/0!</v>
      </c>
      <c r="AC248" s="3" t="str">
        <f t="shared" si="111"/>
        <v/>
      </c>
      <c r="AD248" s="3">
        <f t="shared" si="98"/>
        <v>0</v>
      </c>
      <c r="AE248" s="3">
        <f t="shared" si="93"/>
        <v>0</v>
      </c>
      <c r="AF248" s="3">
        <f t="shared" si="99"/>
        <v>0</v>
      </c>
      <c r="AG248" s="3" t="e">
        <f>AF248 / SUM(F$2:F248)</f>
        <v>#DIV/0!</v>
      </c>
      <c r="AH248" s="3" t="e">
        <f t="shared" si="100"/>
        <v>#DIV/0!</v>
      </c>
      <c r="AI248" s="3">
        <f t="shared" si="101"/>
        <v>0</v>
      </c>
      <c r="AJ248" s="3" t="e">
        <f t="shared" si="102"/>
        <v>#DIV/0!</v>
      </c>
      <c r="AK248" s="3" t="e">
        <f t="shared" si="117"/>
        <v>#DIV/0!</v>
      </c>
    </row>
    <row r="249" spans="1:37" x14ac:dyDescent="0.3">
      <c r="A249" s="24">
        <v>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f t="shared" si="90"/>
        <v>0</v>
      </c>
      <c r="H249" s="3">
        <f t="shared" si="107"/>
        <v>0</v>
      </c>
      <c r="I249" s="3">
        <f t="shared" si="112"/>
        <v>0</v>
      </c>
      <c r="J249" s="3">
        <f t="shared" si="113"/>
        <v>0</v>
      </c>
      <c r="K249" s="3">
        <f t="shared" si="114"/>
        <v>0</v>
      </c>
      <c r="L249" s="3">
        <f t="shared" si="115"/>
        <v>0</v>
      </c>
      <c r="M249" s="3" t="e">
        <f t="shared" si="94"/>
        <v>#DIV/0!</v>
      </c>
      <c r="N249" s="3" t="e">
        <f t="shared" si="103"/>
        <v>#DIV/0!</v>
      </c>
      <c r="O249" s="3" t="e">
        <f t="shared" si="116"/>
        <v>#DIV/0!</v>
      </c>
      <c r="P249" s="3">
        <f t="shared" si="104"/>
        <v>0</v>
      </c>
      <c r="Q249" s="3">
        <f t="shared" si="118"/>
        <v>0</v>
      </c>
      <c r="R249" s="3">
        <f t="shared" si="106"/>
        <v>0</v>
      </c>
      <c r="S249" s="3">
        <f t="shared" si="119"/>
        <v>0</v>
      </c>
      <c r="T249" s="3">
        <f t="shared" si="91"/>
        <v>0</v>
      </c>
      <c r="U249" s="3">
        <f t="shared" si="105"/>
        <v>0</v>
      </c>
      <c r="V249" s="3">
        <f t="shared" si="92"/>
        <v>0</v>
      </c>
      <c r="W249" s="3">
        <f t="shared" si="95"/>
        <v>0</v>
      </c>
      <c r="X249" s="3">
        <f t="shared" si="96"/>
        <v>0</v>
      </c>
      <c r="Y249" s="3">
        <f t="shared" si="97"/>
        <v>0</v>
      </c>
      <c r="Z249" s="3">
        <f t="shared" si="108"/>
        <v>0</v>
      </c>
      <c r="AA249" s="3">
        <f t="shared" si="109"/>
        <v>0</v>
      </c>
      <c r="AB249" s="3" t="e">
        <f t="shared" si="110"/>
        <v>#DIV/0!</v>
      </c>
      <c r="AC249" s="3" t="str">
        <f t="shared" si="111"/>
        <v/>
      </c>
      <c r="AD249" s="3">
        <f t="shared" si="98"/>
        <v>0</v>
      </c>
      <c r="AE249" s="3">
        <f t="shared" si="93"/>
        <v>0</v>
      </c>
      <c r="AF249" s="3">
        <f t="shared" si="99"/>
        <v>0</v>
      </c>
      <c r="AG249" s="3" t="e">
        <f>AF249 / SUM(F$2:F249)</f>
        <v>#DIV/0!</v>
      </c>
      <c r="AH249" s="3" t="e">
        <f t="shared" si="100"/>
        <v>#DIV/0!</v>
      </c>
      <c r="AI249" s="3">
        <f t="shared" si="101"/>
        <v>0</v>
      </c>
      <c r="AJ249" s="3" t="e">
        <f t="shared" si="102"/>
        <v>#DIV/0!</v>
      </c>
      <c r="AK249" s="3" t="e">
        <f t="shared" si="117"/>
        <v>#DIV/0!</v>
      </c>
    </row>
    <row r="250" spans="1:37" x14ac:dyDescent="0.3">
      <c r="A250" s="24">
        <v>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f t="shared" si="90"/>
        <v>0</v>
      </c>
      <c r="H250" s="3">
        <f t="shared" si="107"/>
        <v>0</v>
      </c>
      <c r="I250" s="3">
        <f t="shared" si="112"/>
        <v>0</v>
      </c>
      <c r="J250" s="3">
        <f t="shared" si="113"/>
        <v>0</v>
      </c>
      <c r="K250" s="3">
        <f t="shared" si="114"/>
        <v>0</v>
      </c>
      <c r="L250" s="3">
        <f t="shared" si="115"/>
        <v>0</v>
      </c>
      <c r="M250" s="3" t="e">
        <f t="shared" si="94"/>
        <v>#DIV/0!</v>
      </c>
      <c r="N250" s="3" t="e">
        <f t="shared" si="103"/>
        <v>#DIV/0!</v>
      </c>
      <c r="O250" s="3" t="e">
        <f t="shared" si="116"/>
        <v>#DIV/0!</v>
      </c>
      <c r="P250" s="3">
        <f t="shared" si="104"/>
        <v>0</v>
      </c>
      <c r="Q250" s="3">
        <f t="shared" si="118"/>
        <v>0</v>
      </c>
      <c r="R250" s="3">
        <f t="shared" si="106"/>
        <v>0</v>
      </c>
      <c r="S250" s="3">
        <f t="shared" si="119"/>
        <v>0</v>
      </c>
      <c r="T250" s="3">
        <f t="shared" si="91"/>
        <v>0</v>
      </c>
      <c r="U250" s="3">
        <f t="shared" si="105"/>
        <v>0</v>
      </c>
      <c r="V250" s="3">
        <f t="shared" si="92"/>
        <v>0</v>
      </c>
      <c r="W250" s="3">
        <f t="shared" si="95"/>
        <v>0</v>
      </c>
      <c r="X250" s="3">
        <f t="shared" si="96"/>
        <v>0</v>
      </c>
      <c r="Y250" s="3">
        <f t="shared" si="97"/>
        <v>0</v>
      </c>
      <c r="Z250" s="3">
        <f t="shared" si="108"/>
        <v>0</v>
      </c>
      <c r="AA250" s="3">
        <f t="shared" si="109"/>
        <v>0</v>
      </c>
      <c r="AB250" s="3" t="e">
        <f t="shared" si="110"/>
        <v>#DIV/0!</v>
      </c>
      <c r="AC250" s="3" t="str">
        <f t="shared" si="111"/>
        <v/>
      </c>
      <c r="AD250" s="3">
        <f t="shared" si="98"/>
        <v>0</v>
      </c>
      <c r="AE250" s="3">
        <f t="shared" si="93"/>
        <v>0</v>
      </c>
      <c r="AF250" s="3">
        <f t="shared" si="99"/>
        <v>0</v>
      </c>
      <c r="AG250" s="3" t="e">
        <f>AF250 / SUM(F$2:F250)</f>
        <v>#DIV/0!</v>
      </c>
      <c r="AH250" s="3" t="e">
        <f t="shared" si="100"/>
        <v>#DIV/0!</v>
      </c>
      <c r="AI250" s="3">
        <f t="shared" si="101"/>
        <v>0</v>
      </c>
      <c r="AJ250" s="3" t="e">
        <f t="shared" si="102"/>
        <v>#DIV/0!</v>
      </c>
      <c r="AK250" s="3" t="e">
        <f t="shared" si="117"/>
        <v>#DIV/0!</v>
      </c>
    </row>
    <row r="251" spans="1:37" x14ac:dyDescent="0.3">
      <c r="A251" s="24">
        <v>0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f t="shared" si="90"/>
        <v>0</v>
      </c>
      <c r="H251" s="3">
        <f t="shared" si="107"/>
        <v>0</v>
      </c>
      <c r="I251" s="3">
        <f t="shared" si="112"/>
        <v>0</v>
      </c>
      <c r="J251" s="3">
        <f t="shared" si="113"/>
        <v>0</v>
      </c>
      <c r="K251" s="3">
        <f t="shared" si="114"/>
        <v>0</v>
      </c>
      <c r="L251" s="3">
        <f t="shared" si="115"/>
        <v>0</v>
      </c>
      <c r="M251" s="3" t="e">
        <f t="shared" si="94"/>
        <v>#DIV/0!</v>
      </c>
      <c r="N251" s="3" t="e">
        <f t="shared" si="103"/>
        <v>#DIV/0!</v>
      </c>
      <c r="O251" s="3" t="e">
        <f t="shared" si="116"/>
        <v>#DIV/0!</v>
      </c>
      <c r="P251" s="3">
        <f t="shared" si="104"/>
        <v>0</v>
      </c>
      <c r="Q251" s="3">
        <f t="shared" si="118"/>
        <v>0</v>
      </c>
      <c r="R251" s="3">
        <f t="shared" si="106"/>
        <v>0</v>
      </c>
      <c r="S251" s="3">
        <f t="shared" si="119"/>
        <v>0</v>
      </c>
      <c r="T251" s="3">
        <f t="shared" si="91"/>
        <v>0</v>
      </c>
      <c r="U251" s="3">
        <f t="shared" si="105"/>
        <v>0</v>
      </c>
      <c r="V251" s="3">
        <f t="shared" si="92"/>
        <v>0</v>
      </c>
      <c r="W251" s="3">
        <f t="shared" si="95"/>
        <v>0</v>
      </c>
      <c r="X251" s="3">
        <f t="shared" si="96"/>
        <v>0</v>
      </c>
      <c r="Y251" s="3">
        <f t="shared" si="97"/>
        <v>0</v>
      </c>
      <c r="Z251" s="3">
        <f t="shared" si="108"/>
        <v>0</v>
      </c>
      <c r="AA251" s="3">
        <f t="shared" si="109"/>
        <v>0</v>
      </c>
      <c r="AB251" s="3" t="e">
        <f t="shared" si="110"/>
        <v>#DIV/0!</v>
      </c>
      <c r="AC251" s="3" t="str">
        <f t="shared" si="111"/>
        <v/>
      </c>
      <c r="AD251" s="3">
        <f t="shared" si="98"/>
        <v>0</v>
      </c>
      <c r="AE251" s="3">
        <f t="shared" si="93"/>
        <v>0</v>
      </c>
      <c r="AF251" s="3">
        <f t="shared" si="99"/>
        <v>0</v>
      </c>
      <c r="AG251" s="3" t="e">
        <f>AF251 / SUM(F$2:F251)</f>
        <v>#DIV/0!</v>
      </c>
      <c r="AH251" s="3" t="e">
        <f t="shared" si="100"/>
        <v>#DIV/0!</v>
      </c>
      <c r="AI251" s="3">
        <f t="shared" si="101"/>
        <v>0</v>
      </c>
      <c r="AJ251" s="3" t="e">
        <f t="shared" si="102"/>
        <v>#DIV/0!</v>
      </c>
      <c r="AK251" s="3" t="e">
        <f t="shared" si="117"/>
        <v>#DIV/0!</v>
      </c>
    </row>
    <row r="252" spans="1:37" x14ac:dyDescent="0.3">
      <c r="A252" s="24">
        <v>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f t="shared" si="90"/>
        <v>0</v>
      </c>
      <c r="H252" s="3">
        <f t="shared" si="107"/>
        <v>0</v>
      </c>
      <c r="I252" s="3">
        <f t="shared" si="112"/>
        <v>0</v>
      </c>
      <c r="J252" s="3">
        <f t="shared" si="113"/>
        <v>0</v>
      </c>
      <c r="K252" s="3">
        <f t="shared" si="114"/>
        <v>0</v>
      </c>
      <c r="L252" s="3">
        <f t="shared" si="115"/>
        <v>0</v>
      </c>
      <c r="M252" s="3" t="e">
        <f t="shared" si="94"/>
        <v>#DIV/0!</v>
      </c>
      <c r="N252" s="3" t="e">
        <f t="shared" si="103"/>
        <v>#DIV/0!</v>
      </c>
      <c r="O252" s="3" t="e">
        <f t="shared" si="116"/>
        <v>#DIV/0!</v>
      </c>
      <c r="P252" s="3">
        <f t="shared" si="104"/>
        <v>0</v>
      </c>
      <c r="Q252" s="3">
        <f t="shared" si="118"/>
        <v>0</v>
      </c>
      <c r="R252" s="3">
        <f t="shared" si="106"/>
        <v>0</v>
      </c>
      <c r="S252" s="3">
        <f t="shared" si="119"/>
        <v>0</v>
      </c>
      <c r="T252" s="3">
        <f t="shared" si="91"/>
        <v>0</v>
      </c>
      <c r="U252" s="3">
        <f t="shared" si="105"/>
        <v>0</v>
      </c>
      <c r="V252" s="3">
        <f t="shared" si="92"/>
        <v>0</v>
      </c>
      <c r="W252" s="3">
        <f t="shared" si="95"/>
        <v>0</v>
      </c>
      <c r="X252" s="3">
        <f t="shared" si="96"/>
        <v>0</v>
      </c>
      <c r="Y252" s="3">
        <f t="shared" si="97"/>
        <v>0</v>
      </c>
      <c r="Z252" s="3">
        <f t="shared" si="108"/>
        <v>0</v>
      </c>
      <c r="AA252" s="3">
        <f t="shared" si="109"/>
        <v>0</v>
      </c>
      <c r="AB252" s="3" t="e">
        <f t="shared" si="110"/>
        <v>#DIV/0!</v>
      </c>
      <c r="AC252" s="3" t="str">
        <f t="shared" si="111"/>
        <v/>
      </c>
      <c r="AD252" s="3">
        <f t="shared" si="98"/>
        <v>0</v>
      </c>
      <c r="AE252" s="3">
        <f t="shared" si="93"/>
        <v>0</v>
      </c>
      <c r="AF252" s="3">
        <f t="shared" si="99"/>
        <v>0</v>
      </c>
      <c r="AG252" s="3" t="e">
        <f>AF252 / SUM(F$2:F252)</f>
        <v>#DIV/0!</v>
      </c>
      <c r="AH252" s="3" t="e">
        <f t="shared" si="100"/>
        <v>#DIV/0!</v>
      </c>
      <c r="AI252" s="3">
        <f t="shared" si="101"/>
        <v>0</v>
      </c>
      <c r="AJ252" s="3" t="e">
        <f t="shared" si="102"/>
        <v>#DIV/0!</v>
      </c>
      <c r="AK252" s="3" t="e">
        <f t="shared" si="117"/>
        <v>#DIV/0!</v>
      </c>
    </row>
    <row r="253" spans="1:37" x14ac:dyDescent="0.3">
      <c r="A253" s="24">
        <v>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f t="shared" si="90"/>
        <v>0</v>
      </c>
      <c r="H253" s="3">
        <f t="shared" si="107"/>
        <v>0</v>
      </c>
      <c r="I253" s="3">
        <f t="shared" si="112"/>
        <v>0</v>
      </c>
      <c r="J253" s="3">
        <f t="shared" si="113"/>
        <v>0</v>
      </c>
      <c r="K253" s="3">
        <f t="shared" si="114"/>
        <v>0</v>
      </c>
      <c r="L253" s="3">
        <f t="shared" si="115"/>
        <v>0</v>
      </c>
      <c r="M253" s="3" t="e">
        <f t="shared" si="94"/>
        <v>#DIV/0!</v>
      </c>
      <c r="N253" s="3" t="e">
        <f t="shared" si="103"/>
        <v>#DIV/0!</v>
      </c>
      <c r="O253" s="3" t="e">
        <f t="shared" si="116"/>
        <v>#DIV/0!</v>
      </c>
      <c r="P253" s="3">
        <f t="shared" si="104"/>
        <v>0</v>
      </c>
      <c r="Q253" s="3">
        <f t="shared" si="118"/>
        <v>0</v>
      </c>
      <c r="R253" s="3">
        <f t="shared" si="106"/>
        <v>0</v>
      </c>
      <c r="S253" s="3">
        <f t="shared" si="119"/>
        <v>0</v>
      </c>
      <c r="T253" s="3">
        <f t="shared" si="91"/>
        <v>0</v>
      </c>
      <c r="U253" s="3">
        <f t="shared" si="105"/>
        <v>0</v>
      </c>
      <c r="V253" s="3">
        <f t="shared" si="92"/>
        <v>0</v>
      </c>
      <c r="W253" s="3">
        <f t="shared" si="95"/>
        <v>0</v>
      </c>
      <c r="X253" s="3">
        <f t="shared" si="96"/>
        <v>0</v>
      </c>
      <c r="Y253" s="3">
        <f t="shared" si="97"/>
        <v>0</v>
      </c>
      <c r="Z253" s="3">
        <f t="shared" si="108"/>
        <v>0</v>
      </c>
      <c r="AA253" s="3">
        <f t="shared" si="109"/>
        <v>0</v>
      </c>
      <c r="AB253" s="3" t="e">
        <f t="shared" si="110"/>
        <v>#DIV/0!</v>
      </c>
      <c r="AC253" s="3" t="str">
        <f t="shared" si="111"/>
        <v/>
      </c>
      <c r="AD253" s="3">
        <f t="shared" si="98"/>
        <v>0</v>
      </c>
      <c r="AE253" s="3">
        <f t="shared" si="93"/>
        <v>0</v>
      </c>
      <c r="AF253" s="3">
        <f t="shared" si="99"/>
        <v>0</v>
      </c>
      <c r="AG253" s="3" t="e">
        <f>AF253 / SUM(F$2:F253)</f>
        <v>#DIV/0!</v>
      </c>
      <c r="AH253" s="3" t="e">
        <f t="shared" si="100"/>
        <v>#DIV/0!</v>
      </c>
      <c r="AI253" s="3">
        <f t="shared" si="101"/>
        <v>0</v>
      </c>
      <c r="AJ253" s="3" t="e">
        <f t="shared" si="102"/>
        <v>#DIV/0!</v>
      </c>
      <c r="AK253" s="3" t="e">
        <f t="shared" si="117"/>
        <v>#DIV/0!</v>
      </c>
    </row>
    <row r="254" spans="1:37" x14ac:dyDescent="0.3">
      <c r="A254" s="24">
        <v>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f t="shared" si="90"/>
        <v>0</v>
      </c>
      <c r="H254" s="3">
        <f t="shared" si="107"/>
        <v>0</v>
      </c>
      <c r="I254" s="3">
        <f t="shared" si="112"/>
        <v>0</v>
      </c>
      <c r="J254" s="3">
        <f t="shared" si="113"/>
        <v>0</v>
      </c>
      <c r="K254" s="3">
        <f t="shared" si="114"/>
        <v>0</v>
      </c>
      <c r="L254" s="3">
        <f t="shared" si="115"/>
        <v>0</v>
      </c>
      <c r="M254" s="3" t="e">
        <f t="shared" si="94"/>
        <v>#DIV/0!</v>
      </c>
      <c r="N254" s="3" t="e">
        <f t="shared" si="103"/>
        <v>#DIV/0!</v>
      </c>
      <c r="O254" s="3" t="e">
        <f t="shared" si="116"/>
        <v>#DIV/0!</v>
      </c>
      <c r="P254" s="3">
        <f t="shared" si="104"/>
        <v>0</v>
      </c>
      <c r="Q254" s="3">
        <f t="shared" si="118"/>
        <v>0</v>
      </c>
      <c r="R254" s="3">
        <f t="shared" si="106"/>
        <v>0</v>
      </c>
      <c r="S254" s="3">
        <f t="shared" si="119"/>
        <v>0</v>
      </c>
      <c r="T254" s="3">
        <f t="shared" si="91"/>
        <v>0</v>
      </c>
      <c r="U254" s="3">
        <f t="shared" si="105"/>
        <v>0</v>
      </c>
      <c r="V254" s="3">
        <f t="shared" si="92"/>
        <v>0</v>
      </c>
      <c r="W254" s="3">
        <f t="shared" si="95"/>
        <v>0</v>
      </c>
      <c r="X254" s="3">
        <f t="shared" si="96"/>
        <v>0</v>
      </c>
      <c r="Y254" s="3">
        <f t="shared" si="97"/>
        <v>0</v>
      </c>
      <c r="Z254" s="3">
        <f t="shared" si="108"/>
        <v>0</v>
      </c>
      <c r="AA254" s="3">
        <f t="shared" si="109"/>
        <v>0</v>
      </c>
      <c r="AB254" s="3" t="e">
        <f t="shared" si="110"/>
        <v>#DIV/0!</v>
      </c>
      <c r="AC254" s="3" t="str">
        <f t="shared" si="111"/>
        <v/>
      </c>
      <c r="AD254" s="3">
        <f t="shared" si="98"/>
        <v>0</v>
      </c>
      <c r="AE254" s="3">
        <f t="shared" si="93"/>
        <v>0</v>
      </c>
      <c r="AF254" s="3">
        <f t="shared" si="99"/>
        <v>0</v>
      </c>
      <c r="AG254" s="3" t="e">
        <f>AF254 / SUM(F$2:F254)</f>
        <v>#DIV/0!</v>
      </c>
      <c r="AH254" s="3" t="e">
        <f t="shared" si="100"/>
        <v>#DIV/0!</v>
      </c>
      <c r="AI254" s="3">
        <f t="shared" si="101"/>
        <v>0</v>
      </c>
      <c r="AJ254" s="3" t="e">
        <f t="shared" si="102"/>
        <v>#DIV/0!</v>
      </c>
      <c r="AK254" s="3" t="e">
        <f t="shared" si="117"/>
        <v>#DIV/0!</v>
      </c>
    </row>
    <row r="255" spans="1:37" x14ac:dyDescent="0.3">
      <c r="A255" s="24">
        <v>0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f t="shared" si="90"/>
        <v>0</v>
      </c>
      <c r="H255" s="3">
        <f t="shared" si="107"/>
        <v>0</v>
      </c>
      <c r="I255" s="3">
        <f t="shared" si="112"/>
        <v>0</v>
      </c>
      <c r="J255" s="3">
        <f t="shared" si="113"/>
        <v>0</v>
      </c>
      <c r="K255" s="3">
        <f t="shared" si="114"/>
        <v>0</v>
      </c>
      <c r="L255" s="3">
        <f t="shared" si="115"/>
        <v>0</v>
      </c>
      <c r="M255" s="3" t="e">
        <f t="shared" si="94"/>
        <v>#DIV/0!</v>
      </c>
      <c r="N255" s="3" t="e">
        <f t="shared" si="103"/>
        <v>#DIV/0!</v>
      </c>
      <c r="O255" s="3" t="e">
        <f t="shared" si="116"/>
        <v>#DIV/0!</v>
      </c>
      <c r="P255" s="3">
        <f t="shared" si="104"/>
        <v>0</v>
      </c>
      <c r="Q255" s="3">
        <f t="shared" si="118"/>
        <v>0</v>
      </c>
      <c r="R255" s="3">
        <f t="shared" si="106"/>
        <v>0</v>
      </c>
      <c r="S255" s="3">
        <f t="shared" si="119"/>
        <v>0</v>
      </c>
      <c r="T255" s="3">
        <f t="shared" si="91"/>
        <v>0</v>
      </c>
      <c r="U255" s="3">
        <f t="shared" si="105"/>
        <v>0</v>
      </c>
      <c r="V255" s="3">
        <f t="shared" si="92"/>
        <v>0</v>
      </c>
      <c r="W255" s="3">
        <f t="shared" si="95"/>
        <v>0</v>
      </c>
      <c r="X255" s="3">
        <f t="shared" si="96"/>
        <v>0</v>
      </c>
      <c r="Y255" s="3">
        <f t="shared" si="97"/>
        <v>0</v>
      </c>
      <c r="Z255" s="3">
        <f t="shared" si="108"/>
        <v>0</v>
      </c>
      <c r="AA255" s="3">
        <f t="shared" si="109"/>
        <v>0</v>
      </c>
      <c r="AB255" s="3" t="e">
        <f t="shared" si="110"/>
        <v>#DIV/0!</v>
      </c>
      <c r="AC255" s="3" t="str">
        <f t="shared" si="111"/>
        <v/>
      </c>
      <c r="AD255" s="3">
        <f t="shared" si="98"/>
        <v>0</v>
      </c>
      <c r="AE255" s="3">
        <f t="shared" si="93"/>
        <v>0</v>
      </c>
      <c r="AF255" s="3">
        <f t="shared" si="99"/>
        <v>0</v>
      </c>
      <c r="AG255" s="3" t="e">
        <f>AF255 / SUM(F$2:F255)</f>
        <v>#DIV/0!</v>
      </c>
      <c r="AH255" s="3" t="e">
        <f t="shared" si="100"/>
        <v>#DIV/0!</v>
      </c>
      <c r="AI255" s="3">
        <f t="shared" si="101"/>
        <v>0</v>
      </c>
      <c r="AJ255" s="3" t="e">
        <f t="shared" si="102"/>
        <v>#DIV/0!</v>
      </c>
      <c r="AK255" s="3" t="e">
        <f t="shared" si="117"/>
        <v>#DIV/0!</v>
      </c>
    </row>
    <row r="256" spans="1:37" x14ac:dyDescent="0.3">
      <c r="A256" s="24">
        <v>0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f t="shared" si="90"/>
        <v>0</v>
      </c>
      <c r="H256" s="3">
        <f t="shared" si="107"/>
        <v>0</v>
      </c>
      <c r="I256" s="3">
        <f t="shared" si="112"/>
        <v>0</v>
      </c>
      <c r="J256" s="3">
        <f t="shared" si="113"/>
        <v>0</v>
      </c>
      <c r="K256" s="3">
        <f t="shared" si="114"/>
        <v>0</v>
      </c>
      <c r="L256" s="3">
        <f t="shared" si="115"/>
        <v>0</v>
      </c>
      <c r="M256" s="3" t="e">
        <f t="shared" si="94"/>
        <v>#DIV/0!</v>
      </c>
      <c r="N256" s="3" t="e">
        <f t="shared" si="103"/>
        <v>#DIV/0!</v>
      </c>
      <c r="O256" s="3" t="e">
        <f t="shared" si="116"/>
        <v>#DIV/0!</v>
      </c>
      <c r="P256" s="3">
        <f t="shared" si="104"/>
        <v>0</v>
      </c>
      <c r="Q256" s="3">
        <f t="shared" si="118"/>
        <v>0</v>
      </c>
      <c r="R256" s="3">
        <f t="shared" si="106"/>
        <v>0</v>
      </c>
      <c r="S256" s="3">
        <f t="shared" si="119"/>
        <v>0</v>
      </c>
      <c r="T256" s="3">
        <f t="shared" si="91"/>
        <v>0</v>
      </c>
      <c r="U256" s="3">
        <f t="shared" si="105"/>
        <v>0</v>
      </c>
      <c r="V256" s="3">
        <f t="shared" si="92"/>
        <v>0</v>
      </c>
      <c r="W256" s="3">
        <f t="shared" si="95"/>
        <v>0</v>
      </c>
      <c r="X256" s="3">
        <f t="shared" si="96"/>
        <v>0</v>
      </c>
      <c r="Y256" s="3">
        <f t="shared" si="97"/>
        <v>0</v>
      </c>
      <c r="Z256" s="3">
        <f t="shared" si="108"/>
        <v>0</v>
      </c>
      <c r="AA256" s="3">
        <f t="shared" si="109"/>
        <v>0</v>
      </c>
      <c r="AB256" s="3" t="e">
        <f t="shared" si="110"/>
        <v>#DIV/0!</v>
      </c>
      <c r="AC256" s="3" t="str">
        <f t="shared" si="111"/>
        <v/>
      </c>
      <c r="AD256" s="3">
        <f t="shared" si="98"/>
        <v>0</v>
      </c>
      <c r="AE256" s="3">
        <f t="shared" si="93"/>
        <v>0</v>
      </c>
      <c r="AF256" s="3">
        <f t="shared" si="99"/>
        <v>0</v>
      </c>
      <c r="AG256" s="3" t="e">
        <f>AF256 / SUM(F$2:F256)</f>
        <v>#DIV/0!</v>
      </c>
      <c r="AH256" s="3" t="e">
        <f t="shared" si="100"/>
        <v>#DIV/0!</v>
      </c>
      <c r="AI256" s="3">
        <f t="shared" si="101"/>
        <v>0</v>
      </c>
      <c r="AJ256" s="3" t="e">
        <f t="shared" si="102"/>
        <v>#DIV/0!</v>
      </c>
      <c r="AK256" s="3" t="e">
        <f t="shared" si="117"/>
        <v>#DIV/0!</v>
      </c>
    </row>
    <row r="257" spans="1:37" x14ac:dyDescent="0.3">
      <c r="A257" s="24">
        <v>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f t="shared" si="90"/>
        <v>0</v>
      </c>
      <c r="H257" s="3">
        <f t="shared" si="107"/>
        <v>0</v>
      </c>
      <c r="I257" s="3">
        <f t="shared" si="112"/>
        <v>0</v>
      </c>
      <c r="J257" s="3">
        <f t="shared" si="113"/>
        <v>0</v>
      </c>
      <c r="K257" s="3">
        <f t="shared" si="114"/>
        <v>0</v>
      </c>
      <c r="L257" s="3">
        <f t="shared" si="115"/>
        <v>0</v>
      </c>
      <c r="M257" s="3" t="e">
        <f t="shared" si="94"/>
        <v>#DIV/0!</v>
      </c>
      <c r="N257" s="3" t="e">
        <f t="shared" si="103"/>
        <v>#DIV/0!</v>
      </c>
      <c r="O257" s="3" t="e">
        <f t="shared" si="116"/>
        <v>#DIV/0!</v>
      </c>
      <c r="P257" s="3">
        <f t="shared" si="104"/>
        <v>0</v>
      </c>
      <c r="Q257" s="3">
        <f t="shared" si="118"/>
        <v>0</v>
      </c>
      <c r="R257" s="3">
        <f t="shared" si="106"/>
        <v>0</v>
      </c>
      <c r="S257" s="3">
        <f t="shared" si="119"/>
        <v>0</v>
      </c>
      <c r="T257" s="3">
        <f t="shared" si="91"/>
        <v>0</v>
      </c>
      <c r="U257" s="3">
        <f t="shared" si="105"/>
        <v>0</v>
      </c>
      <c r="V257" s="3">
        <f t="shared" si="92"/>
        <v>0</v>
      </c>
      <c r="W257" s="3">
        <f t="shared" si="95"/>
        <v>0</v>
      </c>
      <c r="X257" s="3">
        <f t="shared" si="96"/>
        <v>0</v>
      </c>
      <c r="Y257" s="3">
        <f t="shared" si="97"/>
        <v>0</v>
      </c>
      <c r="Z257" s="3">
        <f t="shared" si="108"/>
        <v>0</v>
      </c>
      <c r="AA257" s="3">
        <f t="shared" si="109"/>
        <v>0</v>
      </c>
      <c r="AB257" s="3" t="e">
        <f t="shared" si="110"/>
        <v>#DIV/0!</v>
      </c>
      <c r="AC257" s="3" t="str">
        <f t="shared" si="111"/>
        <v/>
      </c>
      <c r="AD257" s="3">
        <f t="shared" si="98"/>
        <v>0</v>
      </c>
      <c r="AE257" s="3">
        <f t="shared" si="93"/>
        <v>0</v>
      </c>
      <c r="AF257" s="3">
        <f t="shared" si="99"/>
        <v>0</v>
      </c>
      <c r="AG257" s="3" t="e">
        <f>AF257 / SUM(F$2:F257)</f>
        <v>#DIV/0!</v>
      </c>
      <c r="AH257" s="3" t="e">
        <f t="shared" si="100"/>
        <v>#DIV/0!</v>
      </c>
      <c r="AI257" s="3">
        <f t="shared" si="101"/>
        <v>0</v>
      </c>
      <c r="AJ257" s="3" t="e">
        <f t="shared" si="102"/>
        <v>#DIV/0!</v>
      </c>
      <c r="AK257" s="3" t="e">
        <f t="shared" si="117"/>
        <v>#DIV/0!</v>
      </c>
    </row>
    <row r="258" spans="1:37" x14ac:dyDescent="0.3">
      <c r="A258" s="24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f t="shared" si="90"/>
        <v>0</v>
      </c>
      <c r="H258" s="3">
        <f t="shared" si="107"/>
        <v>0</v>
      </c>
      <c r="I258" s="3">
        <f t="shared" si="112"/>
        <v>0</v>
      </c>
      <c r="J258" s="3">
        <f t="shared" si="113"/>
        <v>0</v>
      </c>
      <c r="K258" s="3">
        <f t="shared" si="114"/>
        <v>0</v>
      </c>
      <c r="L258" s="3">
        <f t="shared" si="115"/>
        <v>0</v>
      </c>
      <c r="M258" s="3" t="e">
        <f t="shared" si="94"/>
        <v>#DIV/0!</v>
      </c>
      <c r="N258" s="3" t="e">
        <f t="shared" si="103"/>
        <v>#DIV/0!</v>
      </c>
      <c r="O258" s="3" t="e">
        <f t="shared" si="116"/>
        <v>#DIV/0!</v>
      </c>
      <c r="P258" s="3">
        <f t="shared" si="104"/>
        <v>0</v>
      </c>
      <c r="Q258" s="3">
        <f t="shared" si="118"/>
        <v>0</v>
      </c>
      <c r="R258" s="3">
        <f t="shared" si="106"/>
        <v>0</v>
      </c>
      <c r="S258" s="3">
        <f t="shared" si="119"/>
        <v>0</v>
      </c>
      <c r="T258" s="3">
        <f t="shared" si="91"/>
        <v>0</v>
      </c>
      <c r="U258" s="3">
        <f t="shared" si="105"/>
        <v>0</v>
      </c>
      <c r="V258" s="3">
        <f t="shared" si="92"/>
        <v>0</v>
      </c>
      <c r="W258" s="3">
        <f t="shared" si="95"/>
        <v>0</v>
      </c>
      <c r="X258" s="3">
        <f t="shared" si="96"/>
        <v>0</v>
      </c>
      <c r="Y258" s="3">
        <f t="shared" si="97"/>
        <v>0</v>
      </c>
      <c r="Z258" s="3">
        <f t="shared" si="108"/>
        <v>0</v>
      </c>
      <c r="AA258" s="3">
        <f t="shared" si="109"/>
        <v>0</v>
      </c>
      <c r="AB258" s="3" t="e">
        <f t="shared" si="110"/>
        <v>#DIV/0!</v>
      </c>
      <c r="AC258" s="3" t="str">
        <f t="shared" si="111"/>
        <v/>
      </c>
      <c r="AD258" s="3">
        <f t="shared" si="98"/>
        <v>0</v>
      </c>
      <c r="AE258" s="3">
        <f t="shared" si="93"/>
        <v>0</v>
      </c>
      <c r="AF258" s="3">
        <f t="shared" si="99"/>
        <v>0</v>
      </c>
      <c r="AG258" s="3" t="e">
        <f>AF258 / SUM(F$2:F258)</f>
        <v>#DIV/0!</v>
      </c>
      <c r="AH258" s="3" t="e">
        <f t="shared" si="100"/>
        <v>#DIV/0!</v>
      </c>
      <c r="AI258" s="3">
        <f t="shared" si="101"/>
        <v>0</v>
      </c>
      <c r="AJ258" s="3" t="e">
        <f t="shared" si="102"/>
        <v>#DIV/0!</v>
      </c>
      <c r="AK258" s="3" t="e">
        <f t="shared" si="117"/>
        <v>#DIV/0!</v>
      </c>
    </row>
    <row r="259" spans="1:37" x14ac:dyDescent="0.3">
      <c r="A259" s="24">
        <v>0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f t="shared" ref="G259:G322" si="120">MAX(C259-D259, ABS(C259-E260), ABS(D259-E260))</f>
        <v>0</v>
      </c>
      <c r="H259" s="3">
        <f t="shared" si="107"/>
        <v>0</v>
      </c>
      <c r="I259" s="3">
        <f t="shared" si="112"/>
        <v>0</v>
      </c>
      <c r="J259" s="3">
        <f t="shared" si="113"/>
        <v>0</v>
      </c>
      <c r="K259" s="3">
        <f t="shared" si="114"/>
        <v>0</v>
      </c>
      <c r="L259" s="3">
        <f t="shared" si="115"/>
        <v>0</v>
      </c>
      <c r="M259" s="3" t="e">
        <f t="shared" si="94"/>
        <v>#DIV/0!</v>
      </c>
      <c r="N259" s="3" t="e">
        <f t="shared" si="103"/>
        <v>#DIV/0!</v>
      </c>
      <c r="O259" s="3" t="e">
        <f t="shared" si="116"/>
        <v>#DIV/0!</v>
      </c>
      <c r="P259" s="3">
        <f t="shared" si="104"/>
        <v>0</v>
      </c>
      <c r="Q259" s="3">
        <f t="shared" si="118"/>
        <v>0</v>
      </c>
      <c r="R259" s="3">
        <f t="shared" si="106"/>
        <v>0</v>
      </c>
      <c r="S259" s="3">
        <f t="shared" si="119"/>
        <v>0</v>
      </c>
      <c r="T259" s="3">
        <f t="shared" ref="T259:T322" si="121">R259 - S259</f>
        <v>0</v>
      </c>
      <c r="U259" s="3">
        <f t="shared" si="105"/>
        <v>0</v>
      </c>
      <c r="V259" s="3">
        <f t="shared" ref="V259:V322" si="122">T259 - U259</f>
        <v>0</v>
      </c>
      <c r="W259" s="3">
        <f t="shared" si="95"/>
        <v>0</v>
      </c>
      <c r="X259" s="3">
        <f t="shared" si="96"/>
        <v>0</v>
      </c>
      <c r="Y259" s="3">
        <f t="shared" si="97"/>
        <v>0</v>
      </c>
      <c r="Z259" s="3">
        <f t="shared" si="108"/>
        <v>0</v>
      </c>
      <c r="AA259" s="3">
        <f t="shared" si="109"/>
        <v>0</v>
      </c>
      <c r="AB259" s="3" t="e">
        <f t="shared" si="110"/>
        <v>#DIV/0!</v>
      </c>
      <c r="AC259" s="3" t="str">
        <f t="shared" si="111"/>
        <v/>
      </c>
      <c r="AD259" s="3">
        <f t="shared" si="98"/>
        <v>0</v>
      </c>
      <c r="AE259" s="3">
        <f t="shared" ref="AE259:AE322" si="123">(C259+D259+E259)/3</f>
        <v>0</v>
      </c>
      <c r="AF259" s="3">
        <f t="shared" si="99"/>
        <v>0</v>
      </c>
      <c r="AG259" s="3" t="e">
        <f>AF259 / SUM(F$2:F259)</f>
        <v>#DIV/0!</v>
      </c>
      <c r="AH259" s="3" t="e">
        <f t="shared" si="100"/>
        <v>#DIV/0!</v>
      </c>
      <c r="AI259" s="3">
        <f t="shared" si="101"/>
        <v>0</v>
      </c>
      <c r="AJ259" s="3" t="e">
        <f t="shared" si="102"/>
        <v>#DIV/0!</v>
      </c>
      <c r="AK259" s="3" t="e">
        <f t="shared" si="117"/>
        <v>#DIV/0!</v>
      </c>
    </row>
    <row r="260" spans="1:37" x14ac:dyDescent="0.3">
      <c r="A260" s="24">
        <v>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f t="shared" si="120"/>
        <v>0</v>
      </c>
      <c r="H260" s="3">
        <f t="shared" si="107"/>
        <v>0</v>
      </c>
      <c r="I260" s="3">
        <f t="shared" si="112"/>
        <v>0</v>
      </c>
      <c r="J260" s="3">
        <f t="shared" si="113"/>
        <v>0</v>
      </c>
      <c r="K260" s="3">
        <f t="shared" si="114"/>
        <v>0</v>
      </c>
      <c r="L260" s="3">
        <f t="shared" si="115"/>
        <v>0</v>
      </c>
      <c r="M260" s="3" t="e">
        <f t="shared" ref="M260:M323" si="124">LN(E259/E260)</f>
        <v>#DIV/0!</v>
      </c>
      <c r="N260" s="3" t="e">
        <f t="shared" si="103"/>
        <v>#DIV/0!</v>
      </c>
      <c r="O260" s="3" t="e">
        <f t="shared" si="116"/>
        <v>#DIV/0!</v>
      </c>
      <c r="P260" s="3">
        <f t="shared" si="104"/>
        <v>0</v>
      </c>
      <c r="Q260" s="3">
        <f t="shared" si="118"/>
        <v>0</v>
      </c>
      <c r="R260" s="3">
        <f t="shared" si="106"/>
        <v>0</v>
      </c>
      <c r="S260" s="3">
        <f t="shared" si="119"/>
        <v>0</v>
      </c>
      <c r="T260" s="3">
        <f t="shared" si="121"/>
        <v>0</v>
      </c>
      <c r="U260" s="3">
        <f t="shared" si="105"/>
        <v>0</v>
      </c>
      <c r="V260" s="3">
        <f t="shared" si="122"/>
        <v>0</v>
      </c>
      <c r="W260" s="3">
        <f t="shared" ref="W260:W323" si="125">E259-E260</f>
        <v>0</v>
      </c>
      <c r="X260" s="3">
        <f t="shared" ref="X260:X323" si="126">MAX(W260,0)</f>
        <v>0</v>
      </c>
      <c r="Y260" s="3">
        <f t="shared" ref="Y260:Y323" si="127">MAX(-W260,0)</f>
        <v>0</v>
      </c>
      <c r="Z260" s="3">
        <f t="shared" si="108"/>
        <v>0</v>
      </c>
      <c r="AA260" s="3">
        <f t="shared" si="109"/>
        <v>0</v>
      </c>
      <c r="AB260" s="3" t="e">
        <f t="shared" si="110"/>
        <v>#DIV/0!</v>
      </c>
      <c r="AC260" s="3" t="str">
        <f t="shared" si="111"/>
        <v/>
      </c>
      <c r="AD260" s="3">
        <f t="shared" ref="AD260:AD323" si="128">IF(E259&gt;E260,AD259+F259,IF(E259&lt;E260,AD259-F259,AD259))</f>
        <v>0</v>
      </c>
      <c r="AE260" s="3">
        <f t="shared" si="123"/>
        <v>0</v>
      </c>
      <c r="AF260" s="3">
        <f t="shared" ref="AF260:AF323" si="129">AF259 + AE260*F260</f>
        <v>0</v>
      </c>
      <c r="AG260" s="3" t="e">
        <f>AF260 / SUM(F$2:F260)</f>
        <v>#DIV/0!</v>
      </c>
      <c r="AH260" s="3" t="e">
        <f t="shared" ref="AH260:AH323" si="130">(E259-E260)/E260</f>
        <v>#DIV/0!</v>
      </c>
      <c r="AI260" s="3">
        <f t="shared" ref="AI260:AI323" si="131">MAX(AI259,E260)</f>
        <v>0</v>
      </c>
      <c r="AJ260" s="3" t="e">
        <f t="shared" ref="AJ260:AJ323" si="132">(E260-AI260)/AI260</f>
        <v>#DIV/0!</v>
      </c>
      <c r="AK260" s="3" t="e">
        <f t="shared" si="117"/>
        <v>#DIV/0!</v>
      </c>
    </row>
    <row r="261" spans="1:37" x14ac:dyDescent="0.3">
      <c r="A261" s="24">
        <v>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f t="shared" si="120"/>
        <v>0</v>
      </c>
      <c r="H261" s="3">
        <f t="shared" si="107"/>
        <v>0</v>
      </c>
      <c r="I261" s="3">
        <f t="shared" si="112"/>
        <v>0</v>
      </c>
      <c r="J261" s="3">
        <f t="shared" si="113"/>
        <v>0</v>
      </c>
      <c r="K261" s="3">
        <f t="shared" si="114"/>
        <v>0</v>
      </c>
      <c r="L261" s="3">
        <f t="shared" si="115"/>
        <v>0</v>
      </c>
      <c r="M261" s="3" t="e">
        <f t="shared" si="124"/>
        <v>#DIV/0!</v>
      </c>
      <c r="N261" s="3" t="e">
        <f t="shared" si="103"/>
        <v>#DIV/0!</v>
      </c>
      <c r="O261" s="3" t="e">
        <f t="shared" si="116"/>
        <v>#DIV/0!</v>
      </c>
      <c r="P261" s="3">
        <f t="shared" si="104"/>
        <v>0</v>
      </c>
      <c r="Q261" s="3">
        <f t="shared" si="118"/>
        <v>0</v>
      </c>
      <c r="R261" s="3">
        <f t="shared" si="106"/>
        <v>0</v>
      </c>
      <c r="S261" s="3">
        <f t="shared" si="119"/>
        <v>0</v>
      </c>
      <c r="T261" s="3">
        <f t="shared" si="121"/>
        <v>0</v>
      </c>
      <c r="U261" s="3">
        <f t="shared" si="105"/>
        <v>0</v>
      </c>
      <c r="V261" s="3">
        <f t="shared" si="122"/>
        <v>0</v>
      </c>
      <c r="W261" s="3">
        <f t="shared" si="125"/>
        <v>0</v>
      </c>
      <c r="X261" s="3">
        <f t="shared" si="126"/>
        <v>0</v>
      </c>
      <c r="Y261" s="3">
        <f t="shared" si="127"/>
        <v>0</v>
      </c>
      <c r="Z261" s="3">
        <f t="shared" si="108"/>
        <v>0</v>
      </c>
      <c r="AA261" s="3">
        <f t="shared" si="109"/>
        <v>0</v>
      </c>
      <c r="AB261" s="3" t="e">
        <f t="shared" si="110"/>
        <v>#DIV/0!</v>
      </c>
      <c r="AC261" s="3" t="str">
        <f t="shared" si="111"/>
        <v/>
      </c>
      <c r="AD261" s="3">
        <f t="shared" si="128"/>
        <v>0</v>
      </c>
      <c r="AE261" s="3">
        <f t="shared" si="123"/>
        <v>0</v>
      </c>
      <c r="AF261" s="3">
        <f t="shared" si="129"/>
        <v>0</v>
      </c>
      <c r="AG261" s="3" t="e">
        <f>AF261 / SUM(F$2:F261)</f>
        <v>#DIV/0!</v>
      </c>
      <c r="AH261" s="3" t="e">
        <f t="shared" si="130"/>
        <v>#DIV/0!</v>
      </c>
      <c r="AI261" s="3">
        <f t="shared" si="131"/>
        <v>0</v>
      </c>
      <c r="AJ261" s="3" t="e">
        <f t="shared" si="132"/>
        <v>#DIV/0!</v>
      </c>
      <c r="AK261" s="3" t="e">
        <f t="shared" si="117"/>
        <v>#DIV/0!</v>
      </c>
    </row>
    <row r="262" spans="1:37" x14ac:dyDescent="0.3">
      <c r="A262" s="24">
        <v>0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f t="shared" si="120"/>
        <v>0</v>
      </c>
      <c r="H262" s="3">
        <f t="shared" si="107"/>
        <v>0</v>
      </c>
      <c r="I262" s="3">
        <f t="shared" si="112"/>
        <v>0</v>
      </c>
      <c r="J262" s="3">
        <f t="shared" si="113"/>
        <v>0</v>
      </c>
      <c r="K262" s="3">
        <f t="shared" si="114"/>
        <v>0</v>
      </c>
      <c r="L262" s="3">
        <f t="shared" si="115"/>
        <v>0</v>
      </c>
      <c r="M262" s="3" t="e">
        <f t="shared" si="124"/>
        <v>#DIV/0!</v>
      </c>
      <c r="N262" s="3" t="e">
        <f t="shared" si="103"/>
        <v>#DIV/0!</v>
      </c>
      <c r="O262" s="3" t="e">
        <f t="shared" si="116"/>
        <v>#DIV/0!</v>
      </c>
      <c r="P262" s="3">
        <f t="shared" si="104"/>
        <v>0</v>
      </c>
      <c r="Q262" s="3">
        <f t="shared" si="118"/>
        <v>0</v>
      </c>
      <c r="R262" s="3">
        <f t="shared" si="106"/>
        <v>0</v>
      </c>
      <c r="S262" s="3">
        <f t="shared" si="119"/>
        <v>0</v>
      </c>
      <c r="T262" s="3">
        <f t="shared" si="121"/>
        <v>0</v>
      </c>
      <c r="U262" s="3">
        <f t="shared" si="105"/>
        <v>0</v>
      </c>
      <c r="V262" s="3">
        <f t="shared" si="122"/>
        <v>0</v>
      </c>
      <c r="W262" s="3">
        <f t="shared" si="125"/>
        <v>0</v>
      </c>
      <c r="X262" s="3">
        <f t="shared" si="126"/>
        <v>0</v>
      </c>
      <c r="Y262" s="3">
        <f t="shared" si="127"/>
        <v>0</v>
      </c>
      <c r="Z262" s="3">
        <f t="shared" si="108"/>
        <v>0</v>
      </c>
      <c r="AA262" s="3">
        <f t="shared" si="109"/>
        <v>0</v>
      </c>
      <c r="AB262" s="3" t="e">
        <f t="shared" si="110"/>
        <v>#DIV/0!</v>
      </c>
      <c r="AC262" s="3" t="str">
        <f t="shared" si="111"/>
        <v/>
      </c>
      <c r="AD262" s="3">
        <f t="shared" si="128"/>
        <v>0</v>
      </c>
      <c r="AE262" s="3">
        <f t="shared" si="123"/>
        <v>0</v>
      </c>
      <c r="AF262" s="3">
        <f t="shared" si="129"/>
        <v>0</v>
      </c>
      <c r="AG262" s="3" t="e">
        <f>AF262 / SUM(F$2:F262)</f>
        <v>#DIV/0!</v>
      </c>
      <c r="AH262" s="3" t="e">
        <f t="shared" si="130"/>
        <v>#DIV/0!</v>
      </c>
      <c r="AI262" s="3">
        <f t="shared" si="131"/>
        <v>0</v>
      </c>
      <c r="AJ262" s="3" t="e">
        <f t="shared" si="132"/>
        <v>#DIV/0!</v>
      </c>
      <c r="AK262" s="3" t="e">
        <f t="shared" si="117"/>
        <v>#DIV/0!</v>
      </c>
    </row>
    <row r="263" spans="1:37" x14ac:dyDescent="0.3">
      <c r="A263" s="24">
        <v>0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f t="shared" si="120"/>
        <v>0</v>
      </c>
      <c r="H263" s="3">
        <f t="shared" si="107"/>
        <v>0</v>
      </c>
      <c r="I263" s="3">
        <f t="shared" si="112"/>
        <v>0</v>
      </c>
      <c r="J263" s="3">
        <f t="shared" si="113"/>
        <v>0</v>
      </c>
      <c r="K263" s="3">
        <f t="shared" si="114"/>
        <v>0</v>
      </c>
      <c r="L263" s="3">
        <f t="shared" si="115"/>
        <v>0</v>
      </c>
      <c r="M263" s="3" t="e">
        <f t="shared" si="124"/>
        <v>#DIV/0!</v>
      </c>
      <c r="N263" s="3" t="e">
        <f t="shared" si="103"/>
        <v>#DIV/0!</v>
      </c>
      <c r="O263" s="3" t="e">
        <f t="shared" si="116"/>
        <v>#DIV/0!</v>
      </c>
      <c r="P263" s="3">
        <f t="shared" si="104"/>
        <v>0</v>
      </c>
      <c r="Q263" s="3">
        <f t="shared" si="118"/>
        <v>0</v>
      </c>
      <c r="R263" s="3">
        <f t="shared" si="106"/>
        <v>0</v>
      </c>
      <c r="S263" s="3">
        <f t="shared" si="119"/>
        <v>0</v>
      </c>
      <c r="T263" s="3">
        <f t="shared" si="121"/>
        <v>0</v>
      </c>
      <c r="U263" s="3">
        <f t="shared" si="105"/>
        <v>0</v>
      </c>
      <c r="V263" s="3">
        <f t="shared" si="122"/>
        <v>0</v>
      </c>
      <c r="W263" s="3">
        <f t="shared" si="125"/>
        <v>0</v>
      </c>
      <c r="X263" s="3">
        <f t="shared" si="126"/>
        <v>0</v>
      </c>
      <c r="Y263" s="3">
        <f t="shared" si="127"/>
        <v>0</v>
      </c>
      <c r="Z263" s="3">
        <f t="shared" si="108"/>
        <v>0</v>
      </c>
      <c r="AA263" s="3">
        <f t="shared" si="109"/>
        <v>0</v>
      </c>
      <c r="AB263" s="3" t="e">
        <f t="shared" si="110"/>
        <v>#DIV/0!</v>
      </c>
      <c r="AC263" s="3" t="str">
        <f t="shared" si="111"/>
        <v/>
      </c>
      <c r="AD263" s="3">
        <f t="shared" si="128"/>
        <v>0</v>
      </c>
      <c r="AE263" s="3">
        <f t="shared" si="123"/>
        <v>0</v>
      </c>
      <c r="AF263" s="3">
        <f t="shared" si="129"/>
        <v>0</v>
      </c>
      <c r="AG263" s="3" t="e">
        <f>AF263 / SUM(F$2:F263)</f>
        <v>#DIV/0!</v>
      </c>
      <c r="AH263" s="3" t="e">
        <f t="shared" si="130"/>
        <v>#DIV/0!</v>
      </c>
      <c r="AI263" s="3">
        <f t="shared" si="131"/>
        <v>0</v>
      </c>
      <c r="AJ263" s="3" t="e">
        <f t="shared" si="132"/>
        <v>#DIV/0!</v>
      </c>
      <c r="AK263" s="3" t="e">
        <f t="shared" si="117"/>
        <v>#DIV/0!</v>
      </c>
    </row>
    <row r="264" spans="1:37" x14ac:dyDescent="0.3">
      <c r="A264" s="24">
        <v>0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f t="shared" si="120"/>
        <v>0</v>
      </c>
      <c r="H264" s="3">
        <f t="shared" si="107"/>
        <v>0</v>
      </c>
      <c r="I264" s="3">
        <f t="shared" si="112"/>
        <v>0</v>
      </c>
      <c r="J264" s="3">
        <f t="shared" si="113"/>
        <v>0</v>
      </c>
      <c r="K264" s="3">
        <f t="shared" si="114"/>
        <v>0</v>
      </c>
      <c r="L264" s="3">
        <f t="shared" si="115"/>
        <v>0</v>
      </c>
      <c r="M264" s="3" t="e">
        <f t="shared" si="124"/>
        <v>#DIV/0!</v>
      </c>
      <c r="N264" s="3" t="e">
        <f t="shared" si="103"/>
        <v>#DIV/0!</v>
      </c>
      <c r="O264" s="3" t="e">
        <f t="shared" si="116"/>
        <v>#DIV/0!</v>
      </c>
      <c r="P264" s="3">
        <f t="shared" si="104"/>
        <v>0</v>
      </c>
      <c r="Q264" s="3">
        <f t="shared" si="118"/>
        <v>0</v>
      </c>
      <c r="R264" s="3">
        <f t="shared" si="106"/>
        <v>0</v>
      </c>
      <c r="S264" s="3">
        <f t="shared" si="119"/>
        <v>0</v>
      </c>
      <c r="T264" s="3">
        <f t="shared" si="121"/>
        <v>0</v>
      </c>
      <c r="U264" s="3">
        <f t="shared" si="105"/>
        <v>0</v>
      </c>
      <c r="V264" s="3">
        <f t="shared" si="122"/>
        <v>0</v>
      </c>
      <c r="W264" s="3">
        <f t="shared" si="125"/>
        <v>0</v>
      </c>
      <c r="X264" s="3">
        <f t="shared" si="126"/>
        <v>0</v>
      </c>
      <c r="Y264" s="3">
        <f t="shared" si="127"/>
        <v>0</v>
      </c>
      <c r="Z264" s="3">
        <f t="shared" si="108"/>
        <v>0</v>
      </c>
      <c r="AA264" s="3">
        <f t="shared" si="109"/>
        <v>0</v>
      </c>
      <c r="AB264" s="3" t="e">
        <f t="shared" si="110"/>
        <v>#DIV/0!</v>
      </c>
      <c r="AC264" s="3" t="str">
        <f t="shared" si="111"/>
        <v/>
      </c>
      <c r="AD264" s="3">
        <f t="shared" si="128"/>
        <v>0</v>
      </c>
      <c r="AE264" s="3">
        <f t="shared" si="123"/>
        <v>0</v>
      </c>
      <c r="AF264" s="3">
        <f t="shared" si="129"/>
        <v>0</v>
      </c>
      <c r="AG264" s="3" t="e">
        <f>AF264 / SUM(F$2:F264)</f>
        <v>#DIV/0!</v>
      </c>
      <c r="AH264" s="3" t="e">
        <f t="shared" si="130"/>
        <v>#DIV/0!</v>
      </c>
      <c r="AI264" s="3">
        <f t="shared" si="131"/>
        <v>0</v>
      </c>
      <c r="AJ264" s="3" t="e">
        <f t="shared" si="132"/>
        <v>#DIV/0!</v>
      </c>
      <c r="AK264" s="3" t="e">
        <f t="shared" si="117"/>
        <v>#DIV/0!</v>
      </c>
    </row>
    <row r="265" spans="1:37" x14ac:dyDescent="0.3">
      <c r="A265" s="24">
        <v>0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f t="shared" si="120"/>
        <v>0</v>
      </c>
      <c r="H265" s="3">
        <f t="shared" si="107"/>
        <v>0</v>
      </c>
      <c r="I265" s="3">
        <f t="shared" si="112"/>
        <v>0</v>
      </c>
      <c r="J265" s="3">
        <f t="shared" si="113"/>
        <v>0</v>
      </c>
      <c r="K265" s="3">
        <f t="shared" si="114"/>
        <v>0</v>
      </c>
      <c r="L265" s="3">
        <f t="shared" si="115"/>
        <v>0</v>
      </c>
      <c r="M265" s="3" t="e">
        <f t="shared" si="124"/>
        <v>#DIV/0!</v>
      </c>
      <c r="N265" s="3" t="e">
        <f t="shared" si="103"/>
        <v>#DIV/0!</v>
      </c>
      <c r="O265" s="3" t="e">
        <f t="shared" si="116"/>
        <v>#DIV/0!</v>
      </c>
      <c r="P265" s="3">
        <f t="shared" si="104"/>
        <v>0</v>
      </c>
      <c r="Q265" s="3">
        <f t="shared" si="118"/>
        <v>0</v>
      </c>
      <c r="R265" s="3">
        <f t="shared" si="106"/>
        <v>0</v>
      </c>
      <c r="S265" s="3">
        <f t="shared" si="119"/>
        <v>0</v>
      </c>
      <c r="T265" s="3">
        <f t="shared" si="121"/>
        <v>0</v>
      </c>
      <c r="U265" s="3">
        <f t="shared" si="105"/>
        <v>0</v>
      </c>
      <c r="V265" s="3">
        <f t="shared" si="122"/>
        <v>0</v>
      </c>
      <c r="W265" s="3">
        <f t="shared" si="125"/>
        <v>0</v>
      </c>
      <c r="X265" s="3">
        <f t="shared" si="126"/>
        <v>0</v>
      </c>
      <c r="Y265" s="3">
        <f t="shared" si="127"/>
        <v>0</v>
      </c>
      <c r="Z265" s="3">
        <f t="shared" si="108"/>
        <v>0</v>
      </c>
      <c r="AA265" s="3">
        <f t="shared" si="109"/>
        <v>0</v>
      </c>
      <c r="AB265" s="3" t="e">
        <f t="shared" si="110"/>
        <v>#DIV/0!</v>
      </c>
      <c r="AC265" s="3" t="str">
        <f t="shared" si="111"/>
        <v/>
      </c>
      <c r="AD265" s="3">
        <f t="shared" si="128"/>
        <v>0</v>
      </c>
      <c r="AE265" s="3">
        <f t="shared" si="123"/>
        <v>0</v>
      </c>
      <c r="AF265" s="3">
        <f t="shared" si="129"/>
        <v>0</v>
      </c>
      <c r="AG265" s="3" t="e">
        <f>AF265 / SUM(F$2:F265)</f>
        <v>#DIV/0!</v>
      </c>
      <c r="AH265" s="3" t="e">
        <f t="shared" si="130"/>
        <v>#DIV/0!</v>
      </c>
      <c r="AI265" s="3">
        <f t="shared" si="131"/>
        <v>0</v>
      </c>
      <c r="AJ265" s="3" t="e">
        <f t="shared" si="132"/>
        <v>#DIV/0!</v>
      </c>
      <c r="AK265" s="3" t="e">
        <f t="shared" si="117"/>
        <v>#DIV/0!</v>
      </c>
    </row>
    <row r="266" spans="1:37" x14ac:dyDescent="0.3">
      <c r="A266" s="24">
        <v>0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f t="shared" si="120"/>
        <v>0</v>
      </c>
      <c r="H266" s="3">
        <f t="shared" si="107"/>
        <v>0</v>
      </c>
      <c r="I266" s="3">
        <f t="shared" si="112"/>
        <v>0</v>
      </c>
      <c r="J266" s="3">
        <f t="shared" si="113"/>
        <v>0</v>
      </c>
      <c r="K266" s="3">
        <f t="shared" si="114"/>
        <v>0</v>
      </c>
      <c r="L266" s="3">
        <f t="shared" si="115"/>
        <v>0</v>
      </c>
      <c r="M266" s="3" t="e">
        <f t="shared" si="124"/>
        <v>#DIV/0!</v>
      </c>
      <c r="N266" s="3" t="e">
        <f t="shared" si="103"/>
        <v>#DIV/0!</v>
      </c>
      <c r="O266" s="3" t="e">
        <f t="shared" si="116"/>
        <v>#DIV/0!</v>
      </c>
      <c r="P266" s="3">
        <f t="shared" si="104"/>
        <v>0</v>
      </c>
      <c r="Q266" s="3">
        <f t="shared" si="118"/>
        <v>0</v>
      </c>
      <c r="R266" s="3">
        <f t="shared" si="106"/>
        <v>0</v>
      </c>
      <c r="S266" s="3">
        <f t="shared" si="119"/>
        <v>0</v>
      </c>
      <c r="T266" s="3">
        <f t="shared" si="121"/>
        <v>0</v>
      </c>
      <c r="U266" s="3">
        <f t="shared" si="105"/>
        <v>0</v>
      </c>
      <c r="V266" s="3">
        <f t="shared" si="122"/>
        <v>0</v>
      </c>
      <c r="W266" s="3">
        <f t="shared" si="125"/>
        <v>0</v>
      </c>
      <c r="X266" s="3">
        <f t="shared" si="126"/>
        <v>0</v>
      </c>
      <c r="Y266" s="3">
        <f t="shared" si="127"/>
        <v>0</v>
      </c>
      <c r="Z266" s="3">
        <f t="shared" si="108"/>
        <v>0</v>
      </c>
      <c r="AA266" s="3">
        <f t="shared" si="109"/>
        <v>0</v>
      </c>
      <c r="AB266" s="3" t="e">
        <f t="shared" si="110"/>
        <v>#DIV/0!</v>
      </c>
      <c r="AC266" s="3" t="str">
        <f t="shared" si="111"/>
        <v/>
      </c>
      <c r="AD266" s="3">
        <f t="shared" si="128"/>
        <v>0</v>
      </c>
      <c r="AE266" s="3">
        <f t="shared" si="123"/>
        <v>0</v>
      </c>
      <c r="AF266" s="3">
        <f t="shared" si="129"/>
        <v>0</v>
      </c>
      <c r="AG266" s="3" t="e">
        <f>AF266 / SUM(F$2:F266)</f>
        <v>#DIV/0!</v>
      </c>
      <c r="AH266" s="3" t="e">
        <f t="shared" si="130"/>
        <v>#DIV/0!</v>
      </c>
      <c r="AI266" s="3">
        <f t="shared" si="131"/>
        <v>0</v>
      </c>
      <c r="AJ266" s="3" t="e">
        <f t="shared" si="132"/>
        <v>#DIV/0!</v>
      </c>
      <c r="AK266" s="3" t="e">
        <f t="shared" si="117"/>
        <v>#DIV/0!</v>
      </c>
    </row>
    <row r="267" spans="1:37" x14ac:dyDescent="0.3">
      <c r="A267" s="24">
        <v>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f t="shared" si="120"/>
        <v>0</v>
      </c>
      <c r="H267" s="3">
        <f t="shared" si="107"/>
        <v>0</v>
      </c>
      <c r="I267" s="3">
        <f t="shared" si="112"/>
        <v>0</v>
      </c>
      <c r="J267" s="3">
        <f t="shared" si="113"/>
        <v>0</v>
      </c>
      <c r="K267" s="3">
        <f t="shared" si="114"/>
        <v>0</v>
      </c>
      <c r="L267" s="3">
        <f t="shared" si="115"/>
        <v>0</v>
      </c>
      <c r="M267" s="3" t="e">
        <f t="shared" si="124"/>
        <v>#DIV/0!</v>
      </c>
      <c r="N267" s="3" t="e">
        <f t="shared" si="103"/>
        <v>#DIV/0!</v>
      </c>
      <c r="O267" s="3" t="e">
        <f t="shared" si="116"/>
        <v>#DIV/0!</v>
      </c>
      <c r="P267" s="3">
        <f t="shared" si="104"/>
        <v>0</v>
      </c>
      <c r="Q267" s="3">
        <f t="shared" si="118"/>
        <v>0</v>
      </c>
      <c r="R267" s="3">
        <f t="shared" si="106"/>
        <v>0</v>
      </c>
      <c r="S267" s="3">
        <f t="shared" si="119"/>
        <v>0</v>
      </c>
      <c r="T267" s="3">
        <f t="shared" si="121"/>
        <v>0</v>
      </c>
      <c r="U267" s="3">
        <f t="shared" si="105"/>
        <v>0</v>
      </c>
      <c r="V267" s="3">
        <f t="shared" si="122"/>
        <v>0</v>
      </c>
      <c r="W267" s="3">
        <f t="shared" si="125"/>
        <v>0</v>
      </c>
      <c r="X267" s="3">
        <f t="shared" si="126"/>
        <v>0</v>
      </c>
      <c r="Y267" s="3">
        <f t="shared" si="127"/>
        <v>0</v>
      </c>
      <c r="Z267" s="3">
        <f t="shared" si="108"/>
        <v>0</v>
      </c>
      <c r="AA267" s="3">
        <f t="shared" si="109"/>
        <v>0</v>
      </c>
      <c r="AB267" s="3" t="e">
        <f t="shared" si="110"/>
        <v>#DIV/0!</v>
      </c>
      <c r="AC267" s="3" t="str">
        <f t="shared" si="111"/>
        <v/>
      </c>
      <c r="AD267" s="3">
        <f t="shared" si="128"/>
        <v>0</v>
      </c>
      <c r="AE267" s="3">
        <f t="shared" si="123"/>
        <v>0</v>
      </c>
      <c r="AF267" s="3">
        <f t="shared" si="129"/>
        <v>0</v>
      </c>
      <c r="AG267" s="3" t="e">
        <f>AF267 / SUM(F$2:F267)</f>
        <v>#DIV/0!</v>
      </c>
      <c r="AH267" s="3" t="e">
        <f t="shared" si="130"/>
        <v>#DIV/0!</v>
      </c>
      <c r="AI267" s="3">
        <f t="shared" si="131"/>
        <v>0</v>
      </c>
      <c r="AJ267" s="3" t="e">
        <f t="shared" si="132"/>
        <v>#DIV/0!</v>
      </c>
      <c r="AK267" s="3" t="e">
        <f t="shared" si="117"/>
        <v>#DIV/0!</v>
      </c>
    </row>
    <row r="268" spans="1:37" x14ac:dyDescent="0.3">
      <c r="A268" s="24">
        <v>0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f t="shared" si="120"/>
        <v>0</v>
      </c>
      <c r="H268" s="3">
        <f t="shared" si="107"/>
        <v>0</v>
      </c>
      <c r="I268" s="3">
        <f t="shared" si="112"/>
        <v>0</v>
      </c>
      <c r="J268" s="3">
        <f t="shared" si="113"/>
        <v>0</v>
      </c>
      <c r="K268" s="3">
        <f t="shared" si="114"/>
        <v>0</v>
      </c>
      <c r="L268" s="3">
        <f t="shared" si="115"/>
        <v>0</v>
      </c>
      <c r="M268" s="3" t="e">
        <f t="shared" si="124"/>
        <v>#DIV/0!</v>
      </c>
      <c r="N268" s="3" t="e">
        <f t="shared" ref="N268:N331" si="133">_xlfn.STDEV.S(M259:M268)*SQRT(10)</f>
        <v>#DIV/0!</v>
      </c>
      <c r="O268" s="3" t="e">
        <f t="shared" si="116"/>
        <v>#DIV/0!</v>
      </c>
      <c r="P268" s="3">
        <f t="shared" ref="P268:P331" si="134">E268*(2/(9+1)) + P267*(1-(2/(9+1)))</f>
        <v>0</v>
      </c>
      <c r="Q268" s="3">
        <f t="shared" si="118"/>
        <v>0</v>
      </c>
      <c r="R268" s="3">
        <f t="shared" si="106"/>
        <v>0</v>
      </c>
      <c r="S268" s="3">
        <f t="shared" si="119"/>
        <v>0</v>
      </c>
      <c r="T268" s="3">
        <f t="shared" si="121"/>
        <v>0</v>
      </c>
      <c r="U268" s="3">
        <f t="shared" ref="U268:U331" si="135">T268*0.2 + U267*0.8</f>
        <v>0</v>
      </c>
      <c r="V268" s="3">
        <f t="shared" si="122"/>
        <v>0</v>
      </c>
      <c r="W268" s="3">
        <f t="shared" si="125"/>
        <v>0</v>
      </c>
      <c r="X268" s="3">
        <f t="shared" si="126"/>
        <v>0</v>
      </c>
      <c r="Y268" s="3">
        <f t="shared" si="127"/>
        <v>0</v>
      </c>
      <c r="Z268" s="3">
        <f t="shared" si="108"/>
        <v>0</v>
      </c>
      <c r="AA268" s="3">
        <f t="shared" si="109"/>
        <v>0</v>
      </c>
      <c r="AB268" s="3" t="e">
        <f t="shared" si="110"/>
        <v>#DIV/0!</v>
      </c>
      <c r="AC268" s="3" t="str">
        <f t="shared" si="111"/>
        <v/>
      </c>
      <c r="AD268" s="3">
        <f t="shared" si="128"/>
        <v>0</v>
      </c>
      <c r="AE268" s="3">
        <f t="shared" si="123"/>
        <v>0</v>
      </c>
      <c r="AF268" s="3">
        <f t="shared" si="129"/>
        <v>0</v>
      </c>
      <c r="AG268" s="3" t="e">
        <f>AF268 / SUM(F$2:F268)</f>
        <v>#DIV/0!</v>
      </c>
      <c r="AH268" s="3" t="e">
        <f t="shared" si="130"/>
        <v>#DIV/0!</v>
      </c>
      <c r="AI268" s="3">
        <f t="shared" si="131"/>
        <v>0</v>
      </c>
      <c r="AJ268" s="3" t="e">
        <f t="shared" si="132"/>
        <v>#DIV/0!</v>
      </c>
      <c r="AK268" s="3" t="e">
        <f t="shared" si="117"/>
        <v>#DIV/0!</v>
      </c>
    </row>
    <row r="269" spans="1:37" x14ac:dyDescent="0.3">
      <c r="A269" s="24">
        <v>0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f t="shared" si="120"/>
        <v>0</v>
      </c>
      <c r="H269" s="3">
        <f t="shared" si="107"/>
        <v>0</v>
      </c>
      <c r="I269" s="3">
        <f t="shared" si="112"/>
        <v>0</v>
      </c>
      <c r="J269" s="3">
        <f t="shared" si="113"/>
        <v>0</v>
      </c>
      <c r="K269" s="3">
        <f t="shared" si="114"/>
        <v>0</v>
      </c>
      <c r="L269" s="3">
        <f t="shared" si="115"/>
        <v>0</v>
      </c>
      <c r="M269" s="3" t="e">
        <f t="shared" si="124"/>
        <v>#DIV/0!</v>
      </c>
      <c r="N269" s="3" t="e">
        <f t="shared" si="133"/>
        <v>#DIV/0!</v>
      </c>
      <c r="O269" s="3" t="e">
        <f t="shared" si="116"/>
        <v>#DIV/0!</v>
      </c>
      <c r="P269" s="3">
        <f t="shared" si="134"/>
        <v>0</v>
      </c>
      <c r="Q269" s="3">
        <f t="shared" si="118"/>
        <v>0</v>
      </c>
      <c r="R269" s="3">
        <f t="shared" si="106"/>
        <v>0</v>
      </c>
      <c r="S269" s="3">
        <f t="shared" si="119"/>
        <v>0</v>
      </c>
      <c r="T269" s="3">
        <f t="shared" si="121"/>
        <v>0</v>
      </c>
      <c r="U269" s="3">
        <f t="shared" si="135"/>
        <v>0</v>
      </c>
      <c r="V269" s="3">
        <f t="shared" si="122"/>
        <v>0</v>
      </c>
      <c r="W269" s="3">
        <f t="shared" si="125"/>
        <v>0</v>
      </c>
      <c r="X269" s="3">
        <f t="shared" si="126"/>
        <v>0</v>
      </c>
      <c r="Y269" s="3">
        <f t="shared" si="127"/>
        <v>0</v>
      </c>
      <c r="Z269" s="3">
        <f t="shared" si="108"/>
        <v>0</v>
      </c>
      <c r="AA269" s="3">
        <f t="shared" si="109"/>
        <v>0</v>
      </c>
      <c r="AB269" s="3" t="e">
        <f t="shared" si="110"/>
        <v>#DIV/0!</v>
      </c>
      <c r="AC269" s="3" t="str">
        <f t="shared" si="111"/>
        <v/>
      </c>
      <c r="AD269" s="3">
        <f t="shared" si="128"/>
        <v>0</v>
      </c>
      <c r="AE269" s="3">
        <f t="shared" si="123"/>
        <v>0</v>
      </c>
      <c r="AF269" s="3">
        <f t="shared" si="129"/>
        <v>0</v>
      </c>
      <c r="AG269" s="3" t="e">
        <f>AF269 / SUM(F$2:F269)</f>
        <v>#DIV/0!</v>
      </c>
      <c r="AH269" s="3" t="e">
        <f t="shared" si="130"/>
        <v>#DIV/0!</v>
      </c>
      <c r="AI269" s="3">
        <f t="shared" si="131"/>
        <v>0</v>
      </c>
      <c r="AJ269" s="3" t="e">
        <f t="shared" si="132"/>
        <v>#DIV/0!</v>
      </c>
      <c r="AK269" s="3" t="e">
        <f t="shared" si="117"/>
        <v>#DIV/0!</v>
      </c>
    </row>
    <row r="270" spans="1:37" x14ac:dyDescent="0.3">
      <c r="A270" s="24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f t="shared" si="120"/>
        <v>0</v>
      </c>
      <c r="H270" s="3">
        <f t="shared" si="107"/>
        <v>0</v>
      </c>
      <c r="I270" s="3">
        <f t="shared" si="112"/>
        <v>0</v>
      </c>
      <c r="J270" s="3">
        <f t="shared" si="113"/>
        <v>0</v>
      </c>
      <c r="K270" s="3">
        <f t="shared" si="114"/>
        <v>0</v>
      </c>
      <c r="L270" s="3">
        <f t="shared" si="115"/>
        <v>0</v>
      </c>
      <c r="M270" s="3" t="e">
        <f t="shared" si="124"/>
        <v>#DIV/0!</v>
      </c>
      <c r="N270" s="3" t="e">
        <f t="shared" si="133"/>
        <v>#DIV/0!</v>
      </c>
      <c r="O270" s="3" t="e">
        <f t="shared" si="116"/>
        <v>#DIV/0!</v>
      </c>
      <c r="P270" s="3">
        <f t="shared" si="134"/>
        <v>0</v>
      </c>
      <c r="Q270" s="3">
        <f t="shared" si="118"/>
        <v>0</v>
      </c>
      <c r="R270" s="3">
        <f t="shared" si="106"/>
        <v>0</v>
      </c>
      <c r="S270" s="3">
        <f t="shared" si="119"/>
        <v>0</v>
      </c>
      <c r="T270" s="3">
        <f t="shared" si="121"/>
        <v>0</v>
      </c>
      <c r="U270" s="3">
        <f t="shared" si="135"/>
        <v>0</v>
      </c>
      <c r="V270" s="3">
        <f t="shared" si="122"/>
        <v>0</v>
      </c>
      <c r="W270" s="3">
        <f t="shared" si="125"/>
        <v>0</v>
      </c>
      <c r="X270" s="3">
        <f t="shared" si="126"/>
        <v>0</v>
      </c>
      <c r="Y270" s="3">
        <f t="shared" si="127"/>
        <v>0</v>
      </c>
      <c r="Z270" s="3">
        <f t="shared" si="108"/>
        <v>0</v>
      </c>
      <c r="AA270" s="3">
        <f t="shared" si="109"/>
        <v>0</v>
      </c>
      <c r="AB270" s="3" t="e">
        <f t="shared" si="110"/>
        <v>#DIV/0!</v>
      </c>
      <c r="AC270" s="3" t="str">
        <f t="shared" si="111"/>
        <v/>
      </c>
      <c r="AD270" s="3">
        <f t="shared" si="128"/>
        <v>0</v>
      </c>
      <c r="AE270" s="3">
        <f t="shared" si="123"/>
        <v>0</v>
      </c>
      <c r="AF270" s="3">
        <f t="shared" si="129"/>
        <v>0</v>
      </c>
      <c r="AG270" s="3" t="e">
        <f>AF270 / SUM(F$2:F270)</f>
        <v>#DIV/0!</v>
      </c>
      <c r="AH270" s="3" t="e">
        <f t="shared" si="130"/>
        <v>#DIV/0!</v>
      </c>
      <c r="AI270" s="3">
        <f t="shared" si="131"/>
        <v>0</v>
      </c>
      <c r="AJ270" s="3" t="e">
        <f t="shared" si="132"/>
        <v>#DIV/0!</v>
      </c>
      <c r="AK270" s="3" t="e">
        <f t="shared" si="117"/>
        <v>#DIV/0!</v>
      </c>
    </row>
    <row r="271" spans="1:37" x14ac:dyDescent="0.3">
      <c r="A271" s="24">
        <v>0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f t="shared" si="120"/>
        <v>0</v>
      </c>
      <c r="H271" s="3">
        <f t="shared" si="107"/>
        <v>0</v>
      </c>
      <c r="I271" s="3">
        <f t="shared" si="112"/>
        <v>0</v>
      </c>
      <c r="J271" s="3">
        <f t="shared" si="113"/>
        <v>0</v>
      </c>
      <c r="K271" s="3">
        <f t="shared" si="114"/>
        <v>0</v>
      </c>
      <c r="L271" s="3">
        <f t="shared" si="115"/>
        <v>0</v>
      </c>
      <c r="M271" s="3" t="e">
        <f t="shared" si="124"/>
        <v>#DIV/0!</v>
      </c>
      <c r="N271" s="3" t="e">
        <f t="shared" si="133"/>
        <v>#DIV/0!</v>
      </c>
      <c r="O271" s="3" t="e">
        <f t="shared" si="116"/>
        <v>#DIV/0!</v>
      </c>
      <c r="P271" s="3">
        <f t="shared" si="134"/>
        <v>0</v>
      </c>
      <c r="Q271" s="3">
        <f t="shared" si="118"/>
        <v>0</v>
      </c>
      <c r="R271" s="3">
        <f t="shared" ref="R271:R334" si="136">E271*(2/(12+1)) + R270*(1-(2/(12+1)))</f>
        <v>0</v>
      </c>
      <c r="S271" s="3">
        <f t="shared" si="119"/>
        <v>0</v>
      </c>
      <c r="T271" s="3">
        <f t="shared" si="121"/>
        <v>0</v>
      </c>
      <c r="U271" s="3">
        <f t="shared" si="135"/>
        <v>0</v>
      </c>
      <c r="V271" s="3">
        <f t="shared" si="122"/>
        <v>0</v>
      </c>
      <c r="W271" s="3">
        <f t="shared" si="125"/>
        <v>0</v>
      </c>
      <c r="X271" s="3">
        <f t="shared" si="126"/>
        <v>0</v>
      </c>
      <c r="Y271" s="3">
        <f t="shared" si="127"/>
        <v>0</v>
      </c>
      <c r="Z271" s="3">
        <f t="shared" si="108"/>
        <v>0</v>
      </c>
      <c r="AA271" s="3">
        <f t="shared" si="109"/>
        <v>0</v>
      </c>
      <c r="AB271" s="3" t="e">
        <f t="shared" si="110"/>
        <v>#DIV/0!</v>
      </c>
      <c r="AC271" s="3" t="str">
        <f t="shared" si="111"/>
        <v/>
      </c>
      <c r="AD271" s="3">
        <f t="shared" si="128"/>
        <v>0</v>
      </c>
      <c r="AE271" s="3">
        <f t="shared" si="123"/>
        <v>0</v>
      </c>
      <c r="AF271" s="3">
        <f t="shared" si="129"/>
        <v>0</v>
      </c>
      <c r="AG271" s="3" t="e">
        <f>AF271 / SUM(F$2:F271)</f>
        <v>#DIV/0!</v>
      </c>
      <c r="AH271" s="3" t="e">
        <f t="shared" si="130"/>
        <v>#DIV/0!</v>
      </c>
      <c r="AI271" s="3">
        <f t="shared" si="131"/>
        <v>0</v>
      </c>
      <c r="AJ271" s="3" t="e">
        <f t="shared" si="132"/>
        <v>#DIV/0!</v>
      </c>
      <c r="AK271" s="3" t="e">
        <f t="shared" si="117"/>
        <v>#DIV/0!</v>
      </c>
    </row>
    <row r="272" spans="1:37" x14ac:dyDescent="0.3">
      <c r="A272" s="24">
        <v>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f t="shared" si="120"/>
        <v>0</v>
      </c>
      <c r="H272" s="3">
        <f t="shared" ref="H272:H335" si="137">AVERAGE(G259:G272)</f>
        <v>0</v>
      </c>
      <c r="I272" s="3">
        <f t="shared" si="112"/>
        <v>0</v>
      </c>
      <c r="J272" s="3">
        <f t="shared" si="113"/>
        <v>0</v>
      </c>
      <c r="K272" s="3">
        <f t="shared" si="114"/>
        <v>0</v>
      </c>
      <c r="L272" s="3">
        <f t="shared" si="115"/>
        <v>0</v>
      </c>
      <c r="M272" s="3" t="e">
        <f t="shared" si="124"/>
        <v>#DIV/0!</v>
      </c>
      <c r="N272" s="3" t="e">
        <f t="shared" si="133"/>
        <v>#DIV/0!</v>
      </c>
      <c r="O272" s="3" t="e">
        <f t="shared" si="116"/>
        <v>#DIV/0!</v>
      </c>
      <c r="P272" s="3">
        <f t="shared" si="134"/>
        <v>0</v>
      </c>
      <c r="Q272" s="3">
        <f t="shared" si="118"/>
        <v>0</v>
      </c>
      <c r="R272" s="3">
        <f t="shared" si="136"/>
        <v>0</v>
      </c>
      <c r="S272" s="3">
        <f t="shared" si="119"/>
        <v>0</v>
      </c>
      <c r="T272" s="3">
        <f t="shared" si="121"/>
        <v>0</v>
      </c>
      <c r="U272" s="3">
        <f t="shared" si="135"/>
        <v>0</v>
      </c>
      <c r="V272" s="3">
        <f t="shared" si="122"/>
        <v>0</v>
      </c>
      <c r="W272" s="3">
        <f t="shared" si="125"/>
        <v>0</v>
      </c>
      <c r="X272" s="3">
        <f t="shared" si="126"/>
        <v>0</v>
      </c>
      <c r="Y272" s="3">
        <f t="shared" si="127"/>
        <v>0</v>
      </c>
      <c r="Z272" s="3">
        <f t="shared" ref="Z272:Z335" si="138">AVERAGE(X259:X272)</f>
        <v>0</v>
      </c>
      <c r="AA272" s="3">
        <f t="shared" ref="AA272:AA335" si="139">AVERAGE(Y259:Y272)</f>
        <v>0</v>
      </c>
      <c r="AB272" s="3" t="e">
        <f t="shared" ref="AB272:AB335" si="140">100-(100/(1+(Z272/AA272)))</f>
        <v>#DIV/0!</v>
      </c>
      <c r="AC272" s="3" t="str">
        <f t="shared" ref="AC272:AC335" si="141">IF(
COUNT(AB259:AB272)&lt;14,
"",
IF(
MAX(AB259:AB272)=MIN(AB259:AB272),
0.5,
(AB272-MIN(AB259:AB272)) / (MAX(AB259:AB272)-MIN(AB259:AB272))
)
)</f>
        <v/>
      </c>
      <c r="AD272" s="3">
        <f t="shared" si="128"/>
        <v>0</v>
      </c>
      <c r="AE272" s="3">
        <f t="shared" si="123"/>
        <v>0</v>
      </c>
      <c r="AF272" s="3">
        <f t="shared" si="129"/>
        <v>0</v>
      </c>
      <c r="AG272" s="3" t="e">
        <f>AF272 / SUM(F$2:F272)</f>
        <v>#DIV/0!</v>
      </c>
      <c r="AH272" s="3" t="e">
        <f t="shared" si="130"/>
        <v>#DIV/0!</v>
      </c>
      <c r="AI272" s="3">
        <f t="shared" si="131"/>
        <v>0</v>
      </c>
      <c r="AJ272" s="3" t="e">
        <f t="shared" si="132"/>
        <v>#DIV/0!</v>
      </c>
      <c r="AK272" s="3" t="e">
        <f t="shared" si="117"/>
        <v>#DIV/0!</v>
      </c>
    </row>
    <row r="273" spans="1:37" x14ac:dyDescent="0.3">
      <c r="A273" s="24">
        <v>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f t="shared" si="120"/>
        <v>0</v>
      </c>
      <c r="H273" s="3">
        <f t="shared" si="137"/>
        <v>0</v>
      </c>
      <c r="I273" s="3">
        <f t="shared" si="112"/>
        <v>0</v>
      </c>
      <c r="J273" s="3">
        <f t="shared" si="113"/>
        <v>0</v>
      </c>
      <c r="K273" s="3">
        <f t="shared" si="114"/>
        <v>0</v>
      </c>
      <c r="L273" s="3">
        <f t="shared" si="115"/>
        <v>0</v>
      </c>
      <c r="M273" s="3" t="e">
        <f t="shared" si="124"/>
        <v>#DIV/0!</v>
      </c>
      <c r="N273" s="3" t="e">
        <f t="shared" si="133"/>
        <v>#DIV/0!</v>
      </c>
      <c r="O273" s="3" t="e">
        <f t="shared" si="116"/>
        <v>#DIV/0!</v>
      </c>
      <c r="P273" s="3">
        <f t="shared" si="134"/>
        <v>0</v>
      </c>
      <c r="Q273" s="3">
        <f t="shared" si="118"/>
        <v>0</v>
      </c>
      <c r="R273" s="3">
        <f t="shared" si="136"/>
        <v>0</v>
      </c>
      <c r="S273" s="3">
        <f t="shared" si="119"/>
        <v>0</v>
      </c>
      <c r="T273" s="3">
        <f t="shared" si="121"/>
        <v>0</v>
      </c>
      <c r="U273" s="3">
        <f t="shared" si="135"/>
        <v>0</v>
      </c>
      <c r="V273" s="3">
        <f t="shared" si="122"/>
        <v>0</v>
      </c>
      <c r="W273" s="3">
        <f t="shared" si="125"/>
        <v>0</v>
      </c>
      <c r="X273" s="3">
        <f t="shared" si="126"/>
        <v>0</v>
      </c>
      <c r="Y273" s="3">
        <f t="shared" si="127"/>
        <v>0</v>
      </c>
      <c r="Z273" s="3">
        <f t="shared" si="138"/>
        <v>0</v>
      </c>
      <c r="AA273" s="3">
        <f t="shared" si="139"/>
        <v>0</v>
      </c>
      <c r="AB273" s="3" t="e">
        <f t="shared" si="140"/>
        <v>#DIV/0!</v>
      </c>
      <c r="AC273" s="3" t="str">
        <f t="shared" si="141"/>
        <v/>
      </c>
      <c r="AD273" s="3">
        <f t="shared" si="128"/>
        <v>0</v>
      </c>
      <c r="AE273" s="3">
        <f t="shared" si="123"/>
        <v>0</v>
      </c>
      <c r="AF273" s="3">
        <f t="shared" si="129"/>
        <v>0</v>
      </c>
      <c r="AG273" s="3" t="e">
        <f>AF273 / SUM(F$2:F273)</f>
        <v>#DIV/0!</v>
      </c>
      <c r="AH273" s="3" t="e">
        <f t="shared" si="130"/>
        <v>#DIV/0!</v>
      </c>
      <c r="AI273" s="3">
        <f t="shared" si="131"/>
        <v>0</v>
      </c>
      <c r="AJ273" s="3" t="e">
        <f t="shared" si="132"/>
        <v>#DIV/0!</v>
      </c>
      <c r="AK273" s="3" t="e">
        <f t="shared" si="117"/>
        <v>#DIV/0!</v>
      </c>
    </row>
    <row r="274" spans="1:37" x14ac:dyDescent="0.3">
      <c r="A274" s="24">
        <v>0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f t="shared" si="120"/>
        <v>0</v>
      </c>
      <c r="H274" s="3">
        <f t="shared" si="137"/>
        <v>0</v>
      </c>
      <c r="I274" s="3">
        <f t="shared" si="112"/>
        <v>0</v>
      </c>
      <c r="J274" s="3">
        <f t="shared" si="113"/>
        <v>0</v>
      </c>
      <c r="K274" s="3">
        <f t="shared" si="114"/>
        <v>0</v>
      </c>
      <c r="L274" s="3">
        <f t="shared" si="115"/>
        <v>0</v>
      </c>
      <c r="M274" s="3" t="e">
        <f t="shared" si="124"/>
        <v>#DIV/0!</v>
      </c>
      <c r="N274" s="3" t="e">
        <f t="shared" si="133"/>
        <v>#DIV/0!</v>
      </c>
      <c r="O274" s="3" t="e">
        <f t="shared" si="116"/>
        <v>#DIV/0!</v>
      </c>
      <c r="P274" s="3">
        <f t="shared" si="134"/>
        <v>0</v>
      </c>
      <c r="Q274" s="3">
        <f t="shared" si="118"/>
        <v>0</v>
      </c>
      <c r="R274" s="3">
        <f t="shared" si="136"/>
        <v>0</v>
      </c>
      <c r="S274" s="3">
        <f t="shared" si="119"/>
        <v>0</v>
      </c>
      <c r="T274" s="3">
        <f t="shared" si="121"/>
        <v>0</v>
      </c>
      <c r="U274" s="3">
        <f t="shared" si="135"/>
        <v>0</v>
      </c>
      <c r="V274" s="3">
        <f t="shared" si="122"/>
        <v>0</v>
      </c>
      <c r="W274" s="3">
        <f t="shared" si="125"/>
        <v>0</v>
      </c>
      <c r="X274" s="3">
        <f t="shared" si="126"/>
        <v>0</v>
      </c>
      <c r="Y274" s="3">
        <f t="shared" si="127"/>
        <v>0</v>
      </c>
      <c r="Z274" s="3">
        <f t="shared" si="138"/>
        <v>0</v>
      </c>
      <c r="AA274" s="3">
        <f t="shared" si="139"/>
        <v>0</v>
      </c>
      <c r="AB274" s="3" t="e">
        <f t="shared" si="140"/>
        <v>#DIV/0!</v>
      </c>
      <c r="AC274" s="3" t="str">
        <f t="shared" si="141"/>
        <v/>
      </c>
      <c r="AD274" s="3">
        <f t="shared" si="128"/>
        <v>0</v>
      </c>
      <c r="AE274" s="3">
        <f t="shared" si="123"/>
        <v>0</v>
      </c>
      <c r="AF274" s="3">
        <f t="shared" si="129"/>
        <v>0</v>
      </c>
      <c r="AG274" s="3" t="e">
        <f>AF274 / SUM(F$2:F274)</f>
        <v>#DIV/0!</v>
      </c>
      <c r="AH274" s="3" t="e">
        <f t="shared" si="130"/>
        <v>#DIV/0!</v>
      </c>
      <c r="AI274" s="3">
        <f t="shared" si="131"/>
        <v>0</v>
      </c>
      <c r="AJ274" s="3" t="e">
        <f t="shared" si="132"/>
        <v>#DIV/0!</v>
      </c>
      <c r="AK274" s="3" t="e">
        <f t="shared" si="117"/>
        <v>#DIV/0!</v>
      </c>
    </row>
    <row r="275" spans="1:37" x14ac:dyDescent="0.3">
      <c r="A275" s="24">
        <v>0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f t="shared" si="120"/>
        <v>0</v>
      </c>
      <c r="H275" s="3">
        <f t="shared" si="137"/>
        <v>0</v>
      </c>
      <c r="I275" s="3">
        <f t="shared" si="112"/>
        <v>0</v>
      </c>
      <c r="J275" s="3">
        <f t="shared" si="113"/>
        <v>0</v>
      </c>
      <c r="K275" s="3">
        <f t="shared" si="114"/>
        <v>0</v>
      </c>
      <c r="L275" s="3">
        <f t="shared" si="115"/>
        <v>0</v>
      </c>
      <c r="M275" s="3" t="e">
        <f t="shared" si="124"/>
        <v>#DIV/0!</v>
      </c>
      <c r="N275" s="3" t="e">
        <f t="shared" si="133"/>
        <v>#DIV/0!</v>
      </c>
      <c r="O275" s="3" t="e">
        <f t="shared" si="116"/>
        <v>#DIV/0!</v>
      </c>
      <c r="P275" s="3">
        <f t="shared" si="134"/>
        <v>0</v>
      </c>
      <c r="Q275" s="3">
        <f t="shared" si="118"/>
        <v>0</v>
      </c>
      <c r="R275" s="3">
        <f t="shared" si="136"/>
        <v>0</v>
      </c>
      <c r="S275" s="3">
        <f t="shared" si="119"/>
        <v>0</v>
      </c>
      <c r="T275" s="3">
        <f t="shared" si="121"/>
        <v>0</v>
      </c>
      <c r="U275" s="3">
        <f t="shared" si="135"/>
        <v>0</v>
      </c>
      <c r="V275" s="3">
        <f t="shared" si="122"/>
        <v>0</v>
      </c>
      <c r="W275" s="3">
        <f t="shared" si="125"/>
        <v>0</v>
      </c>
      <c r="X275" s="3">
        <f t="shared" si="126"/>
        <v>0</v>
      </c>
      <c r="Y275" s="3">
        <f t="shared" si="127"/>
        <v>0</v>
      </c>
      <c r="Z275" s="3">
        <f t="shared" si="138"/>
        <v>0</v>
      </c>
      <c r="AA275" s="3">
        <f t="shared" si="139"/>
        <v>0</v>
      </c>
      <c r="AB275" s="3" t="e">
        <f t="shared" si="140"/>
        <v>#DIV/0!</v>
      </c>
      <c r="AC275" s="3" t="str">
        <f t="shared" si="141"/>
        <v/>
      </c>
      <c r="AD275" s="3">
        <f t="shared" si="128"/>
        <v>0</v>
      </c>
      <c r="AE275" s="3">
        <f t="shared" si="123"/>
        <v>0</v>
      </c>
      <c r="AF275" s="3">
        <f t="shared" si="129"/>
        <v>0</v>
      </c>
      <c r="AG275" s="3" t="e">
        <f>AF275 / SUM(F$2:F275)</f>
        <v>#DIV/0!</v>
      </c>
      <c r="AH275" s="3" t="e">
        <f t="shared" si="130"/>
        <v>#DIV/0!</v>
      </c>
      <c r="AI275" s="3">
        <f t="shared" si="131"/>
        <v>0</v>
      </c>
      <c r="AJ275" s="3" t="e">
        <f t="shared" si="132"/>
        <v>#DIV/0!</v>
      </c>
      <c r="AK275" s="3" t="e">
        <f t="shared" si="117"/>
        <v>#DIV/0!</v>
      </c>
    </row>
    <row r="276" spans="1:37" x14ac:dyDescent="0.3">
      <c r="A276" s="24">
        <v>0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f t="shared" si="120"/>
        <v>0</v>
      </c>
      <c r="H276" s="3">
        <f t="shared" si="137"/>
        <v>0</v>
      </c>
      <c r="I276" s="3">
        <f t="shared" si="112"/>
        <v>0</v>
      </c>
      <c r="J276" s="3">
        <f t="shared" si="113"/>
        <v>0</v>
      </c>
      <c r="K276" s="3">
        <f t="shared" si="114"/>
        <v>0</v>
      </c>
      <c r="L276" s="3">
        <f t="shared" si="115"/>
        <v>0</v>
      </c>
      <c r="M276" s="3" t="e">
        <f t="shared" si="124"/>
        <v>#DIV/0!</v>
      </c>
      <c r="N276" s="3" t="e">
        <f t="shared" si="133"/>
        <v>#DIV/0!</v>
      </c>
      <c r="O276" s="3" t="e">
        <f t="shared" si="116"/>
        <v>#DIV/0!</v>
      </c>
      <c r="P276" s="3">
        <f t="shared" si="134"/>
        <v>0</v>
      </c>
      <c r="Q276" s="3">
        <f t="shared" si="118"/>
        <v>0</v>
      </c>
      <c r="R276" s="3">
        <f t="shared" si="136"/>
        <v>0</v>
      </c>
      <c r="S276" s="3">
        <f t="shared" si="119"/>
        <v>0</v>
      </c>
      <c r="T276" s="3">
        <f t="shared" si="121"/>
        <v>0</v>
      </c>
      <c r="U276" s="3">
        <f t="shared" si="135"/>
        <v>0</v>
      </c>
      <c r="V276" s="3">
        <f t="shared" si="122"/>
        <v>0</v>
      </c>
      <c r="W276" s="3">
        <f t="shared" si="125"/>
        <v>0</v>
      </c>
      <c r="X276" s="3">
        <f t="shared" si="126"/>
        <v>0</v>
      </c>
      <c r="Y276" s="3">
        <f t="shared" si="127"/>
        <v>0</v>
      </c>
      <c r="Z276" s="3">
        <f t="shared" si="138"/>
        <v>0</v>
      </c>
      <c r="AA276" s="3">
        <f t="shared" si="139"/>
        <v>0</v>
      </c>
      <c r="AB276" s="3" t="e">
        <f t="shared" si="140"/>
        <v>#DIV/0!</v>
      </c>
      <c r="AC276" s="3" t="str">
        <f t="shared" si="141"/>
        <v/>
      </c>
      <c r="AD276" s="3">
        <f t="shared" si="128"/>
        <v>0</v>
      </c>
      <c r="AE276" s="3">
        <f t="shared" si="123"/>
        <v>0</v>
      </c>
      <c r="AF276" s="3">
        <f t="shared" si="129"/>
        <v>0</v>
      </c>
      <c r="AG276" s="3" t="e">
        <f>AF276 / SUM(F$2:F276)</f>
        <v>#DIV/0!</v>
      </c>
      <c r="AH276" s="3" t="e">
        <f t="shared" si="130"/>
        <v>#DIV/0!</v>
      </c>
      <c r="AI276" s="3">
        <f t="shared" si="131"/>
        <v>0</v>
      </c>
      <c r="AJ276" s="3" t="e">
        <f t="shared" si="132"/>
        <v>#DIV/0!</v>
      </c>
      <c r="AK276" s="3" t="e">
        <f t="shared" si="117"/>
        <v>#DIV/0!</v>
      </c>
    </row>
    <row r="277" spans="1:37" x14ac:dyDescent="0.3">
      <c r="A277" s="24">
        <v>0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f t="shared" si="120"/>
        <v>0</v>
      </c>
      <c r="H277" s="3">
        <f t="shared" si="137"/>
        <v>0</v>
      </c>
      <c r="I277" s="3">
        <f t="shared" si="112"/>
        <v>0</v>
      </c>
      <c r="J277" s="3">
        <f t="shared" si="113"/>
        <v>0</v>
      </c>
      <c r="K277" s="3">
        <f t="shared" si="114"/>
        <v>0</v>
      </c>
      <c r="L277" s="3">
        <f t="shared" si="115"/>
        <v>0</v>
      </c>
      <c r="M277" s="3" t="e">
        <f t="shared" si="124"/>
        <v>#DIV/0!</v>
      </c>
      <c r="N277" s="3" t="e">
        <f t="shared" si="133"/>
        <v>#DIV/0!</v>
      </c>
      <c r="O277" s="3" t="e">
        <f t="shared" si="116"/>
        <v>#DIV/0!</v>
      </c>
      <c r="P277" s="3">
        <f t="shared" si="134"/>
        <v>0</v>
      </c>
      <c r="Q277" s="3">
        <f t="shared" si="118"/>
        <v>0</v>
      </c>
      <c r="R277" s="3">
        <f t="shared" si="136"/>
        <v>0</v>
      </c>
      <c r="S277" s="3">
        <f t="shared" si="119"/>
        <v>0</v>
      </c>
      <c r="T277" s="3">
        <f t="shared" si="121"/>
        <v>0</v>
      </c>
      <c r="U277" s="3">
        <f t="shared" si="135"/>
        <v>0</v>
      </c>
      <c r="V277" s="3">
        <f t="shared" si="122"/>
        <v>0</v>
      </c>
      <c r="W277" s="3">
        <f t="shared" si="125"/>
        <v>0</v>
      </c>
      <c r="X277" s="3">
        <f t="shared" si="126"/>
        <v>0</v>
      </c>
      <c r="Y277" s="3">
        <f t="shared" si="127"/>
        <v>0</v>
      </c>
      <c r="Z277" s="3">
        <f t="shared" si="138"/>
        <v>0</v>
      </c>
      <c r="AA277" s="3">
        <f t="shared" si="139"/>
        <v>0</v>
      </c>
      <c r="AB277" s="3" t="e">
        <f t="shared" si="140"/>
        <v>#DIV/0!</v>
      </c>
      <c r="AC277" s="3" t="str">
        <f t="shared" si="141"/>
        <v/>
      </c>
      <c r="AD277" s="3">
        <f t="shared" si="128"/>
        <v>0</v>
      </c>
      <c r="AE277" s="3">
        <f t="shared" si="123"/>
        <v>0</v>
      </c>
      <c r="AF277" s="3">
        <f t="shared" si="129"/>
        <v>0</v>
      </c>
      <c r="AG277" s="3" t="e">
        <f>AF277 / SUM(F$2:F277)</f>
        <v>#DIV/0!</v>
      </c>
      <c r="AH277" s="3" t="e">
        <f t="shared" si="130"/>
        <v>#DIV/0!</v>
      </c>
      <c r="AI277" s="3">
        <f t="shared" si="131"/>
        <v>0</v>
      </c>
      <c r="AJ277" s="3" t="e">
        <f t="shared" si="132"/>
        <v>#DIV/0!</v>
      </c>
      <c r="AK277" s="3" t="e">
        <f t="shared" si="117"/>
        <v>#DIV/0!</v>
      </c>
    </row>
    <row r="278" spans="1:37" x14ac:dyDescent="0.3">
      <c r="A278" s="24">
        <v>0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f t="shared" si="120"/>
        <v>0</v>
      </c>
      <c r="H278" s="3">
        <f t="shared" si="137"/>
        <v>0</v>
      </c>
      <c r="I278" s="3">
        <f t="shared" ref="I278:I341" si="142">AVERAGE(E259:E278)</f>
        <v>0</v>
      </c>
      <c r="J278" s="3">
        <f t="shared" ref="J278:J341" si="143">_xlfn.STDEV.S(E259:E278)</f>
        <v>0</v>
      </c>
      <c r="K278" s="3">
        <f t="shared" ref="K278:K341" si="144">I278 + 2*J278</f>
        <v>0</v>
      </c>
      <c r="L278" s="3">
        <f t="shared" ref="L278:L341" si="145">I278 - 2*J278</f>
        <v>0</v>
      </c>
      <c r="M278" s="3" t="e">
        <f t="shared" si="124"/>
        <v>#DIV/0!</v>
      </c>
      <c r="N278" s="3" t="e">
        <f t="shared" si="133"/>
        <v>#DIV/0!</v>
      </c>
      <c r="O278" s="3" t="e">
        <f t="shared" ref="O278:O341" si="146">_xlfn.STDEV.S(M259:M278)*SQRT(20)</f>
        <v>#DIV/0!</v>
      </c>
      <c r="P278" s="3">
        <f t="shared" si="134"/>
        <v>0</v>
      </c>
      <c r="Q278" s="3">
        <f t="shared" si="118"/>
        <v>0</v>
      </c>
      <c r="R278" s="3">
        <f t="shared" si="136"/>
        <v>0</v>
      </c>
      <c r="S278" s="3">
        <f t="shared" si="119"/>
        <v>0</v>
      </c>
      <c r="T278" s="3">
        <f t="shared" si="121"/>
        <v>0</v>
      </c>
      <c r="U278" s="3">
        <f t="shared" si="135"/>
        <v>0</v>
      </c>
      <c r="V278" s="3">
        <f t="shared" si="122"/>
        <v>0</v>
      </c>
      <c r="W278" s="3">
        <f t="shared" si="125"/>
        <v>0</v>
      </c>
      <c r="X278" s="3">
        <f t="shared" si="126"/>
        <v>0</v>
      </c>
      <c r="Y278" s="3">
        <f t="shared" si="127"/>
        <v>0</v>
      </c>
      <c r="Z278" s="3">
        <f t="shared" si="138"/>
        <v>0</v>
      </c>
      <c r="AA278" s="3">
        <f t="shared" si="139"/>
        <v>0</v>
      </c>
      <c r="AB278" s="3" t="e">
        <f t="shared" si="140"/>
        <v>#DIV/0!</v>
      </c>
      <c r="AC278" s="3" t="str">
        <f t="shared" si="141"/>
        <v/>
      </c>
      <c r="AD278" s="3">
        <f t="shared" si="128"/>
        <v>0</v>
      </c>
      <c r="AE278" s="3">
        <f t="shared" si="123"/>
        <v>0</v>
      </c>
      <c r="AF278" s="3">
        <f t="shared" si="129"/>
        <v>0</v>
      </c>
      <c r="AG278" s="3" t="e">
        <f>AF278 / SUM(F$2:F278)</f>
        <v>#DIV/0!</v>
      </c>
      <c r="AH278" s="3" t="e">
        <f t="shared" si="130"/>
        <v>#DIV/0!</v>
      </c>
      <c r="AI278" s="3">
        <f t="shared" si="131"/>
        <v>0</v>
      </c>
      <c r="AJ278" s="3" t="e">
        <f t="shared" si="132"/>
        <v>#DIV/0!</v>
      </c>
      <c r="AK278" s="3" t="e">
        <f t="shared" ref="AK278:AK341" si="147">F259 / AVERAGE(F259:F278)</f>
        <v>#DIV/0!</v>
      </c>
    </row>
    <row r="279" spans="1:37" x14ac:dyDescent="0.3">
      <c r="A279" s="24">
        <v>0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f t="shared" si="120"/>
        <v>0</v>
      </c>
      <c r="H279" s="3">
        <f t="shared" si="137"/>
        <v>0</v>
      </c>
      <c r="I279" s="3">
        <f t="shared" si="142"/>
        <v>0</v>
      </c>
      <c r="J279" s="3">
        <f t="shared" si="143"/>
        <v>0</v>
      </c>
      <c r="K279" s="3">
        <f t="shared" si="144"/>
        <v>0</v>
      </c>
      <c r="L279" s="3">
        <f t="shared" si="145"/>
        <v>0</v>
      </c>
      <c r="M279" s="3" t="e">
        <f t="shared" si="124"/>
        <v>#DIV/0!</v>
      </c>
      <c r="N279" s="3" t="e">
        <f t="shared" si="133"/>
        <v>#DIV/0!</v>
      </c>
      <c r="O279" s="3" t="e">
        <f t="shared" si="146"/>
        <v>#DIV/0!</v>
      </c>
      <c r="P279" s="3">
        <f t="shared" si="134"/>
        <v>0</v>
      </c>
      <c r="Q279" s="3">
        <f t="shared" si="118"/>
        <v>0</v>
      </c>
      <c r="R279" s="3">
        <f t="shared" si="136"/>
        <v>0</v>
      </c>
      <c r="S279" s="3">
        <f t="shared" si="119"/>
        <v>0</v>
      </c>
      <c r="T279" s="3">
        <f t="shared" si="121"/>
        <v>0</v>
      </c>
      <c r="U279" s="3">
        <f t="shared" si="135"/>
        <v>0</v>
      </c>
      <c r="V279" s="3">
        <f t="shared" si="122"/>
        <v>0</v>
      </c>
      <c r="W279" s="3">
        <f t="shared" si="125"/>
        <v>0</v>
      </c>
      <c r="X279" s="3">
        <f t="shared" si="126"/>
        <v>0</v>
      </c>
      <c r="Y279" s="3">
        <f t="shared" si="127"/>
        <v>0</v>
      </c>
      <c r="Z279" s="3">
        <f t="shared" si="138"/>
        <v>0</v>
      </c>
      <c r="AA279" s="3">
        <f t="shared" si="139"/>
        <v>0</v>
      </c>
      <c r="AB279" s="3" t="e">
        <f t="shared" si="140"/>
        <v>#DIV/0!</v>
      </c>
      <c r="AC279" s="3" t="str">
        <f t="shared" si="141"/>
        <v/>
      </c>
      <c r="AD279" s="3">
        <f t="shared" si="128"/>
        <v>0</v>
      </c>
      <c r="AE279" s="3">
        <f t="shared" si="123"/>
        <v>0</v>
      </c>
      <c r="AF279" s="3">
        <f t="shared" si="129"/>
        <v>0</v>
      </c>
      <c r="AG279" s="3" t="e">
        <f>AF279 / SUM(F$2:F279)</f>
        <v>#DIV/0!</v>
      </c>
      <c r="AH279" s="3" t="e">
        <f t="shared" si="130"/>
        <v>#DIV/0!</v>
      </c>
      <c r="AI279" s="3">
        <f t="shared" si="131"/>
        <v>0</v>
      </c>
      <c r="AJ279" s="3" t="e">
        <f t="shared" si="132"/>
        <v>#DIV/0!</v>
      </c>
      <c r="AK279" s="3" t="e">
        <f t="shared" si="147"/>
        <v>#DIV/0!</v>
      </c>
    </row>
    <row r="280" spans="1:37" x14ac:dyDescent="0.3">
      <c r="A280" s="24">
        <v>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f t="shared" si="120"/>
        <v>0</v>
      </c>
      <c r="H280" s="3">
        <f t="shared" si="137"/>
        <v>0</v>
      </c>
      <c r="I280" s="3">
        <f t="shared" si="142"/>
        <v>0</v>
      </c>
      <c r="J280" s="3">
        <f t="shared" si="143"/>
        <v>0</v>
      </c>
      <c r="K280" s="3">
        <f t="shared" si="144"/>
        <v>0</v>
      </c>
      <c r="L280" s="3">
        <f t="shared" si="145"/>
        <v>0</v>
      </c>
      <c r="M280" s="3" t="e">
        <f t="shared" si="124"/>
        <v>#DIV/0!</v>
      </c>
      <c r="N280" s="3" t="e">
        <f t="shared" si="133"/>
        <v>#DIV/0!</v>
      </c>
      <c r="O280" s="3" t="e">
        <f t="shared" si="146"/>
        <v>#DIV/0!</v>
      </c>
      <c r="P280" s="3">
        <f t="shared" si="134"/>
        <v>0</v>
      </c>
      <c r="Q280" s="3">
        <f t="shared" ref="Q280:Q343" si="148">E280*(2/(21+1)) + Q279*(1-(2/(21+1)))</f>
        <v>0</v>
      </c>
      <c r="R280" s="3">
        <f t="shared" si="136"/>
        <v>0</v>
      </c>
      <c r="S280" s="3">
        <f t="shared" si="119"/>
        <v>0</v>
      </c>
      <c r="T280" s="3">
        <f t="shared" si="121"/>
        <v>0</v>
      </c>
      <c r="U280" s="3">
        <f t="shared" si="135"/>
        <v>0</v>
      </c>
      <c r="V280" s="3">
        <f t="shared" si="122"/>
        <v>0</v>
      </c>
      <c r="W280" s="3">
        <f t="shared" si="125"/>
        <v>0</v>
      </c>
      <c r="X280" s="3">
        <f t="shared" si="126"/>
        <v>0</v>
      </c>
      <c r="Y280" s="3">
        <f t="shared" si="127"/>
        <v>0</v>
      </c>
      <c r="Z280" s="3">
        <f t="shared" si="138"/>
        <v>0</v>
      </c>
      <c r="AA280" s="3">
        <f t="shared" si="139"/>
        <v>0</v>
      </c>
      <c r="AB280" s="3" t="e">
        <f t="shared" si="140"/>
        <v>#DIV/0!</v>
      </c>
      <c r="AC280" s="3" t="str">
        <f t="shared" si="141"/>
        <v/>
      </c>
      <c r="AD280" s="3">
        <f t="shared" si="128"/>
        <v>0</v>
      </c>
      <c r="AE280" s="3">
        <f t="shared" si="123"/>
        <v>0</v>
      </c>
      <c r="AF280" s="3">
        <f t="shared" si="129"/>
        <v>0</v>
      </c>
      <c r="AG280" s="3" t="e">
        <f>AF280 / SUM(F$2:F280)</f>
        <v>#DIV/0!</v>
      </c>
      <c r="AH280" s="3" t="e">
        <f t="shared" si="130"/>
        <v>#DIV/0!</v>
      </c>
      <c r="AI280" s="3">
        <f t="shared" si="131"/>
        <v>0</v>
      </c>
      <c r="AJ280" s="3" t="e">
        <f t="shared" si="132"/>
        <v>#DIV/0!</v>
      </c>
      <c r="AK280" s="3" t="e">
        <f t="shared" si="147"/>
        <v>#DIV/0!</v>
      </c>
    </row>
    <row r="281" spans="1:37" x14ac:dyDescent="0.3">
      <c r="A281" s="24">
        <v>0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f t="shared" si="120"/>
        <v>0</v>
      </c>
      <c r="H281" s="3">
        <f t="shared" si="137"/>
        <v>0</v>
      </c>
      <c r="I281" s="3">
        <f t="shared" si="142"/>
        <v>0</v>
      </c>
      <c r="J281" s="3">
        <f t="shared" si="143"/>
        <v>0</v>
      </c>
      <c r="K281" s="3">
        <f t="shared" si="144"/>
        <v>0</v>
      </c>
      <c r="L281" s="3">
        <f t="shared" si="145"/>
        <v>0</v>
      </c>
      <c r="M281" s="3" t="e">
        <f t="shared" si="124"/>
        <v>#DIV/0!</v>
      </c>
      <c r="N281" s="3" t="e">
        <f t="shared" si="133"/>
        <v>#DIV/0!</v>
      </c>
      <c r="O281" s="3" t="e">
        <f t="shared" si="146"/>
        <v>#DIV/0!</v>
      </c>
      <c r="P281" s="3">
        <f t="shared" si="134"/>
        <v>0</v>
      </c>
      <c r="Q281" s="3">
        <f t="shared" si="148"/>
        <v>0</v>
      </c>
      <c r="R281" s="3">
        <f t="shared" si="136"/>
        <v>0</v>
      </c>
      <c r="S281" s="3">
        <f t="shared" si="119"/>
        <v>0</v>
      </c>
      <c r="T281" s="3">
        <f t="shared" si="121"/>
        <v>0</v>
      </c>
      <c r="U281" s="3">
        <f t="shared" si="135"/>
        <v>0</v>
      </c>
      <c r="V281" s="3">
        <f t="shared" si="122"/>
        <v>0</v>
      </c>
      <c r="W281" s="3">
        <f t="shared" si="125"/>
        <v>0</v>
      </c>
      <c r="X281" s="3">
        <f t="shared" si="126"/>
        <v>0</v>
      </c>
      <c r="Y281" s="3">
        <f t="shared" si="127"/>
        <v>0</v>
      </c>
      <c r="Z281" s="3">
        <f t="shared" si="138"/>
        <v>0</v>
      </c>
      <c r="AA281" s="3">
        <f t="shared" si="139"/>
        <v>0</v>
      </c>
      <c r="AB281" s="3" t="e">
        <f t="shared" si="140"/>
        <v>#DIV/0!</v>
      </c>
      <c r="AC281" s="3" t="str">
        <f t="shared" si="141"/>
        <v/>
      </c>
      <c r="AD281" s="3">
        <f t="shared" si="128"/>
        <v>0</v>
      </c>
      <c r="AE281" s="3">
        <f t="shared" si="123"/>
        <v>0</v>
      </c>
      <c r="AF281" s="3">
        <f t="shared" si="129"/>
        <v>0</v>
      </c>
      <c r="AG281" s="3" t="e">
        <f>AF281 / SUM(F$2:F281)</f>
        <v>#DIV/0!</v>
      </c>
      <c r="AH281" s="3" t="e">
        <f t="shared" si="130"/>
        <v>#DIV/0!</v>
      </c>
      <c r="AI281" s="3">
        <f t="shared" si="131"/>
        <v>0</v>
      </c>
      <c r="AJ281" s="3" t="e">
        <f t="shared" si="132"/>
        <v>#DIV/0!</v>
      </c>
      <c r="AK281" s="3" t="e">
        <f t="shared" si="147"/>
        <v>#DIV/0!</v>
      </c>
    </row>
    <row r="282" spans="1:37" x14ac:dyDescent="0.3">
      <c r="A282" s="24">
        <v>0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f t="shared" si="120"/>
        <v>0</v>
      </c>
      <c r="H282" s="3">
        <f t="shared" si="137"/>
        <v>0</v>
      </c>
      <c r="I282" s="3">
        <f t="shared" si="142"/>
        <v>0</v>
      </c>
      <c r="J282" s="3">
        <f t="shared" si="143"/>
        <v>0</v>
      </c>
      <c r="K282" s="3">
        <f t="shared" si="144"/>
        <v>0</v>
      </c>
      <c r="L282" s="3">
        <f t="shared" si="145"/>
        <v>0</v>
      </c>
      <c r="M282" s="3" t="e">
        <f t="shared" si="124"/>
        <v>#DIV/0!</v>
      </c>
      <c r="N282" s="3" t="e">
        <f t="shared" si="133"/>
        <v>#DIV/0!</v>
      </c>
      <c r="O282" s="3" t="e">
        <f t="shared" si="146"/>
        <v>#DIV/0!</v>
      </c>
      <c r="P282" s="3">
        <f t="shared" si="134"/>
        <v>0</v>
      </c>
      <c r="Q282" s="3">
        <f t="shared" si="148"/>
        <v>0</v>
      </c>
      <c r="R282" s="3">
        <f t="shared" si="136"/>
        <v>0</v>
      </c>
      <c r="S282" s="3">
        <f t="shared" si="119"/>
        <v>0</v>
      </c>
      <c r="T282" s="3">
        <f t="shared" si="121"/>
        <v>0</v>
      </c>
      <c r="U282" s="3">
        <f t="shared" si="135"/>
        <v>0</v>
      </c>
      <c r="V282" s="3">
        <f t="shared" si="122"/>
        <v>0</v>
      </c>
      <c r="W282" s="3">
        <f t="shared" si="125"/>
        <v>0</v>
      </c>
      <c r="X282" s="3">
        <f t="shared" si="126"/>
        <v>0</v>
      </c>
      <c r="Y282" s="3">
        <f t="shared" si="127"/>
        <v>0</v>
      </c>
      <c r="Z282" s="3">
        <f t="shared" si="138"/>
        <v>0</v>
      </c>
      <c r="AA282" s="3">
        <f t="shared" si="139"/>
        <v>0</v>
      </c>
      <c r="AB282" s="3" t="e">
        <f t="shared" si="140"/>
        <v>#DIV/0!</v>
      </c>
      <c r="AC282" s="3" t="str">
        <f t="shared" si="141"/>
        <v/>
      </c>
      <c r="AD282" s="3">
        <f t="shared" si="128"/>
        <v>0</v>
      </c>
      <c r="AE282" s="3">
        <f t="shared" si="123"/>
        <v>0</v>
      </c>
      <c r="AF282" s="3">
        <f t="shared" si="129"/>
        <v>0</v>
      </c>
      <c r="AG282" s="3" t="e">
        <f>AF282 / SUM(F$2:F282)</f>
        <v>#DIV/0!</v>
      </c>
      <c r="AH282" s="3" t="e">
        <f t="shared" si="130"/>
        <v>#DIV/0!</v>
      </c>
      <c r="AI282" s="3">
        <f t="shared" si="131"/>
        <v>0</v>
      </c>
      <c r="AJ282" s="3" t="e">
        <f t="shared" si="132"/>
        <v>#DIV/0!</v>
      </c>
      <c r="AK282" s="3" t="e">
        <f t="shared" si="147"/>
        <v>#DIV/0!</v>
      </c>
    </row>
    <row r="283" spans="1:37" x14ac:dyDescent="0.3">
      <c r="A283" s="24">
        <v>0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f t="shared" si="120"/>
        <v>0</v>
      </c>
      <c r="H283" s="3">
        <f t="shared" si="137"/>
        <v>0</v>
      </c>
      <c r="I283" s="3">
        <f t="shared" si="142"/>
        <v>0</v>
      </c>
      <c r="J283" s="3">
        <f t="shared" si="143"/>
        <v>0</v>
      </c>
      <c r="K283" s="3">
        <f t="shared" si="144"/>
        <v>0</v>
      </c>
      <c r="L283" s="3">
        <f t="shared" si="145"/>
        <v>0</v>
      </c>
      <c r="M283" s="3" t="e">
        <f t="shared" si="124"/>
        <v>#DIV/0!</v>
      </c>
      <c r="N283" s="3" t="e">
        <f t="shared" si="133"/>
        <v>#DIV/0!</v>
      </c>
      <c r="O283" s="3" t="e">
        <f t="shared" si="146"/>
        <v>#DIV/0!</v>
      </c>
      <c r="P283" s="3">
        <f t="shared" si="134"/>
        <v>0</v>
      </c>
      <c r="Q283" s="3">
        <f t="shared" si="148"/>
        <v>0</v>
      </c>
      <c r="R283" s="3">
        <f t="shared" si="136"/>
        <v>0</v>
      </c>
      <c r="S283" s="3">
        <f t="shared" si="119"/>
        <v>0</v>
      </c>
      <c r="T283" s="3">
        <f t="shared" si="121"/>
        <v>0</v>
      </c>
      <c r="U283" s="3">
        <f t="shared" si="135"/>
        <v>0</v>
      </c>
      <c r="V283" s="3">
        <f t="shared" si="122"/>
        <v>0</v>
      </c>
      <c r="W283" s="3">
        <f t="shared" si="125"/>
        <v>0</v>
      </c>
      <c r="X283" s="3">
        <f t="shared" si="126"/>
        <v>0</v>
      </c>
      <c r="Y283" s="3">
        <f t="shared" si="127"/>
        <v>0</v>
      </c>
      <c r="Z283" s="3">
        <f t="shared" si="138"/>
        <v>0</v>
      </c>
      <c r="AA283" s="3">
        <f t="shared" si="139"/>
        <v>0</v>
      </c>
      <c r="AB283" s="3" t="e">
        <f t="shared" si="140"/>
        <v>#DIV/0!</v>
      </c>
      <c r="AC283" s="3" t="str">
        <f t="shared" si="141"/>
        <v/>
      </c>
      <c r="AD283" s="3">
        <f t="shared" si="128"/>
        <v>0</v>
      </c>
      <c r="AE283" s="3">
        <f t="shared" si="123"/>
        <v>0</v>
      </c>
      <c r="AF283" s="3">
        <f t="shared" si="129"/>
        <v>0</v>
      </c>
      <c r="AG283" s="3" t="e">
        <f>AF283 / SUM(F$2:F283)</f>
        <v>#DIV/0!</v>
      </c>
      <c r="AH283" s="3" t="e">
        <f t="shared" si="130"/>
        <v>#DIV/0!</v>
      </c>
      <c r="AI283" s="3">
        <f t="shared" si="131"/>
        <v>0</v>
      </c>
      <c r="AJ283" s="3" t="e">
        <f t="shared" si="132"/>
        <v>#DIV/0!</v>
      </c>
      <c r="AK283" s="3" t="e">
        <f t="shared" si="147"/>
        <v>#DIV/0!</v>
      </c>
    </row>
    <row r="284" spans="1:37" x14ac:dyDescent="0.3">
      <c r="A284" s="24">
        <v>0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f t="shared" si="120"/>
        <v>0</v>
      </c>
      <c r="H284" s="3">
        <f t="shared" si="137"/>
        <v>0</v>
      </c>
      <c r="I284" s="3">
        <f t="shared" si="142"/>
        <v>0</v>
      </c>
      <c r="J284" s="3">
        <f t="shared" si="143"/>
        <v>0</v>
      </c>
      <c r="K284" s="3">
        <f t="shared" si="144"/>
        <v>0</v>
      </c>
      <c r="L284" s="3">
        <f t="shared" si="145"/>
        <v>0</v>
      </c>
      <c r="M284" s="3" t="e">
        <f t="shared" si="124"/>
        <v>#DIV/0!</v>
      </c>
      <c r="N284" s="3" t="e">
        <f t="shared" si="133"/>
        <v>#DIV/0!</v>
      </c>
      <c r="O284" s="3" t="e">
        <f t="shared" si="146"/>
        <v>#DIV/0!</v>
      </c>
      <c r="P284" s="3">
        <f t="shared" si="134"/>
        <v>0</v>
      </c>
      <c r="Q284" s="3">
        <f t="shared" si="148"/>
        <v>0</v>
      </c>
      <c r="R284" s="3">
        <f t="shared" si="136"/>
        <v>0</v>
      </c>
      <c r="S284" s="3">
        <f t="shared" si="119"/>
        <v>0</v>
      </c>
      <c r="T284" s="3">
        <f t="shared" si="121"/>
        <v>0</v>
      </c>
      <c r="U284" s="3">
        <f t="shared" si="135"/>
        <v>0</v>
      </c>
      <c r="V284" s="3">
        <f t="shared" si="122"/>
        <v>0</v>
      </c>
      <c r="W284" s="3">
        <f t="shared" si="125"/>
        <v>0</v>
      </c>
      <c r="X284" s="3">
        <f t="shared" si="126"/>
        <v>0</v>
      </c>
      <c r="Y284" s="3">
        <f t="shared" si="127"/>
        <v>0</v>
      </c>
      <c r="Z284" s="3">
        <f t="shared" si="138"/>
        <v>0</v>
      </c>
      <c r="AA284" s="3">
        <f t="shared" si="139"/>
        <v>0</v>
      </c>
      <c r="AB284" s="3" t="e">
        <f t="shared" si="140"/>
        <v>#DIV/0!</v>
      </c>
      <c r="AC284" s="3" t="str">
        <f t="shared" si="141"/>
        <v/>
      </c>
      <c r="AD284" s="3">
        <f t="shared" si="128"/>
        <v>0</v>
      </c>
      <c r="AE284" s="3">
        <f t="shared" si="123"/>
        <v>0</v>
      </c>
      <c r="AF284" s="3">
        <f t="shared" si="129"/>
        <v>0</v>
      </c>
      <c r="AG284" s="3" t="e">
        <f>AF284 / SUM(F$2:F284)</f>
        <v>#DIV/0!</v>
      </c>
      <c r="AH284" s="3" t="e">
        <f t="shared" si="130"/>
        <v>#DIV/0!</v>
      </c>
      <c r="AI284" s="3">
        <f t="shared" si="131"/>
        <v>0</v>
      </c>
      <c r="AJ284" s="3" t="e">
        <f t="shared" si="132"/>
        <v>#DIV/0!</v>
      </c>
      <c r="AK284" s="3" t="e">
        <f t="shared" si="147"/>
        <v>#DIV/0!</v>
      </c>
    </row>
    <row r="285" spans="1:37" x14ac:dyDescent="0.3">
      <c r="A285" s="24">
        <v>0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f t="shared" si="120"/>
        <v>0</v>
      </c>
      <c r="H285" s="3">
        <f t="shared" si="137"/>
        <v>0</v>
      </c>
      <c r="I285" s="3">
        <f t="shared" si="142"/>
        <v>0</v>
      </c>
      <c r="J285" s="3">
        <f t="shared" si="143"/>
        <v>0</v>
      </c>
      <c r="K285" s="3">
        <f t="shared" si="144"/>
        <v>0</v>
      </c>
      <c r="L285" s="3">
        <f t="shared" si="145"/>
        <v>0</v>
      </c>
      <c r="M285" s="3" t="e">
        <f t="shared" si="124"/>
        <v>#DIV/0!</v>
      </c>
      <c r="N285" s="3" t="e">
        <f t="shared" si="133"/>
        <v>#DIV/0!</v>
      </c>
      <c r="O285" s="3" t="e">
        <f t="shared" si="146"/>
        <v>#DIV/0!</v>
      </c>
      <c r="P285" s="3">
        <f t="shared" si="134"/>
        <v>0</v>
      </c>
      <c r="Q285" s="3">
        <f t="shared" si="148"/>
        <v>0</v>
      </c>
      <c r="R285" s="3">
        <f t="shared" si="136"/>
        <v>0</v>
      </c>
      <c r="S285" s="3">
        <f t="shared" ref="S285:S348" si="149">E285*(2/(26+1)) + S284*(1-(2/(26+1)))</f>
        <v>0</v>
      </c>
      <c r="T285" s="3">
        <f t="shared" si="121"/>
        <v>0</v>
      </c>
      <c r="U285" s="3">
        <f t="shared" si="135"/>
        <v>0</v>
      </c>
      <c r="V285" s="3">
        <f t="shared" si="122"/>
        <v>0</v>
      </c>
      <c r="W285" s="3">
        <f t="shared" si="125"/>
        <v>0</v>
      </c>
      <c r="X285" s="3">
        <f t="shared" si="126"/>
        <v>0</v>
      </c>
      <c r="Y285" s="3">
        <f t="shared" si="127"/>
        <v>0</v>
      </c>
      <c r="Z285" s="3">
        <f t="shared" si="138"/>
        <v>0</v>
      </c>
      <c r="AA285" s="3">
        <f t="shared" si="139"/>
        <v>0</v>
      </c>
      <c r="AB285" s="3" t="e">
        <f t="shared" si="140"/>
        <v>#DIV/0!</v>
      </c>
      <c r="AC285" s="3" t="str">
        <f t="shared" si="141"/>
        <v/>
      </c>
      <c r="AD285" s="3">
        <f t="shared" si="128"/>
        <v>0</v>
      </c>
      <c r="AE285" s="3">
        <f t="shared" si="123"/>
        <v>0</v>
      </c>
      <c r="AF285" s="3">
        <f t="shared" si="129"/>
        <v>0</v>
      </c>
      <c r="AG285" s="3" t="e">
        <f>AF285 / SUM(F$2:F285)</f>
        <v>#DIV/0!</v>
      </c>
      <c r="AH285" s="3" t="e">
        <f t="shared" si="130"/>
        <v>#DIV/0!</v>
      </c>
      <c r="AI285" s="3">
        <f t="shared" si="131"/>
        <v>0</v>
      </c>
      <c r="AJ285" s="3" t="e">
        <f t="shared" si="132"/>
        <v>#DIV/0!</v>
      </c>
      <c r="AK285" s="3" t="e">
        <f t="shared" si="147"/>
        <v>#DIV/0!</v>
      </c>
    </row>
    <row r="286" spans="1:37" x14ac:dyDescent="0.3">
      <c r="A286" s="24">
        <v>0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f t="shared" si="120"/>
        <v>0</v>
      </c>
      <c r="H286" s="3">
        <f t="shared" si="137"/>
        <v>0</v>
      </c>
      <c r="I286" s="3">
        <f t="shared" si="142"/>
        <v>0</v>
      </c>
      <c r="J286" s="3">
        <f t="shared" si="143"/>
        <v>0</v>
      </c>
      <c r="K286" s="3">
        <f t="shared" si="144"/>
        <v>0</v>
      </c>
      <c r="L286" s="3">
        <f t="shared" si="145"/>
        <v>0</v>
      </c>
      <c r="M286" s="3" t="e">
        <f t="shared" si="124"/>
        <v>#DIV/0!</v>
      </c>
      <c r="N286" s="3" t="e">
        <f t="shared" si="133"/>
        <v>#DIV/0!</v>
      </c>
      <c r="O286" s="3" t="e">
        <f t="shared" si="146"/>
        <v>#DIV/0!</v>
      </c>
      <c r="P286" s="3">
        <f t="shared" si="134"/>
        <v>0</v>
      </c>
      <c r="Q286" s="3">
        <f t="shared" si="148"/>
        <v>0</v>
      </c>
      <c r="R286" s="3">
        <f t="shared" si="136"/>
        <v>0</v>
      </c>
      <c r="S286" s="3">
        <f t="shared" si="149"/>
        <v>0</v>
      </c>
      <c r="T286" s="3">
        <f t="shared" si="121"/>
        <v>0</v>
      </c>
      <c r="U286" s="3">
        <f t="shared" si="135"/>
        <v>0</v>
      </c>
      <c r="V286" s="3">
        <f t="shared" si="122"/>
        <v>0</v>
      </c>
      <c r="W286" s="3">
        <f t="shared" si="125"/>
        <v>0</v>
      </c>
      <c r="X286" s="3">
        <f t="shared" si="126"/>
        <v>0</v>
      </c>
      <c r="Y286" s="3">
        <f t="shared" si="127"/>
        <v>0</v>
      </c>
      <c r="Z286" s="3">
        <f t="shared" si="138"/>
        <v>0</v>
      </c>
      <c r="AA286" s="3">
        <f t="shared" si="139"/>
        <v>0</v>
      </c>
      <c r="AB286" s="3" t="e">
        <f t="shared" si="140"/>
        <v>#DIV/0!</v>
      </c>
      <c r="AC286" s="3" t="str">
        <f t="shared" si="141"/>
        <v/>
      </c>
      <c r="AD286" s="3">
        <f t="shared" si="128"/>
        <v>0</v>
      </c>
      <c r="AE286" s="3">
        <f t="shared" si="123"/>
        <v>0</v>
      </c>
      <c r="AF286" s="3">
        <f t="shared" si="129"/>
        <v>0</v>
      </c>
      <c r="AG286" s="3" t="e">
        <f>AF286 / SUM(F$2:F286)</f>
        <v>#DIV/0!</v>
      </c>
      <c r="AH286" s="3" t="e">
        <f t="shared" si="130"/>
        <v>#DIV/0!</v>
      </c>
      <c r="AI286" s="3">
        <f t="shared" si="131"/>
        <v>0</v>
      </c>
      <c r="AJ286" s="3" t="e">
        <f t="shared" si="132"/>
        <v>#DIV/0!</v>
      </c>
      <c r="AK286" s="3" t="e">
        <f t="shared" si="147"/>
        <v>#DIV/0!</v>
      </c>
    </row>
    <row r="287" spans="1:37" x14ac:dyDescent="0.3">
      <c r="A287" s="24">
        <v>0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f t="shared" si="120"/>
        <v>0</v>
      </c>
      <c r="H287" s="3">
        <f t="shared" si="137"/>
        <v>0</v>
      </c>
      <c r="I287" s="3">
        <f t="shared" si="142"/>
        <v>0</v>
      </c>
      <c r="J287" s="3">
        <f t="shared" si="143"/>
        <v>0</v>
      </c>
      <c r="K287" s="3">
        <f t="shared" si="144"/>
        <v>0</v>
      </c>
      <c r="L287" s="3">
        <f t="shared" si="145"/>
        <v>0</v>
      </c>
      <c r="M287" s="3" t="e">
        <f t="shared" si="124"/>
        <v>#DIV/0!</v>
      </c>
      <c r="N287" s="3" t="e">
        <f t="shared" si="133"/>
        <v>#DIV/0!</v>
      </c>
      <c r="O287" s="3" t="e">
        <f t="shared" si="146"/>
        <v>#DIV/0!</v>
      </c>
      <c r="P287" s="3">
        <f t="shared" si="134"/>
        <v>0</v>
      </c>
      <c r="Q287" s="3">
        <f t="shared" si="148"/>
        <v>0</v>
      </c>
      <c r="R287" s="3">
        <f t="shared" si="136"/>
        <v>0</v>
      </c>
      <c r="S287" s="3">
        <f t="shared" si="149"/>
        <v>0</v>
      </c>
      <c r="T287" s="3">
        <f t="shared" si="121"/>
        <v>0</v>
      </c>
      <c r="U287" s="3">
        <f t="shared" si="135"/>
        <v>0</v>
      </c>
      <c r="V287" s="3">
        <f t="shared" si="122"/>
        <v>0</v>
      </c>
      <c r="W287" s="3">
        <f t="shared" si="125"/>
        <v>0</v>
      </c>
      <c r="X287" s="3">
        <f t="shared" si="126"/>
        <v>0</v>
      </c>
      <c r="Y287" s="3">
        <f t="shared" si="127"/>
        <v>0</v>
      </c>
      <c r="Z287" s="3">
        <f t="shared" si="138"/>
        <v>0</v>
      </c>
      <c r="AA287" s="3">
        <f t="shared" si="139"/>
        <v>0</v>
      </c>
      <c r="AB287" s="3" t="e">
        <f t="shared" si="140"/>
        <v>#DIV/0!</v>
      </c>
      <c r="AC287" s="3" t="str">
        <f t="shared" si="141"/>
        <v/>
      </c>
      <c r="AD287" s="3">
        <f t="shared" si="128"/>
        <v>0</v>
      </c>
      <c r="AE287" s="3">
        <f t="shared" si="123"/>
        <v>0</v>
      </c>
      <c r="AF287" s="3">
        <f t="shared" si="129"/>
        <v>0</v>
      </c>
      <c r="AG287" s="3" t="e">
        <f>AF287 / SUM(F$2:F287)</f>
        <v>#DIV/0!</v>
      </c>
      <c r="AH287" s="3" t="e">
        <f t="shared" si="130"/>
        <v>#DIV/0!</v>
      </c>
      <c r="AI287" s="3">
        <f t="shared" si="131"/>
        <v>0</v>
      </c>
      <c r="AJ287" s="3" t="e">
        <f t="shared" si="132"/>
        <v>#DIV/0!</v>
      </c>
      <c r="AK287" s="3" t="e">
        <f t="shared" si="147"/>
        <v>#DIV/0!</v>
      </c>
    </row>
    <row r="288" spans="1:37" x14ac:dyDescent="0.3">
      <c r="A288" s="24">
        <v>0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f t="shared" si="120"/>
        <v>0</v>
      </c>
      <c r="H288" s="3">
        <f t="shared" si="137"/>
        <v>0</v>
      </c>
      <c r="I288" s="3">
        <f t="shared" si="142"/>
        <v>0</v>
      </c>
      <c r="J288" s="3">
        <f t="shared" si="143"/>
        <v>0</v>
      </c>
      <c r="K288" s="3">
        <f t="shared" si="144"/>
        <v>0</v>
      </c>
      <c r="L288" s="3">
        <f t="shared" si="145"/>
        <v>0</v>
      </c>
      <c r="M288" s="3" t="e">
        <f t="shared" si="124"/>
        <v>#DIV/0!</v>
      </c>
      <c r="N288" s="3" t="e">
        <f t="shared" si="133"/>
        <v>#DIV/0!</v>
      </c>
      <c r="O288" s="3" t="e">
        <f t="shared" si="146"/>
        <v>#DIV/0!</v>
      </c>
      <c r="P288" s="3">
        <f t="shared" si="134"/>
        <v>0</v>
      </c>
      <c r="Q288" s="3">
        <f t="shared" si="148"/>
        <v>0</v>
      </c>
      <c r="R288" s="3">
        <f t="shared" si="136"/>
        <v>0</v>
      </c>
      <c r="S288" s="3">
        <f t="shared" si="149"/>
        <v>0</v>
      </c>
      <c r="T288" s="3">
        <f t="shared" si="121"/>
        <v>0</v>
      </c>
      <c r="U288" s="3">
        <f t="shared" si="135"/>
        <v>0</v>
      </c>
      <c r="V288" s="3">
        <f t="shared" si="122"/>
        <v>0</v>
      </c>
      <c r="W288" s="3">
        <f t="shared" si="125"/>
        <v>0</v>
      </c>
      <c r="X288" s="3">
        <f t="shared" si="126"/>
        <v>0</v>
      </c>
      <c r="Y288" s="3">
        <f t="shared" si="127"/>
        <v>0</v>
      </c>
      <c r="Z288" s="3">
        <f t="shared" si="138"/>
        <v>0</v>
      </c>
      <c r="AA288" s="3">
        <f t="shared" si="139"/>
        <v>0</v>
      </c>
      <c r="AB288" s="3" t="e">
        <f t="shared" si="140"/>
        <v>#DIV/0!</v>
      </c>
      <c r="AC288" s="3" t="str">
        <f t="shared" si="141"/>
        <v/>
      </c>
      <c r="AD288" s="3">
        <f t="shared" si="128"/>
        <v>0</v>
      </c>
      <c r="AE288" s="3">
        <f t="shared" si="123"/>
        <v>0</v>
      </c>
      <c r="AF288" s="3">
        <f t="shared" si="129"/>
        <v>0</v>
      </c>
      <c r="AG288" s="3" t="e">
        <f>AF288 / SUM(F$2:F288)</f>
        <v>#DIV/0!</v>
      </c>
      <c r="AH288" s="3" t="e">
        <f t="shared" si="130"/>
        <v>#DIV/0!</v>
      </c>
      <c r="AI288" s="3">
        <f t="shared" si="131"/>
        <v>0</v>
      </c>
      <c r="AJ288" s="3" t="e">
        <f t="shared" si="132"/>
        <v>#DIV/0!</v>
      </c>
      <c r="AK288" s="3" t="e">
        <f t="shared" si="147"/>
        <v>#DIV/0!</v>
      </c>
    </row>
    <row r="289" spans="1:37" x14ac:dyDescent="0.3">
      <c r="A289" s="24">
        <v>0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f t="shared" si="120"/>
        <v>0</v>
      </c>
      <c r="H289" s="3">
        <f t="shared" si="137"/>
        <v>0</v>
      </c>
      <c r="I289" s="3">
        <f t="shared" si="142"/>
        <v>0</v>
      </c>
      <c r="J289" s="3">
        <f t="shared" si="143"/>
        <v>0</v>
      </c>
      <c r="K289" s="3">
        <f t="shared" si="144"/>
        <v>0</v>
      </c>
      <c r="L289" s="3">
        <f t="shared" si="145"/>
        <v>0</v>
      </c>
      <c r="M289" s="3" t="e">
        <f t="shared" si="124"/>
        <v>#DIV/0!</v>
      </c>
      <c r="N289" s="3" t="e">
        <f t="shared" si="133"/>
        <v>#DIV/0!</v>
      </c>
      <c r="O289" s="3" t="e">
        <f t="shared" si="146"/>
        <v>#DIV/0!</v>
      </c>
      <c r="P289" s="3">
        <f t="shared" si="134"/>
        <v>0</v>
      </c>
      <c r="Q289" s="3">
        <f t="shared" si="148"/>
        <v>0</v>
      </c>
      <c r="R289" s="3">
        <f t="shared" si="136"/>
        <v>0</v>
      </c>
      <c r="S289" s="3">
        <f t="shared" si="149"/>
        <v>0</v>
      </c>
      <c r="T289" s="3">
        <f t="shared" si="121"/>
        <v>0</v>
      </c>
      <c r="U289" s="3">
        <f t="shared" si="135"/>
        <v>0</v>
      </c>
      <c r="V289" s="3">
        <f t="shared" si="122"/>
        <v>0</v>
      </c>
      <c r="W289" s="3">
        <f t="shared" si="125"/>
        <v>0</v>
      </c>
      <c r="X289" s="3">
        <f t="shared" si="126"/>
        <v>0</v>
      </c>
      <c r="Y289" s="3">
        <f t="shared" si="127"/>
        <v>0</v>
      </c>
      <c r="Z289" s="3">
        <f t="shared" si="138"/>
        <v>0</v>
      </c>
      <c r="AA289" s="3">
        <f t="shared" si="139"/>
        <v>0</v>
      </c>
      <c r="AB289" s="3" t="e">
        <f t="shared" si="140"/>
        <v>#DIV/0!</v>
      </c>
      <c r="AC289" s="3" t="str">
        <f t="shared" si="141"/>
        <v/>
      </c>
      <c r="AD289" s="3">
        <f t="shared" si="128"/>
        <v>0</v>
      </c>
      <c r="AE289" s="3">
        <f t="shared" si="123"/>
        <v>0</v>
      </c>
      <c r="AF289" s="3">
        <f t="shared" si="129"/>
        <v>0</v>
      </c>
      <c r="AG289" s="3" t="e">
        <f>AF289 / SUM(F$2:F289)</f>
        <v>#DIV/0!</v>
      </c>
      <c r="AH289" s="3" t="e">
        <f t="shared" si="130"/>
        <v>#DIV/0!</v>
      </c>
      <c r="AI289" s="3">
        <f t="shared" si="131"/>
        <v>0</v>
      </c>
      <c r="AJ289" s="3" t="e">
        <f t="shared" si="132"/>
        <v>#DIV/0!</v>
      </c>
      <c r="AK289" s="3" t="e">
        <f t="shared" si="147"/>
        <v>#DIV/0!</v>
      </c>
    </row>
    <row r="290" spans="1:37" x14ac:dyDescent="0.3">
      <c r="A290" s="24">
        <v>0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f t="shared" si="120"/>
        <v>0</v>
      </c>
      <c r="H290" s="3">
        <f t="shared" si="137"/>
        <v>0</v>
      </c>
      <c r="I290" s="3">
        <f t="shared" si="142"/>
        <v>0</v>
      </c>
      <c r="J290" s="3">
        <f t="shared" si="143"/>
        <v>0</v>
      </c>
      <c r="K290" s="3">
        <f t="shared" si="144"/>
        <v>0</v>
      </c>
      <c r="L290" s="3">
        <f t="shared" si="145"/>
        <v>0</v>
      </c>
      <c r="M290" s="3" t="e">
        <f t="shared" si="124"/>
        <v>#DIV/0!</v>
      </c>
      <c r="N290" s="3" t="e">
        <f t="shared" si="133"/>
        <v>#DIV/0!</v>
      </c>
      <c r="O290" s="3" t="e">
        <f t="shared" si="146"/>
        <v>#DIV/0!</v>
      </c>
      <c r="P290" s="3">
        <f t="shared" si="134"/>
        <v>0</v>
      </c>
      <c r="Q290" s="3">
        <f t="shared" si="148"/>
        <v>0</v>
      </c>
      <c r="R290" s="3">
        <f t="shared" si="136"/>
        <v>0</v>
      </c>
      <c r="S290" s="3">
        <f t="shared" si="149"/>
        <v>0</v>
      </c>
      <c r="T290" s="3">
        <f t="shared" si="121"/>
        <v>0</v>
      </c>
      <c r="U290" s="3">
        <f t="shared" si="135"/>
        <v>0</v>
      </c>
      <c r="V290" s="3">
        <f t="shared" si="122"/>
        <v>0</v>
      </c>
      <c r="W290" s="3">
        <f t="shared" si="125"/>
        <v>0</v>
      </c>
      <c r="X290" s="3">
        <f t="shared" si="126"/>
        <v>0</v>
      </c>
      <c r="Y290" s="3">
        <f t="shared" si="127"/>
        <v>0</v>
      </c>
      <c r="Z290" s="3">
        <f t="shared" si="138"/>
        <v>0</v>
      </c>
      <c r="AA290" s="3">
        <f t="shared" si="139"/>
        <v>0</v>
      </c>
      <c r="AB290" s="3" t="e">
        <f t="shared" si="140"/>
        <v>#DIV/0!</v>
      </c>
      <c r="AC290" s="3" t="str">
        <f t="shared" si="141"/>
        <v/>
      </c>
      <c r="AD290" s="3">
        <f t="shared" si="128"/>
        <v>0</v>
      </c>
      <c r="AE290" s="3">
        <f t="shared" si="123"/>
        <v>0</v>
      </c>
      <c r="AF290" s="3">
        <f t="shared" si="129"/>
        <v>0</v>
      </c>
      <c r="AG290" s="3" t="e">
        <f>AF290 / SUM(F$2:F290)</f>
        <v>#DIV/0!</v>
      </c>
      <c r="AH290" s="3" t="e">
        <f t="shared" si="130"/>
        <v>#DIV/0!</v>
      </c>
      <c r="AI290" s="3">
        <f t="shared" si="131"/>
        <v>0</v>
      </c>
      <c r="AJ290" s="3" t="e">
        <f t="shared" si="132"/>
        <v>#DIV/0!</v>
      </c>
      <c r="AK290" s="3" t="e">
        <f t="shared" si="147"/>
        <v>#DIV/0!</v>
      </c>
    </row>
    <row r="291" spans="1:37" x14ac:dyDescent="0.3">
      <c r="A291" s="24">
        <v>0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f t="shared" si="120"/>
        <v>0</v>
      </c>
      <c r="H291" s="3">
        <f t="shared" si="137"/>
        <v>0</v>
      </c>
      <c r="I291" s="3">
        <f t="shared" si="142"/>
        <v>0</v>
      </c>
      <c r="J291" s="3">
        <f t="shared" si="143"/>
        <v>0</v>
      </c>
      <c r="K291" s="3">
        <f t="shared" si="144"/>
        <v>0</v>
      </c>
      <c r="L291" s="3">
        <f t="shared" si="145"/>
        <v>0</v>
      </c>
      <c r="M291" s="3" t="e">
        <f t="shared" si="124"/>
        <v>#DIV/0!</v>
      </c>
      <c r="N291" s="3" t="e">
        <f t="shared" si="133"/>
        <v>#DIV/0!</v>
      </c>
      <c r="O291" s="3" t="e">
        <f t="shared" si="146"/>
        <v>#DIV/0!</v>
      </c>
      <c r="P291" s="3">
        <f t="shared" si="134"/>
        <v>0</v>
      </c>
      <c r="Q291" s="3">
        <f t="shared" si="148"/>
        <v>0</v>
      </c>
      <c r="R291" s="3">
        <f t="shared" si="136"/>
        <v>0</v>
      </c>
      <c r="S291" s="3">
        <f t="shared" si="149"/>
        <v>0</v>
      </c>
      <c r="T291" s="3">
        <f t="shared" si="121"/>
        <v>0</v>
      </c>
      <c r="U291" s="3">
        <f t="shared" si="135"/>
        <v>0</v>
      </c>
      <c r="V291" s="3">
        <f t="shared" si="122"/>
        <v>0</v>
      </c>
      <c r="W291" s="3">
        <f t="shared" si="125"/>
        <v>0</v>
      </c>
      <c r="X291" s="3">
        <f t="shared" si="126"/>
        <v>0</v>
      </c>
      <c r="Y291" s="3">
        <f t="shared" si="127"/>
        <v>0</v>
      </c>
      <c r="Z291" s="3">
        <f t="shared" si="138"/>
        <v>0</v>
      </c>
      <c r="AA291" s="3">
        <f t="shared" si="139"/>
        <v>0</v>
      </c>
      <c r="AB291" s="3" t="e">
        <f t="shared" si="140"/>
        <v>#DIV/0!</v>
      </c>
      <c r="AC291" s="3" t="str">
        <f t="shared" si="141"/>
        <v/>
      </c>
      <c r="AD291" s="3">
        <f t="shared" si="128"/>
        <v>0</v>
      </c>
      <c r="AE291" s="3">
        <f t="shared" si="123"/>
        <v>0</v>
      </c>
      <c r="AF291" s="3">
        <f t="shared" si="129"/>
        <v>0</v>
      </c>
      <c r="AG291" s="3" t="e">
        <f>AF291 / SUM(F$2:F291)</f>
        <v>#DIV/0!</v>
      </c>
      <c r="AH291" s="3" t="e">
        <f t="shared" si="130"/>
        <v>#DIV/0!</v>
      </c>
      <c r="AI291" s="3">
        <f t="shared" si="131"/>
        <v>0</v>
      </c>
      <c r="AJ291" s="3" t="e">
        <f t="shared" si="132"/>
        <v>#DIV/0!</v>
      </c>
      <c r="AK291" s="3" t="e">
        <f t="shared" si="147"/>
        <v>#DIV/0!</v>
      </c>
    </row>
    <row r="292" spans="1:37" x14ac:dyDescent="0.3">
      <c r="A292" s="24">
        <v>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f t="shared" si="120"/>
        <v>0</v>
      </c>
      <c r="H292" s="3">
        <f t="shared" si="137"/>
        <v>0</v>
      </c>
      <c r="I292" s="3">
        <f t="shared" si="142"/>
        <v>0</v>
      </c>
      <c r="J292" s="3">
        <f t="shared" si="143"/>
        <v>0</v>
      </c>
      <c r="K292" s="3">
        <f t="shared" si="144"/>
        <v>0</v>
      </c>
      <c r="L292" s="3">
        <f t="shared" si="145"/>
        <v>0</v>
      </c>
      <c r="M292" s="3" t="e">
        <f t="shared" si="124"/>
        <v>#DIV/0!</v>
      </c>
      <c r="N292" s="3" t="e">
        <f t="shared" si="133"/>
        <v>#DIV/0!</v>
      </c>
      <c r="O292" s="3" t="e">
        <f t="shared" si="146"/>
        <v>#DIV/0!</v>
      </c>
      <c r="P292" s="3">
        <f t="shared" si="134"/>
        <v>0</v>
      </c>
      <c r="Q292" s="3">
        <f t="shared" si="148"/>
        <v>0</v>
      </c>
      <c r="R292" s="3">
        <f t="shared" si="136"/>
        <v>0</v>
      </c>
      <c r="S292" s="3">
        <f t="shared" si="149"/>
        <v>0</v>
      </c>
      <c r="T292" s="3">
        <f t="shared" si="121"/>
        <v>0</v>
      </c>
      <c r="U292" s="3">
        <f t="shared" si="135"/>
        <v>0</v>
      </c>
      <c r="V292" s="3">
        <f t="shared" si="122"/>
        <v>0</v>
      </c>
      <c r="W292" s="3">
        <f t="shared" si="125"/>
        <v>0</v>
      </c>
      <c r="X292" s="3">
        <f t="shared" si="126"/>
        <v>0</v>
      </c>
      <c r="Y292" s="3">
        <f t="shared" si="127"/>
        <v>0</v>
      </c>
      <c r="Z292" s="3">
        <f t="shared" si="138"/>
        <v>0</v>
      </c>
      <c r="AA292" s="3">
        <f t="shared" si="139"/>
        <v>0</v>
      </c>
      <c r="AB292" s="3" t="e">
        <f t="shared" si="140"/>
        <v>#DIV/0!</v>
      </c>
      <c r="AC292" s="3" t="str">
        <f t="shared" si="141"/>
        <v/>
      </c>
      <c r="AD292" s="3">
        <f t="shared" si="128"/>
        <v>0</v>
      </c>
      <c r="AE292" s="3">
        <f t="shared" si="123"/>
        <v>0</v>
      </c>
      <c r="AF292" s="3">
        <f t="shared" si="129"/>
        <v>0</v>
      </c>
      <c r="AG292" s="3" t="e">
        <f>AF292 / SUM(F$2:F292)</f>
        <v>#DIV/0!</v>
      </c>
      <c r="AH292" s="3" t="e">
        <f t="shared" si="130"/>
        <v>#DIV/0!</v>
      </c>
      <c r="AI292" s="3">
        <f t="shared" si="131"/>
        <v>0</v>
      </c>
      <c r="AJ292" s="3" t="e">
        <f t="shared" si="132"/>
        <v>#DIV/0!</v>
      </c>
      <c r="AK292" s="3" t="e">
        <f t="shared" si="147"/>
        <v>#DIV/0!</v>
      </c>
    </row>
    <row r="293" spans="1:37" x14ac:dyDescent="0.3">
      <c r="A293" s="24">
        <v>0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f t="shared" si="120"/>
        <v>0</v>
      </c>
      <c r="H293" s="3">
        <f t="shared" si="137"/>
        <v>0</v>
      </c>
      <c r="I293" s="3">
        <f t="shared" si="142"/>
        <v>0</v>
      </c>
      <c r="J293" s="3">
        <f t="shared" si="143"/>
        <v>0</v>
      </c>
      <c r="K293" s="3">
        <f t="shared" si="144"/>
        <v>0</v>
      </c>
      <c r="L293" s="3">
        <f t="shared" si="145"/>
        <v>0</v>
      </c>
      <c r="M293" s="3" t="e">
        <f t="shared" si="124"/>
        <v>#DIV/0!</v>
      </c>
      <c r="N293" s="3" t="e">
        <f t="shared" si="133"/>
        <v>#DIV/0!</v>
      </c>
      <c r="O293" s="3" t="e">
        <f t="shared" si="146"/>
        <v>#DIV/0!</v>
      </c>
      <c r="P293" s="3">
        <f t="shared" si="134"/>
        <v>0</v>
      </c>
      <c r="Q293" s="3">
        <f t="shared" si="148"/>
        <v>0</v>
      </c>
      <c r="R293" s="3">
        <f t="shared" si="136"/>
        <v>0</v>
      </c>
      <c r="S293" s="3">
        <f t="shared" si="149"/>
        <v>0</v>
      </c>
      <c r="T293" s="3">
        <f t="shared" si="121"/>
        <v>0</v>
      </c>
      <c r="U293" s="3">
        <f t="shared" si="135"/>
        <v>0</v>
      </c>
      <c r="V293" s="3">
        <f t="shared" si="122"/>
        <v>0</v>
      </c>
      <c r="W293" s="3">
        <f t="shared" si="125"/>
        <v>0</v>
      </c>
      <c r="X293" s="3">
        <f t="shared" si="126"/>
        <v>0</v>
      </c>
      <c r="Y293" s="3">
        <f t="shared" si="127"/>
        <v>0</v>
      </c>
      <c r="Z293" s="3">
        <f t="shared" si="138"/>
        <v>0</v>
      </c>
      <c r="AA293" s="3">
        <f t="shared" si="139"/>
        <v>0</v>
      </c>
      <c r="AB293" s="3" t="e">
        <f t="shared" si="140"/>
        <v>#DIV/0!</v>
      </c>
      <c r="AC293" s="3" t="str">
        <f t="shared" si="141"/>
        <v/>
      </c>
      <c r="AD293" s="3">
        <f t="shared" si="128"/>
        <v>0</v>
      </c>
      <c r="AE293" s="3">
        <f t="shared" si="123"/>
        <v>0</v>
      </c>
      <c r="AF293" s="3">
        <f t="shared" si="129"/>
        <v>0</v>
      </c>
      <c r="AG293" s="3" t="e">
        <f>AF293 / SUM(F$2:F293)</f>
        <v>#DIV/0!</v>
      </c>
      <c r="AH293" s="3" t="e">
        <f t="shared" si="130"/>
        <v>#DIV/0!</v>
      </c>
      <c r="AI293" s="3">
        <f t="shared" si="131"/>
        <v>0</v>
      </c>
      <c r="AJ293" s="3" t="e">
        <f t="shared" si="132"/>
        <v>#DIV/0!</v>
      </c>
      <c r="AK293" s="3" t="e">
        <f t="shared" si="147"/>
        <v>#DIV/0!</v>
      </c>
    </row>
    <row r="294" spans="1:37" x14ac:dyDescent="0.3">
      <c r="A294" s="24">
        <v>0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f t="shared" si="120"/>
        <v>0</v>
      </c>
      <c r="H294" s="3">
        <f t="shared" si="137"/>
        <v>0</v>
      </c>
      <c r="I294" s="3">
        <f t="shared" si="142"/>
        <v>0</v>
      </c>
      <c r="J294" s="3">
        <f t="shared" si="143"/>
        <v>0</v>
      </c>
      <c r="K294" s="3">
        <f t="shared" si="144"/>
        <v>0</v>
      </c>
      <c r="L294" s="3">
        <f t="shared" si="145"/>
        <v>0</v>
      </c>
      <c r="M294" s="3" t="e">
        <f t="shared" si="124"/>
        <v>#DIV/0!</v>
      </c>
      <c r="N294" s="3" t="e">
        <f t="shared" si="133"/>
        <v>#DIV/0!</v>
      </c>
      <c r="O294" s="3" t="e">
        <f t="shared" si="146"/>
        <v>#DIV/0!</v>
      </c>
      <c r="P294" s="3">
        <f t="shared" si="134"/>
        <v>0</v>
      </c>
      <c r="Q294" s="3">
        <f t="shared" si="148"/>
        <v>0</v>
      </c>
      <c r="R294" s="3">
        <f t="shared" si="136"/>
        <v>0</v>
      </c>
      <c r="S294" s="3">
        <f t="shared" si="149"/>
        <v>0</v>
      </c>
      <c r="T294" s="3">
        <f t="shared" si="121"/>
        <v>0</v>
      </c>
      <c r="U294" s="3">
        <f t="shared" si="135"/>
        <v>0</v>
      </c>
      <c r="V294" s="3">
        <f t="shared" si="122"/>
        <v>0</v>
      </c>
      <c r="W294" s="3">
        <f t="shared" si="125"/>
        <v>0</v>
      </c>
      <c r="X294" s="3">
        <f t="shared" si="126"/>
        <v>0</v>
      </c>
      <c r="Y294" s="3">
        <f t="shared" si="127"/>
        <v>0</v>
      </c>
      <c r="Z294" s="3">
        <f t="shared" si="138"/>
        <v>0</v>
      </c>
      <c r="AA294" s="3">
        <f t="shared" si="139"/>
        <v>0</v>
      </c>
      <c r="AB294" s="3" t="e">
        <f t="shared" si="140"/>
        <v>#DIV/0!</v>
      </c>
      <c r="AC294" s="3" t="str">
        <f t="shared" si="141"/>
        <v/>
      </c>
      <c r="AD294" s="3">
        <f t="shared" si="128"/>
        <v>0</v>
      </c>
      <c r="AE294" s="3">
        <f t="shared" si="123"/>
        <v>0</v>
      </c>
      <c r="AF294" s="3">
        <f t="shared" si="129"/>
        <v>0</v>
      </c>
      <c r="AG294" s="3" t="e">
        <f>AF294 / SUM(F$2:F294)</f>
        <v>#DIV/0!</v>
      </c>
      <c r="AH294" s="3" t="e">
        <f t="shared" si="130"/>
        <v>#DIV/0!</v>
      </c>
      <c r="AI294" s="3">
        <f t="shared" si="131"/>
        <v>0</v>
      </c>
      <c r="AJ294" s="3" t="e">
        <f t="shared" si="132"/>
        <v>#DIV/0!</v>
      </c>
      <c r="AK294" s="3" t="e">
        <f t="shared" si="147"/>
        <v>#DIV/0!</v>
      </c>
    </row>
    <row r="295" spans="1:37" x14ac:dyDescent="0.3">
      <c r="A295" s="24">
        <v>0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f t="shared" si="120"/>
        <v>0</v>
      </c>
      <c r="H295" s="3">
        <f t="shared" si="137"/>
        <v>0</v>
      </c>
      <c r="I295" s="3">
        <f t="shared" si="142"/>
        <v>0</v>
      </c>
      <c r="J295" s="3">
        <f t="shared" si="143"/>
        <v>0</v>
      </c>
      <c r="K295" s="3">
        <f t="shared" si="144"/>
        <v>0</v>
      </c>
      <c r="L295" s="3">
        <f t="shared" si="145"/>
        <v>0</v>
      </c>
      <c r="M295" s="3" t="e">
        <f t="shared" si="124"/>
        <v>#DIV/0!</v>
      </c>
      <c r="N295" s="3" t="e">
        <f t="shared" si="133"/>
        <v>#DIV/0!</v>
      </c>
      <c r="O295" s="3" t="e">
        <f t="shared" si="146"/>
        <v>#DIV/0!</v>
      </c>
      <c r="P295" s="3">
        <f t="shared" si="134"/>
        <v>0</v>
      </c>
      <c r="Q295" s="3">
        <f t="shared" si="148"/>
        <v>0</v>
      </c>
      <c r="R295" s="3">
        <f t="shared" si="136"/>
        <v>0</v>
      </c>
      <c r="S295" s="3">
        <f t="shared" si="149"/>
        <v>0</v>
      </c>
      <c r="T295" s="3">
        <f t="shared" si="121"/>
        <v>0</v>
      </c>
      <c r="U295" s="3">
        <f t="shared" si="135"/>
        <v>0</v>
      </c>
      <c r="V295" s="3">
        <f t="shared" si="122"/>
        <v>0</v>
      </c>
      <c r="W295" s="3">
        <f t="shared" si="125"/>
        <v>0</v>
      </c>
      <c r="X295" s="3">
        <f t="shared" si="126"/>
        <v>0</v>
      </c>
      <c r="Y295" s="3">
        <f t="shared" si="127"/>
        <v>0</v>
      </c>
      <c r="Z295" s="3">
        <f t="shared" si="138"/>
        <v>0</v>
      </c>
      <c r="AA295" s="3">
        <f t="shared" si="139"/>
        <v>0</v>
      </c>
      <c r="AB295" s="3" t="e">
        <f t="shared" si="140"/>
        <v>#DIV/0!</v>
      </c>
      <c r="AC295" s="3" t="str">
        <f t="shared" si="141"/>
        <v/>
      </c>
      <c r="AD295" s="3">
        <f t="shared" si="128"/>
        <v>0</v>
      </c>
      <c r="AE295" s="3">
        <f t="shared" si="123"/>
        <v>0</v>
      </c>
      <c r="AF295" s="3">
        <f t="shared" si="129"/>
        <v>0</v>
      </c>
      <c r="AG295" s="3" t="e">
        <f>AF295 / SUM(F$2:F295)</f>
        <v>#DIV/0!</v>
      </c>
      <c r="AH295" s="3" t="e">
        <f t="shared" si="130"/>
        <v>#DIV/0!</v>
      </c>
      <c r="AI295" s="3">
        <f t="shared" si="131"/>
        <v>0</v>
      </c>
      <c r="AJ295" s="3" t="e">
        <f t="shared" si="132"/>
        <v>#DIV/0!</v>
      </c>
      <c r="AK295" s="3" t="e">
        <f t="shared" si="147"/>
        <v>#DIV/0!</v>
      </c>
    </row>
    <row r="296" spans="1:37" x14ac:dyDescent="0.3">
      <c r="A296" s="24">
        <v>0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f t="shared" si="120"/>
        <v>0</v>
      </c>
      <c r="H296" s="3">
        <f t="shared" si="137"/>
        <v>0</v>
      </c>
      <c r="I296" s="3">
        <f t="shared" si="142"/>
        <v>0</v>
      </c>
      <c r="J296" s="3">
        <f t="shared" si="143"/>
        <v>0</v>
      </c>
      <c r="K296" s="3">
        <f t="shared" si="144"/>
        <v>0</v>
      </c>
      <c r="L296" s="3">
        <f t="shared" si="145"/>
        <v>0</v>
      </c>
      <c r="M296" s="3" t="e">
        <f t="shared" si="124"/>
        <v>#DIV/0!</v>
      </c>
      <c r="N296" s="3" t="e">
        <f t="shared" si="133"/>
        <v>#DIV/0!</v>
      </c>
      <c r="O296" s="3" t="e">
        <f t="shared" si="146"/>
        <v>#DIV/0!</v>
      </c>
      <c r="P296" s="3">
        <f t="shared" si="134"/>
        <v>0</v>
      </c>
      <c r="Q296" s="3">
        <f t="shared" si="148"/>
        <v>0</v>
      </c>
      <c r="R296" s="3">
        <f t="shared" si="136"/>
        <v>0</v>
      </c>
      <c r="S296" s="3">
        <f t="shared" si="149"/>
        <v>0</v>
      </c>
      <c r="T296" s="3">
        <f t="shared" si="121"/>
        <v>0</v>
      </c>
      <c r="U296" s="3">
        <f t="shared" si="135"/>
        <v>0</v>
      </c>
      <c r="V296" s="3">
        <f t="shared" si="122"/>
        <v>0</v>
      </c>
      <c r="W296" s="3">
        <f t="shared" si="125"/>
        <v>0</v>
      </c>
      <c r="X296" s="3">
        <f t="shared" si="126"/>
        <v>0</v>
      </c>
      <c r="Y296" s="3">
        <f t="shared" si="127"/>
        <v>0</v>
      </c>
      <c r="Z296" s="3">
        <f t="shared" si="138"/>
        <v>0</v>
      </c>
      <c r="AA296" s="3">
        <f t="shared" si="139"/>
        <v>0</v>
      </c>
      <c r="AB296" s="3" t="e">
        <f t="shared" si="140"/>
        <v>#DIV/0!</v>
      </c>
      <c r="AC296" s="3" t="str">
        <f t="shared" si="141"/>
        <v/>
      </c>
      <c r="AD296" s="3">
        <f t="shared" si="128"/>
        <v>0</v>
      </c>
      <c r="AE296" s="3">
        <f t="shared" si="123"/>
        <v>0</v>
      </c>
      <c r="AF296" s="3">
        <f t="shared" si="129"/>
        <v>0</v>
      </c>
      <c r="AG296" s="3" t="e">
        <f>AF296 / SUM(F$2:F296)</f>
        <v>#DIV/0!</v>
      </c>
      <c r="AH296" s="3" t="e">
        <f t="shared" si="130"/>
        <v>#DIV/0!</v>
      </c>
      <c r="AI296" s="3">
        <f t="shared" si="131"/>
        <v>0</v>
      </c>
      <c r="AJ296" s="3" t="e">
        <f t="shared" si="132"/>
        <v>#DIV/0!</v>
      </c>
      <c r="AK296" s="3" t="e">
        <f t="shared" si="147"/>
        <v>#DIV/0!</v>
      </c>
    </row>
    <row r="297" spans="1:37" x14ac:dyDescent="0.3">
      <c r="A297" s="24">
        <v>0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f t="shared" si="120"/>
        <v>0</v>
      </c>
      <c r="H297" s="3">
        <f t="shared" si="137"/>
        <v>0</v>
      </c>
      <c r="I297" s="3">
        <f t="shared" si="142"/>
        <v>0</v>
      </c>
      <c r="J297" s="3">
        <f t="shared" si="143"/>
        <v>0</v>
      </c>
      <c r="K297" s="3">
        <f t="shared" si="144"/>
        <v>0</v>
      </c>
      <c r="L297" s="3">
        <f t="shared" si="145"/>
        <v>0</v>
      </c>
      <c r="M297" s="3" t="e">
        <f t="shared" si="124"/>
        <v>#DIV/0!</v>
      </c>
      <c r="N297" s="3" t="e">
        <f t="shared" si="133"/>
        <v>#DIV/0!</v>
      </c>
      <c r="O297" s="3" t="e">
        <f t="shared" si="146"/>
        <v>#DIV/0!</v>
      </c>
      <c r="P297" s="3">
        <f t="shared" si="134"/>
        <v>0</v>
      </c>
      <c r="Q297" s="3">
        <f t="shared" si="148"/>
        <v>0</v>
      </c>
      <c r="R297" s="3">
        <f t="shared" si="136"/>
        <v>0</v>
      </c>
      <c r="S297" s="3">
        <f t="shared" si="149"/>
        <v>0</v>
      </c>
      <c r="T297" s="3">
        <f t="shared" si="121"/>
        <v>0</v>
      </c>
      <c r="U297" s="3">
        <f t="shared" si="135"/>
        <v>0</v>
      </c>
      <c r="V297" s="3">
        <f t="shared" si="122"/>
        <v>0</v>
      </c>
      <c r="W297" s="3">
        <f t="shared" si="125"/>
        <v>0</v>
      </c>
      <c r="X297" s="3">
        <f t="shared" si="126"/>
        <v>0</v>
      </c>
      <c r="Y297" s="3">
        <f t="shared" si="127"/>
        <v>0</v>
      </c>
      <c r="Z297" s="3">
        <f t="shared" si="138"/>
        <v>0</v>
      </c>
      <c r="AA297" s="3">
        <f t="shared" si="139"/>
        <v>0</v>
      </c>
      <c r="AB297" s="3" t="e">
        <f t="shared" si="140"/>
        <v>#DIV/0!</v>
      </c>
      <c r="AC297" s="3" t="str">
        <f t="shared" si="141"/>
        <v/>
      </c>
      <c r="AD297" s="3">
        <f t="shared" si="128"/>
        <v>0</v>
      </c>
      <c r="AE297" s="3">
        <f t="shared" si="123"/>
        <v>0</v>
      </c>
      <c r="AF297" s="3">
        <f t="shared" si="129"/>
        <v>0</v>
      </c>
      <c r="AG297" s="3" t="e">
        <f>AF297 / SUM(F$2:F297)</f>
        <v>#DIV/0!</v>
      </c>
      <c r="AH297" s="3" t="e">
        <f t="shared" si="130"/>
        <v>#DIV/0!</v>
      </c>
      <c r="AI297" s="3">
        <f t="shared" si="131"/>
        <v>0</v>
      </c>
      <c r="AJ297" s="3" t="e">
        <f t="shared" si="132"/>
        <v>#DIV/0!</v>
      </c>
      <c r="AK297" s="3" t="e">
        <f t="shared" si="147"/>
        <v>#DIV/0!</v>
      </c>
    </row>
    <row r="298" spans="1:37" x14ac:dyDescent="0.3">
      <c r="A298" s="24">
        <v>0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f t="shared" si="120"/>
        <v>0</v>
      </c>
      <c r="H298" s="3">
        <f t="shared" si="137"/>
        <v>0</v>
      </c>
      <c r="I298" s="3">
        <f t="shared" si="142"/>
        <v>0</v>
      </c>
      <c r="J298" s="3">
        <f t="shared" si="143"/>
        <v>0</v>
      </c>
      <c r="K298" s="3">
        <f t="shared" si="144"/>
        <v>0</v>
      </c>
      <c r="L298" s="3">
        <f t="shared" si="145"/>
        <v>0</v>
      </c>
      <c r="M298" s="3" t="e">
        <f t="shared" si="124"/>
        <v>#DIV/0!</v>
      </c>
      <c r="N298" s="3" t="e">
        <f t="shared" si="133"/>
        <v>#DIV/0!</v>
      </c>
      <c r="O298" s="3" t="e">
        <f t="shared" si="146"/>
        <v>#DIV/0!</v>
      </c>
      <c r="P298" s="3">
        <f t="shared" si="134"/>
        <v>0</v>
      </c>
      <c r="Q298" s="3">
        <f t="shared" si="148"/>
        <v>0</v>
      </c>
      <c r="R298" s="3">
        <f t="shared" si="136"/>
        <v>0</v>
      </c>
      <c r="S298" s="3">
        <f t="shared" si="149"/>
        <v>0</v>
      </c>
      <c r="T298" s="3">
        <f t="shared" si="121"/>
        <v>0</v>
      </c>
      <c r="U298" s="3">
        <f t="shared" si="135"/>
        <v>0</v>
      </c>
      <c r="V298" s="3">
        <f t="shared" si="122"/>
        <v>0</v>
      </c>
      <c r="W298" s="3">
        <f t="shared" si="125"/>
        <v>0</v>
      </c>
      <c r="X298" s="3">
        <f t="shared" si="126"/>
        <v>0</v>
      </c>
      <c r="Y298" s="3">
        <f t="shared" si="127"/>
        <v>0</v>
      </c>
      <c r="Z298" s="3">
        <f t="shared" si="138"/>
        <v>0</v>
      </c>
      <c r="AA298" s="3">
        <f t="shared" si="139"/>
        <v>0</v>
      </c>
      <c r="AB298" s="3" t="e">
        <f t="shared" si="140"/>
        <v>#DIV/0!</v>
      </c>
      <c r="AC298" s="3" t="str">
        <f t="shared" si="141"/>
        <v/>
      </c>
      <c r="AD298" s="3">
        <f t="shared" si="128"/>
        <v>0</v>
      </c>
      <c r="AE298" s="3">
        <f t="shared" si="123"/>
        <v>0</v>
      </c>
      <c r="AF298" s="3">
        <f t="shared" si="129"/>
        <v>0</v>
      </c>
      <c r="AG298" s="3" t="e">
        <f>AF298 / SUM(F$2:F298)</f>
        <v>#DIV/0!</v>
      </c>
      <c r="AH298" s="3" t="e">
        <f t="shared" si="130"/>
        <v>#DIV/0!</v>
      </c>
      <c r="AI298" s="3">
        <f t="shared" si="131"/>
        <v>0</v>
      </c>
      <c r="AJ298" s="3" t="e">
        <f t="shared" si="132"/>
        <v>#DIV/0!</v>
      </c>
      <c r="AK298" s="3" t="e">
        <f t="shared" si="147"/>
        <v>#DIV/0!</v>
      </c>
    </row>
    <row r="299" spans="1:37" x14ac:dyDescent="0.3">
      <c r="A299" s="24">
        <v>0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f t="shared" si="120"/>
        <v>0</v>
      </c>
      <c r="H299" s="3">
        <f t="shared" si="137"/>
        <v>0</v>
      </c>
      <c r="I299" s="3">
        <f t="shared" si="142"/>
        <v>0</v>
      </c>
      <c r="J299" s="3">
        <f t="shared" si="143"/>
        <v>0</v>
      </c>
      <c r="K299" s="3">
        <f t="shared" si="144"/>
        <v>0</v>
      </c>
      <c r="L299" s="3">
        <f t="shared" si="145"/>
        <v>0</v>
      </c>
      <c r="M299" s="3" t="e">
        <f t="shared" si="124"/>
        <v>#DIV/0!</v>
      </c>
      <c r="N299" s="3" t="e">
        <f t="shared" si="133"/>
        <v>#DIV/0!</v>
      </c>
      <c r="O299" s="3" t="e">
        <f t="shared" si="146"/>
        <v>#DIV/0!</v>
      </c>
      <c r="P299" s="3">
        <f t="shared" si="134"/>
        <v>0</v>
      </c>
      <c r="Q299" s="3">
        <f t="shared" si="148"/>
        <v>0</v>
      </c>
      <c r="R299" s="3">
        <f t="shared" si="136"/>
        <v>0</v>
      </c>
      <c r="S299" s="3">
        <f t="shared" si="149"/>
        <v>0</v>
      </c>
      <c r="T299" s="3">
        <f t="shared" si="121"/>
        <v>0</v>
      </c>
      <c r="U299" s="3">
        <f t="shared" si="135"/>
        <v>0</v>
      </c>
      <c r="V299" s="3">
        <f t="shared" si="122"/>
        <v>0</v>
      </c>
      <c r="W299" s="3">
        <f t="shared" si="125"/>
        <v>0</v>
      </c>
      <c r="X299" s="3">
        <f t="shared" si="126"/>
        <v>0</v>
      </c>
      <c r="Y299" s="3">
        <f t="shared" si="127"/>
        <v>0</v>
      </c>
      <c r="Z299" s="3">
        <f t="shared" si="138"/>
        <v>0</v>
      </c>
      <c r="AA299" s="3">
        <f t="shared" si="139"/>
        <v>0</v>
      </c>
      <c r="AB299" s="3" t="e">
        <f t="shared" si="140"/>
        <v>#DIV/0!</v>
      </c>
      <c r="AC299" s="3" t="str">
        <f t="shared" si="141"/>
        <v/>
      </c>
      <c r="AD299" s="3">
        <f t="shared" si="128"/>
        <v>0</v>
      </c>
      <c r="AE299" s="3">
        <f t="shared" si="123"/>
        <v>0</v>
      </c>
      <c r="AF299" s="3">
        <f t="shared" si="129"/>
        <v>0</v>
      </c>
      <c r="AG299" s="3" t="e">
        <f>AF299 / SUM(F$2:F299)</f>
        <v>#DIV/0!</v>
      </c>
      <c r="AH299" s="3" t="e">
        <f t="shared" si="130"/>
        <v>#DIV/0!</v>
      </c>
      <c r="AI299" s="3">
        <f t="shared" si="131"/>
        <v>0</v>
      </c>
      <c r="AJ299" s="3" t="e">
        <f t="shared" si="132"/>
        <v>#DIV/0!</v>
      </c>
      <c r="AK299" s="3" t="e">
        <f t="shared" si="147"/>
        <v>#DIV/0!</v>
      </c>
    </row>
    <row r="300" spans="1:37" x14ac:dyDescent="0.3">
      <c r="A300" s="24">
        <v>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f t="shared" si="120"/>
        <v>0</v>
      </c>
      <c r="H300" s="3">
        <f t="shared" si="137"/>
        <v>0</v>
      </c>
      <c r="I300" s="3">
        <f t="shared" si="142"/>
        <v>0</v>
      </c>
      <c r="J300" s="3">
        <f t="shared" si="143"/>
        <v>0</v>
      </c>
      <c r="K300" s="3">
        <f t="shared" si="144"/>
        <v>0</v>
      </c>
      <c r="L300" s="3">
        <f t="shared" si="145"/>
        <v>0</v>
      </c>
      <c r="M300" s="3" t="e">
        <f t="shared" si="124"/>
        <v>#DIV/0!</v>
      </c>
      <c r="N300" s="3" t="e">
        <f t="shared" si="133"/>
        <v>#DIV/0!</v>
      </c>
      <c r="O300" s="3" t="e">
        <f t="shared" si="146"/>
        <v>#DIV/0!</v>
      </c>
      <c r="P300" s="3">
        <f t="shared" si="134"/>
        <v>0</v>
      </c>
      <c r="Q300" s="3">
        <f t="shared" si="148"/>
        <v>0</v>
      </c>
      <c r="R300" s="3">
        <f t="shared" si="136"/>
        <v>0</v>
      </c>
      <c r="S300" s="3">
        <f t="shared" si="149"/>
        <v>0</v>
      </c>
      <c r="T300" s="3">
        <f t="shared" si="121"/>
        <v>0</v>
      </c>
      <c r="U300" s="3">
        <f t="shared" si="135"/>
        <v>0</v>
      </c>
      <c r="V300" s="3">
        <f t="shared" si="122"/>
        <v>0</v>
      </c>
      <c r="W300" s="3">
        <f t="shared" si="125"/>
        <v>0</v>
      </c>
      <c r="X300" s="3">
        <f t="shared" si="126"/>
        <v>0</v>
      </c>
      <c r="Y300" s="3">
        <f t="shared" si="127"/>
        <v>0</v>
      </c>
      <c r="Z300" s="3">
        <f t="shared" si="138"/>
        <v>0</v>
      </c>
      <c r="AA300" s="3">
        <f t="shared" si="139"/>
        <v>0</v>
      </c>
      <c r="AB300" s="3" t="e">
        <f t="shared" si="140"/>
        <v>#DIV/0!</v>
      </c>
      <c r="AC300" s="3" t="str">
        <f t="shared" si="141"/>
        <v/>
      </c>
      <c r="AD300" s="3">
        <f t="shared" si="128"/>
        <v>0</v>
      </c>
      <c r="AE300" s="3">
        <f t="shared" si="123"/>
        <v>0</v>
      </c>
      <c r="AF300" s="3">
        <f t="shared" si="129"/>
        <v>0</v>
      </c>
      <c r="AG300" s="3" t="e">
        <f>AF300 / SUM(F$2:F300)</f>
        <v>#DIV/0!</v>
      </c>
      <c r="AH300" s="3" t="e">
        <f t="shared" si="130"/>
        <v>#DIV/0!</v>
      </c>
      <c r="AI300" s="3">
        <f t="shared" si="131"/>
        <v>0</v>
      </c>
      <c r="AJ300" s="3" t="e">
        <f t="shared" si="132"/>
        <v>#DIV/0!</v>
      </c>
      <c r="AK300" s="3" t="e">
        <f t="shared" si="147"/>
        <v>#DIV/0!</v>
      </c>
    </row>
    <row r="301" spans="1:37" x14ac:dyDescent="0.3">
      <c r="A301" s="24">
        <v>0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f t="shared" si="120"/>
        <v>0</v>
      </c>
      <c r="H301" s="3">
        <f t="shared" si="137"/>
        <v>0</v>
      </c>
      <c r="I301" s="3">
        <f t="shared" si="142"/>
        <v>0</v>
      </c>
      <c r="J301" s="3">
        <f t="shared" si="143"/>
        <v>0</v>
      </c>
      <c r="K301" s="3">
        <f t="shared" si="144"/>
        <v>0</v>
      </c>
      <c r="L301" s="3">
        <f t="shared" si="145"/>
        <v>0</v>
      </c>
      <c r="M301" s="3" t="e">
        <f t="shared" si="124"/>
        <v>#DIV/0!</v>
      </c>
      <c r="N301" s="3" t="e">
        <f t="shared" si="133"/>
        <v>#DIV/0!</v>
      </c>
      <c r="O301" s="3" t="e">
        <f t="shared" si="146"/>
        <v>#DIV/0!</v>
      </c>
      <c r="P301" s="3">
        <f t="shared" si="134"/>
        <v>0</v>
      </c>
      <c r="Q301" s="3">
        <f t="shared" si="148"/>
        <v>0</v>
      </c>
      <c r="R301" s="3">
        <f t="shared" si="136"/>
        <v>0</v>
      </c>
      <c r="S301" s="3">
        <f t="shared" si="149"/>
        <v>0</v>
      </c>
      <c r="T301" s="3">
        <f t="shared" si="121"/>
        <v>0</v>
      </c>
      <c r="U301" s="3">
        <f t="shared" si="135"/>
        <v>0</v>
      </c>
      <c r="V301" s="3">
        <f t="shared" si="122"/>
        <v>0</v>
      </c>
      <c r="W301" s="3">
        <f t="shared" si="125"/>
        <v>0</v>
      </c>
      <c r="X301" s="3">
        <f t="shared" si="126"/>
        <v>0</v>
      </c>
      <c r="Y301" s="3">
        <f t="shared" si="127"/>
        <v>0</v>
      </c>
      <c r="Z301" s="3">
        <f t="shared" si="138"/>
        <v>0</v>
      </c>
      <c r="AA301" s="3">
        <f t="shared" si="139"/>
        <v>0</v>
      </c>
      <c r="AB301" s="3" t="e">
        <f t="shared" si="140"/>
        <v>#DIV/0!</v>
      </c>
      <c r="AC301" s="3" t="str">
        <f t="shared" si="141"/>
        <v/>
      </c>
      <c r="AD301" s="3">
        <f t="shared" si="128"/>
        <v>0</v>
      </c>
      <c r="AE301" s="3">
        <f t="shared" si="123"/>
        <v>0</v>
      </c>
      <c r="AF301" s="3">
        <f t="shared" si="129"/>
        <v>0</v>
      </c>
      <c r="AG301" s="3" t="e">
        <f>AF301 / SUM(F$2:F301)</f>
        <v>#DIV/0!</v>
      </c>
      <c r="AH301" s="3" t="e">
        <f t="shared" si="130"/>
        <v>#DIV/0!</v>
      </c>
      <c r="AI301" s="3">
        <f t="shared" si="131"/>
        <v>0</v>
      </c>
      <c r="AJ301" s="3" t="e">
        <f t="shared" si="132"/>
        <v>#DIV/0!</v>
      </c>
      <c r="AK301" s="3" t="e">
        <f t="shared" si="147"/>
        <v>#DIV/0!</v>
      </c>
    </row>
    <row r="302" spans="1:37" x14ac:dyDescent="0.3">
      <c r="A302" s="24">
        <v>0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f t="shared" si="120"/>
        <v>0</v>
      </c>
      <c r="H302" s="3">
        <f t="shared" si="137"/>
        <v>0</v>
      </c>
      <c r="I302" s="3">
        <f t="shared" si="142"/>
        <v>0</v>
      </c>
      <c r="J302" s="3">
        <f t="shared" si="143"/>
        <v>0</v>
      </c>
      <c r="K302" s="3">
        <f t="shared" si="144"/>
        <v>0</v>
      </c>
      <c r="L302" s="3">
        <f t="shared" si="145"/>
        <v>0</v>
      </c>
      <c r="M302" s="3" t="e">
        <f t="shared" si="124"/>
        <v>#DIV/0!</v>
      </c>
      <c r="N302" s="3" t="e">
        <f t="shared" si="133"/>
        <v>#DIV/0!</v>
      </c>
      <c r="O302" s="3" t="e">
        <f t="shared" si="146"/>
        <v>#DIV/0!</v>
      </c>
      <c r="P302" s="3">
        <f t="shared" si="134"/>
        <v>0</v>
      </c>
      <c r="Q302" s="3">
        <f t="shared" si="148"/>
        <v>0</v>
      </c>
      <c r="R302" s="3">
        <f t="shared" si="136"/>
        <v>0</v>
      </c>
      <c r="S302" s="3">
        <f t="shared" si="149"/>
        <v>0</v>
      </c>
      <c r="T302" s="3">
        <f t="shared" si="121"/>
        <v>0</v>
      </c>
      <c r="U302" s="3">
        <f t="shared" si="135"/>
        <v>0</v>
      </c>
      <c r="V302" s="3">
        <f t="shared" si="122"/>
        <v>0</v>
      </c>
      <c r="W302" s="3">
        <f t="shared" si="125"/>
        <v>0</v>
      </c>
      <c r="X302" s="3">
        <f t="shared" si="126"/>
        <v>0</v>
      </c>
      <c r="Y302" s="3">
        <f t="shared" si="127"/>
        <v>0</v>
      </c>
      <c r="Z302" s="3">
        <f t="shared" si="138"/>
        <v>0</v>
      </c>
      <c r="AA302" s="3">
        <f t="shared" si="139"/>
        <v>0</v>
      </c>
      <c r="AB302" s="3" t="e">
        <f t="shared" si="140"/>
        <v>#DIV/0!</v>
      </c>
      <c r="AC302" s="3" t="str">
        <f t="shared" si="141"/>
        <v/>
      </c>
      <c r="AD302" s="3">
        <f t="shared" si="128"/>
        <v>0</v>
      </c>
      <c r="AE302" s="3">
        <f t="shared" si="123"/>
        <v>0</v>
      </c>
      <c r="AF302" s="3">
        <f t="shared" si="129"/>
        <v>0</v>
      </c>
      <c r="AG302" s="3" t="e">
        <f>AF302 / SUM(F$2:F302)</f>
        <v>#DIV/0!</v>
      </c>
      <c r="AH302" s="3" t="e">
        <f t="shared" si="130"/>
        <v>#DIV/0!</v>
      </c>
      <c r="AI302" s="3">
        <f t="shared" si="131"/>
        <v>0</v>
      </c>
      <c r="AJ302" s="3" t="e">
        <f t="shared" si="132"/>
        <v>#DIV/0!</v>
      </c>
      <c r="AK302" s="3" t="e">
        <f t="shared" si="147"/>
        <v>#DIV/0!</v>
      </c>
    </row>
    <row r="303" spans="1:37" x14ac:dyDescent="0.3">
      <c r="A303" s="24">
        <v>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f t="shared" si="120"/>
        <v>0</v>
      </c>
      <c r="H303" s="3">
        <f t="shared" si="137"/>
        <v>0</v>
      </c>
      <c r="I303" s="3">
        <f t="shared" si="142"/>
        <v>0</v>
      </c>
      <c r="J303" s="3">
        <f t="shared" si="143"/>
        <v>0</v>
      </c>
      <c r="K303" s="3">
        <f t="shared" si="144"/>
        <v>0</v>
      </c>
      <c r="L303" s="3">
        <f t="shared" si="145"/>
        <v>0</v>
      </c>
      <c r="M303" s="3" t="e">
        <f t="shared" si="124"/>
        <v>#DIV/0!</v>
      </c>
      <c r="N303" s="3" t="e">
        <f t="shared" si="133"/>
        <v>#DIV/0!</v>
      </c>
      <c r="O303" s="3" t="e">
        <f t="shared" si="146"/>
        <v>#DIV/0!</v>
      </c>
      <c r="P303" s="3">
        <f t="shared" si="134"/>
        <v>0</v>
      </c>
      <c r="Q303" s="3">
        <f t="shared" si="148"/>
        <v>0</v>
      </c>
      <c r="R303" s="3">
        <f t="shared" si="136"/>
        <v>0</v>
      </c>
      <c r="S303" s="3">
        <f t="shared" si="149"/>
        <v>0</v>
      </c>
      <c r="T303" s="3">
        <f t="shared" si="121"/>
        <v>0</v>
      </c>
      <c r="U303" s="3">
        <f t="shared" si="135"/>
        <v>0</v>
      </c>
      <c r="V303" s="3">
        <f t="shared" si="122"/>
        <v>0</v>
      </c>
      <c r="W303" s="3">
        <f t="shared" si="125"/>
        <v>0</v>
      </c>
      <c r="X303" s="3">
        <f t="shared" si="126"/>
        <v>0</v>
      </c>
      <c r="Y303" s="3">
        <f t="shared" si="127"/>
        <v>0</v>
      </c>
      <c r="Z303" s="3">
        <f t="shared" si="138"/>
        <v>0</v>
      </c>
      <c r="AA303" s="3">
        <f t="shared" si="139"/>
        <v>0</v>
      </c>
      <c r="AB303" s="3" t="e">
        <f t="shared" si="140"/>
        <v>#DIV/0!</v>
      </c>
      <c r="AC303" s="3" t="str">
        <f t="shared" si="141"/>
        <v/>
      </c>
      <c r="AD303" s="3">
        <f t="shared" si="128"/>
        <v>0</v>
      </c>
      <c r="AE303" s="3">
        <f t="shared" si="123"/>
        <v>0</v>
      </c>
      <c r="AF303" s="3">
        <f t="shared" si="129"/>
        <v>0</v>
      </c>
      <c r="AG303" s="3" t="e">
        <f>AF303 / SUM(F$2:F303)</f>
        <v>#DIV/0!</v>
      </c>
      <c r="AH303" s="3" t="e">
        <f t="shared" si="130"/>
        <v>#DIV/0!</v>
      </c>
      <c r="AI303" s="3">
        <f t="shared" si="131"/>
        <v>0</v>
      </c>
      <c r="AJ303" s="3" t="e">
        <f t="shared" si="132"/>
        <v>#DIV/0!</v>
      </c>
      <c r="AK303" s="3" t="e">
        <f t="shared" si="147"/>
        <v>#DIV/0!</v>
      </c>
    </row>
    <row r="304" spans="1:37" x14ac:dyDescent="0.3">
      <c r="A304" s="24">
        <v>0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f t="shared" si="120"/>
        <v>0</v>
      </c>
      <c r="H304" s="3">
        <f t="shared" si="137"/>
        <v>0</v>
      </c>
      <c r="I304" s="3">
        <f t="shared" si="142"/>
        <v>0</v>
      </c>
      <c r="J304" s="3">
        <f t="shared" si="143"/>
        <v>0</v>
      </c>
      <c r="K304" s="3">
        <f t="shared" si="144"/>
        <v>0</v>
      </c>
      <c r="L304" s="3">
        <f t="shared" si="145"/>
        <v>0</v>
      </c>
      <c r="M304" s="3" t="e">
        <f t="shared" si="124"/>
        <v>#DIV/0!</v>
      </c>
      <c r="N304" s="3" t="e">
        <f t="shared" si="133"/>
        <v>#DIV/0!</v>
      </c>
      <c r="O304" s="3" t="e">
        <f t="shared" si="146"/>
        <v>#DIV/0!</v>
      </c>
      <c r="P304" s="3">
        <f t="shared" si="134"/>
        <v>0</v>
      </c>
      <c r="Q304" s="3">
        <f t="shared" si="148"/>
        <v>0</v>
      </c>
      <c r="R304" s="3">
        <f t="shared" si="136"/>
        <v>0</v>
      </c>
      <c r="S304" s="3">
        <f t="shared" si="149"/>
        <v>0</v>
      </c>
      <c r="T304" s="3">
        <f t="shared" si="121"/>
        <v>0</v>
      </c>
      <c r="U304" s="3">
        <f t="shared" si="135"/>
        <v>0</v>
      </c>
      <c r="V304" s="3">
        <f t="shared" si="122"/>
        <v>0</v>
      </c>
      <c r="W304" s="3">
        <f t="shared" si="125"/>
        <v>0</v>
      </c>
      <c r="X304" s="3">
        <f t="shared" si="126"/>
        <v>0</v>
      </c>
      <c r="Y304" s="3">
        <f t="shared" si="127"/>
        <v>0</v>
      </c>
      <c r="Z304" s="3">
        <f t="shared" si="138"/>
        <v>0</v>
      </c>
      <c r="AA304" s="3">
        <f t="shared" si="139"/>
        <v>0</v>
      </c>
      <c r="AB304" s="3" t="e">
        <f t="shared" si="140"/>
        <v>#DIV/0!</v>
      </c>
      <c r="AC304" s="3" t="str">
        <f t="shared" si="141"/>
        <v/>
      </c>
      <c r="AD304" s="3">
        <f t="shared" si="128"/>
        <v>0</v>
      </c>
      <c r="AE304" s="3">
        <f t="shared" si="123"/>
        <v>0</v>
      </c>
      <c r="AF304" s="3">
        <f t="shared" si="129"/>
        <v>0</v>
      </c>
      <c r="AG304" s="3" t="e">
        <f>AF304 / SUM(F$2:F304)</f>
        <v>#DIV/0!</v>
      </c>
      <c r="AH304" s="3" t="e">
        <f t="shared" si="130"/>
        <v>#DIV/0!</v>
      </c>
      <c r="AI304" s="3">
        <f t="shared" si="131"/>
        <v>0</v>
      </c>
      <c r="AJ304" s="3" t="e">
        <f t="shared" si="132"/>
        <v>#DIV/0!</v>
      </c>
      <c r="AK304" s="3" t="e">
        <f t="shared" si="147"/>
        <v>#DIV/0!</v>
      </c>
    </row>
    <row r="305" spans="1:37" x14ac:dyDescent="0.3">
      <c r="A305" s="24">
        <v>0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f t="shared" si="120"/>
        <v>0</v>
      </c>
      <c r="H305" s="3">
        <f t="shared" si="137"/>
        <v>0</v>
      </c>
      <c r="I305" s="3">
        <f t="shared" si="142"/>
        <v>0</v>
      </c>
      <c r="J305" s="3">
        <f t="shared" si="143"/>
        <v>0</v>
      </c>
      <c r="K305" s="3">
        <f t="shared" si="144"/>
        <v>0</v>
      </c>
      <c r="L305" s="3">
        <f t="shared" si="145"/>
        <v>0</v>
      </c>
      <c r="M305" s="3" t="e">
        <f t="shared" si="124"/>
        <v>#DIV/0!</v>
      </c>
      <c r="N305" s="3" t="e">
        <f t="shared" si="133"/>
        <v>#DIV/0!</v>
      </c>
      <c r="O305" s="3" t="e">
        <f t="shared" si="146"/>
        <v>#DIV/0!</v>
      </c>
      <c r="P305" s="3">
        <f t="shared" si="134"/>
        <v>0</v>
      </c>
      <c r="Q305" s="3">
        <f t="shared" si="148"/>
        <v>0</v>
      </c>
      <c r="R305" s="3">
        <f t="shared" si="136"/>
        <v>0</v>
      </c>
      <c r="S305" s="3">
        <f t="shared" si="149"/>
        <v>0</v>
      </c>
      <c r="T305" s="3">
        <f t="shared" si="121"/>
        <v>0</v>
      </c>
      <c r="U305" s="3">
        <f t="shared" si="135"/>
        <v>0</v>
      </c>
      <c r="V305" s="3">
        <f t="shared" si="122"/>
        <v>0</v>
      </c>
      <c r="W305" s="3">
        <f t="shared" si="125"/>
        <v>0</v>
      </c>
      <c r="X305" s="3">
        <f t="shared" si="126"/>
        <v>0</v>
      </c>
      <c r="Y305" s="3">
        <f t="shared" si="127"/>
        <v>0</v>
      </c>
      <c r="Z305" s="3">
        <f t="shared" si="138"/>
        <v>0</v>
      </c>
      <c r="AA305" s="3">
        <f t="shared" si="139"/>
        <v>0</v>
      </c>
      <c r="AB305" s="3" t="e">
        <f t="shared" si="140"/>
        <v>#DIV/0!</v>
      </c>
      <c r="AC305" s="3" t="str">
        <f t="shared" si="141"/>
        <v/>
      </c>
      <c r="AD305" s="3">
        <f t="shared" si="128"/>
        <v>0</v>
      </c>
      <c r="AE305" s="3">
        <f t="shared" si="123"/>
        <v>0</v>
      </c>
      <c r="AF305" s="3">
        <f t="shared" si="129"/>
        <v>0</v>
      </c>
      <c r="AG305" s="3" t="e">
        <f>AF305 / SUM(F$2:F305)</f>
        <v>#DIV/0!</v>
      </c>
      <c r="AH305" s="3" t="e">
        <f t="shared" si="130"/>
        <v>#DIV/0!</v>
      </c>
      <c r="AI305" s="3">
        <f t="shared" si="131"/>
        <v>0</v>
      </c>
      <c r="AJ305" s="3" t="e">
        <f t="shared" si="132"/>
        <v>#DIV/0!</v>
      </c>
      <c r="AK305" s="3" t="e">
        <f t="shared" si="147"/>
        <v>#DIV/0!</v>
      </c>
    </row>
    <row r="306" spans="1:37" x14ac:dyDescent="0.3">
      <c r="A306" s="24">
        <v>0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f t="shared" si="120"/>
        <v>0</v>
      </c>
      <c r="H306" s="3">
        <f t="shared" si="137"/>
        <v>0</v>
      </c>
      <c r="I306" s="3">
        <f t="shared" si="142"/>
        <v>0</v>
      </c>
      <c r="J306" s="3">
        <f t="shared" si="143"/>
        <v>0</v>
      </c>
      <c r="K306" s="3">
        <f t="shared" si="144"/>
        <v>0</v>
      </c>
      <c r="L306" s="3">
        <f t="shared" si="145"/>
        <v>0</v>
      </c>
      <c r="M306" s="3" t="e">
        <f t="shared" si="124"/>
        <v>#DIV/0!</v>
      </c>
      <c r="N306" s="3" t="e">
        <f t="shared" si="133"/>
        <v>#DIV/0!</v>
      </c>
      <c r="O306" s="3" t="e">
        <f t="shared" si="146"/>
        <v>#DIV/0!</v>
      </c>
      <c r="P306" s="3">
        <f t="shared" si="134"/>
        <v>0</v>
      </c>
      <c r="Q306" s="3">
        <f t="shared" si="148"/>
        <v>0</v>
      </c>
      <c r="R306" s="3">
        <f t="shared" si="136"/>
        <v>0</v>
      </c>
      <c r="S306" s="3">
        <f t="shared" si="149"/>
        <v>0</v>
      </c>
      <c r="T306" s="3">
        <f t="shared" si="121"/>
        <v>0</v>
      </c>
      <c r="U306" s="3">
        <f t="shared" si="135"/>
        <v>0</v>
      </c>
      <c r="V306" s="3">
        <f t="shared" si="122"/>
        <v>0</v>
      </c>
      <c r="W306" s="3">
        <f t="shared" si="125"/>
        <v>0</v>
      </c>
      <c r="X306" s="3">
        <f t="shared" si="126"/>
        <v>0</v>
      </c>
      <c r="Y306" s="3">
        <f t="shared" si="127"/>
        <v>0</v>
      </c>
      <c r="Z306" s="3">
        <f t="shared" si="138"/>
        <v>0</v>
      </c>
      <c r="AA306" s="3">
        <f t="shared" si="139"/>
        <v>0</v>
      </c>
      <c r="AB306" s="3" t="e">
        <f t="shared" si="140"/>
        <v>#DIV/0!</v>
      </c>
      <c r="AC306" s="3" t="str">
        <f t="shared" si="141"/>
        <v/>
      </c>
      <c r="AD306" s="3">
        <f t="shared" si="128"/>
        <v>0</v>
      </c>
      <c r="AE306" s="3">
        <f t="shared" si="123"/>
        <v>0</v>
      </c>
      <c r="AF306" s="3">
        <f t="shared" si="129"/>
        <v>0</v>
      </c>
      <c r="AG306" s="3" t="e">
        <f>AF306 / SUM(F$2:F306)</f>
        <v>#DIV/0!</v>
      </c>
      <c r="AH306" s="3" t="e">
        <f t="shared" si="130"/>
        <v>#DIV/0!</v>
      </c>
      <c r="AI306" s="3">
        <f t="shared" si="131"/>
        <v>0</v>
      </c>
      <c r="AJ306" s="3" t="e">
        <f t="shared" si="132"/>
        <v>#DIV/0!</v>
      </c>
      <c r="AK306" s="3" t="e">
        <f t="shared" si="147"/>
        <v>#DIV/0!</v>
      </c>
    </row>
    <row r="307" spans="1:37" x14ac:dyDescent="0.3">
      <c r="A307" s="24">
        <v>0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f t="shared" si="120"/>
        <v>0</v>
      </c>
      <c r="H307" s="3">
        <f t="shared" si="137"/>
        <v>0</v>
      </c>
      <c r="I307" s="3">
        <f t="shared" si="142"/>
        <v>0</v>
      </c>
      <c r="J307" s="3">
        <f t="shared" si="143"/>
        <v>0</v>
      </c>
      <c r="K307" s="3">
        <f t="shared" si="144"/>
        <v>0</v>
      </c>
      <c r="L307" s="3">
        <f t="shared" si="145"/>
        <v>0</v>
      </c>
      <c r="M307" s="3" t="e">
        <f t="shared" si="124"/>
        <v>#DIV/0!</v>
      </c>
      <c r="N307" s="3" t="e">
        <f t="shared" si="133"/>
        <v>#DIV/0!</v>
      </c>
      <c r="O307" s="3" t="e">
        <f t="shared" si="146"/>
        <v>#DIV/0!</v>
      </c>
      <c r="P307" s="3">
        <f t="shared" si="134"/>
        <v>0</v>
      </c>
      <c r="Q307" s="3">
        <f t="shared" si="148"/>
        <v>0</v>
      </c>
      <c r="R307" s="3">
        <f t="shared" si="136"/>
        <v>0</v>
      </c>
      <c r="S307" s="3">
        <f t="shared" si="149"/>
        <v>0</v>
      </c>
      <c r="T307" s="3">
        <f t="shared" si="121"/>
        <v>0</v>
      </c>
      <c r="U307" s="3">
        <f t="shared" si="135"/>
        <v>0</v>
      </c>
      <c r="V307" s="3">
        <f t="shared" si="122"/>
        <v>0</v>
      </c>
      <c r="W307" s="3">
        <f t="shared" si="125"/>
        <v>0</v>
      </c>
      <c r="X307" s="3">
        <f t="shared" si="126"/>
        <v>0</v>
      </c>
      <c r="Y307" s="3">
        <f t="shared" si="127"/>
        <v>0</v>
      </c>
      <c r="Z307" s="3">
        <f t="shared" si="138"/>
        <v>0</v>
      </c>
      <c r="AA307" s="3">
        <f t="shared" si="139"/>
        <v>0</v>
      </c>
      <c r="AB307" s="3" t="e">
        <f t="shared" si="140"/>
        <v>#DIV/0!</v>
      </c>
      <c r="AC307" s="3" t="str">
        <f t="shared" si="141"/>
        <v/>
      </c>
      <c r="AD307" s="3">
        <f t="shared" si="128"/>
        <v>0</v>
      </c>
      <c r="AE307" s="3">
        <f t="shared" si="123"/>
        <v>0</v>
      </c>
      <c r="AF307" s="3">
        <f t="shared" si="129"/>
        <v>0</v>
      </c>
      <c r="AG307" s="3" t="e">
        <f>AF307 / SUM(F$2:F307)</f>
        <v>#DIV/0!</v>
      </c>
      <c r="AH307" s="3" t="e">
        <f t="shared" si="130"/>
        <v>#DIV/0!</v>
      </c>
      <c r="AI307" s="3">
        <f t="shared" si="131"/>
        <v>0</v>
      </c>
      <c r="AJ307" s="3" t="e">
        <f t="shared" si="132"/>
        <v>#DIV/0!</v>
      </c>
      <c r="AK307" s="3" t="e">
        <f t="shared" si="147"/>
        <v>#DIV/0!</v>
      </c>
    </row>
    <row r="308" spans="1:37" x14ac:dyDescent="0.3">
      <c r="A308" s="24">
        <v>0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f t="shared" si="120"/>
        <v>0</v>
      </c>
      <c r="H308" s="3">
        <f t="shared" si="137"/>
        <v>0</v>
      </c>
      <c r="I308" s="3">
        <f t="shared" si="142"/>
        <v>0</v>
      </c>
      <c r="J308" s="3">
        <f t="shared" si="143"/>
        <v>0</v>
      </c>
      <c r="K308" s="3">
        <f t="shared" si="144"/>
        <v>0</v>
      </c>
      <c r="L308" s="3">
        <f t="shared" si="145"/>
        <v>0</v>
      </c>
      <c r="M308" s="3" t="e">
        <f t="shared" si="124"/>
        <v>#DIV/0!</v>
      </c>
      <c r="N308" s="3" t="e">
        <f t="shared" si="133"/>
        <v>#DIV/0!</v>
      </c>
      <c r="O308" s="3" t="e">
        <f t="shared" si="146"/>
        <v>#DIV/0!</v>
      </c>
      <c r="P308" s="3">
        <f t="shared" si="134"/>
        <v>0</v>
      </c>
      <c r="Q308" s="3">
        <f t="shared" si="148"/>
        <v>0</v>
      </c>
      <c r="R308" s="3">
        <f t="shared" si="136"/>
        <v>0</v>
      </c>
      <c r="S308" s="3">
        <f t="shared" si="149"/>
        <v>0</v>
      </c>
      <c r="T308" s="3">
        <f t="shared" si="121"/>
        <v>0</v>
      </c>
      <c r="U308" s="3">
        <f t="shared" si="135"/>
        <v>0</v>
      </c>
      <c r="V308" s="3">
        <f t="shared" si="122"/>
        <v>0</v>
      </c>
      <c r="W308" s="3">
        <f t="shared" si="125"/>
        <v>0</v>
      </c>
      <c r="X308" s="3">
        <f t="shared" si="126"/>
        <v>0</v>
      </c>
      <c r="Y308" s="3">
        <f t="shared" si="127"/>
        <v>0</v>
      </c>
      <c r="Z308" s="3">
        <f t="shared" si="138"/>
        <v>0</v>
      </c>
      <c r="AA308" s="3">
        <f t="shared" si="139"/>
        <v>0</v>
      </c>
      <c r="AB308" s="3" t="e">
        <f t="shared" si="140"/>
        <v>#DIV/0!</v>
      </c>
      <c r="AC308" s="3" t="str">
        <f t="shared" si="141"/>
        <v/>
      </c>
      <c r="AD308" s="3">
        <f t="shared" si="128"/>
        <v>0</v>
      </c>
      <c r="AE308" s="3">
        <f t="shared" si="123"/>
        <v>0</v>
      </c>
      <c r="AF308" s="3">
        <f t="shared" si="129"/>
        <v>0</v>
      </c>
      <c r="AG308" s="3" t="e">
        <f>AF308 / SUM(F$2:F308)</f>
        <v>#DIV/0!</v>
      </c>
      <c r="AH308" s="3" t="e">
        <f t="shared" si="130"/>
        <v>#DIV/0!</v>
      </c>
      <c r="AI308" s="3">
        <f t="shared" si="131"/>
        <v>0</v>
      </c>
      <c r="AJ308" s="3" t="e">
        <f t="shared" si="132"/>
        <v>#DIV/0!</v>
      </c>
      <c r="AK308" s="3" t="e">
        <f t="shared" si="147"/>
        <v>#DIV/0!</v>
      </c>
    </row>
    <row r="309" spans="1:37" x14ac:dyDescent="0.3">
      <c r="A309" s="24">
        <v>0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f t="shared" si="120"/>
        <v>0</v>
      </c>
      <c r="H309" s="3">
        <f t="shared" si="137"/>
        <v>0</v>
      </c>
      <c r="I309" s="3">
        <f t="shared" si="142"/>
        <v>0</v>
      </c>
      <c r="J309" s="3">
        <f t="shared" si="143"/>
        <v>0</v>
      </c>
      <c r="K309" s="3">
        <f t="shared" si="144"/>
        <v>0</v>
      </c>
      <c r="L309" s="3">
        <f t="shared" si="145"/>
        <v>0</v>
      </c>
      <c r="M309" s="3" t="e">
        <f t="shared" si="124"/>
        <v>#DIV/0!</v>
      </c>
      <c r="N309" s="3" t="e">
        <f t="shared" si="133"/>
        <v>#DIV/0!</v>
      </c>
      <c r="O309" s="3" t="e">
        <f t="shared" si="146"/>
        <v>#DIV/0!</v>
      </c>
      <c r="P309" s="3">
        <f t="shared" si="134"/>
        <v>0</v>
      </c>
      <c r="Q309" s="3">
        <f t="shared" si="148"/>
        <v>0</v>
      </c>
      <c r="R309" s="3">
        <f t="shared" si="136"/>
        <v>0</v>
      </c>
      <c r="S309" s="3">
        <f t="shared" si="149"/>
        <v>0</v>
      </c>
      <c r="T309" s="3">
        <f t="shared" si="121"/>
        <v>0</v>
      </c>
      <c r="U309" s="3">
        <f t="shared" si="135"/>
        <v>0</v>
      </c>
      <c r="V309" s="3">
        <f t="shared" si="122"/>
        <v>0</v>
      </c>
      <c r="W309" s="3">
        <f t="shared" si="125"/>
        <v>0</v>
      </c>
      <c r="X309" s="3">
        <f t="shared" si="126"/>
        <v>0</v>
      </c>
      <c r="Y309" s="3">
        <f t="shared" si="127"/>
        <v>0</v>
      </c>
      <c r="Z309" s="3">
        <f t="shared" si="138"/>
        <v>0</v>
      </c>
      <c r="AA309" s="3">
        <f t="shared" si="139"/>
        <v>0</v>
      </c>
      <c r="AB309" s="3" t="e">
        <f t="shared" si="140"/>
        <v>#DIV/0!</v>
      </c>
      <c r="AC309" s="3" t="str">
        <f t="shared" si="141"/>
        <v/>
      </c>
      <c r="AD309" s="3">
        <f t="shared" si="128"/>
        <v>0</v>
      </c>
      <c r="AE309" s="3">
        <f t="shared" si="123"/>
        <v>0</v>
      </c>
      <c r="AF309" s="3">
        <f t="shared" si="129"/>
        <v>0</v>
      </c>
      <c r="AG309" s="3" t="e">
        <f>AF309 / SUM(F$2:F309)</f>
        <v>#DIV/0!</v>
      </c>
      <c r="AH309" s="3" t="e">
        <f t="shared" si="130"/>
        <v>#DIV/0!</v>
      </c>
      <c r="AI309" s="3">
        <f t="shared" si="131"/>
        <v>0</v>
      </c>
      <c r="AJ309" s="3" t="e">
        <f t="shared" si="132"/>
        <v>#DIV/0!</v>
      </c>
      <c r="AK309" s="3" t="e">
        <f t="shared" si="147"/>
        <v>#DIV/0!</v>
      </c>
    </row>
    <row r="310" spans="1:37" x14ac:dyDescent="0.3">
      <c r="A310" s="24">
        <v>0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f t="shared" si="120"/>
        <v>0</v>
      </c>
      <c r="H310" s="3">
        <f t="shared" si="137"/>
        <v>0</v>
      </c>
      <c r="I310" s="3">
        <f t="shared" si="142"/>
        <v>0</v>
      </c>
      <c r="J310" s="3">
        <f t="shared" si="143"/>
        <v>0</v>
      </c>
      <c r="K310" s="3">
        <f t="shared" si="144"/>
        <v>0</v>
      </c>
      <c r="L310" s="3">
        <f t="shared" si="145"/>
        <v>0</v>
      </c>
      <c r="M310" s="3" t="e">
        <f t="shared" si="124"/>
        <v>#DIV/0!</v>
      </c>
      <c r="N310" s="3" t="e">
        <f t="shared" si="133"/>
        <v>#DIV/0!</v>
      </c>
      <c r="O310" s="3" t="e">
        <f t="shared" si="146"/>
        <v>#DIV/0!</v>
      </c>
      <c r="P310" s="3">
        <f t="shared" si="134"/>
        <v>0</v>
      </c>
      <c r="Q310" s="3">
        <f t="shared" si="148"/>
        <v>0</v>
      </c>
      <c r="R310" s="3">
        <f t="shared" si="136"/>
        <v>0</v>
      </c>
      <c r="S310" s="3">
        <f t="shared" si="149"/>
        <v>0</v>
      </c>
      <c r="T310" s="3">
        <f t="shared" si="121"/>
        <v>0</v>
      </c>
      <c r="U310" s="3">
        <f t="shared" si="135"/>
        <v>0</v>
      </c>
      <c r="V310" s="3">
        <f t="shared" si="122"/>
        <v>0</v>
      </c>
      <c r="W310" s="3">
        <f t="shared" si="125"/>
        <v>0</v>
      </c>
      <c r="X310" s="3">
        <f t="shared" si="126"/>
        <v>0</v>
      </c>
      <c r="Y310" s="3">
        <f t="shared" si="127"/>
        <v>0</v>
      </c>
      <c r="Z310" s="3">
        <f t="shared" si="138"/>
        <v>0</v>
      </c>
      <c r="AA310" s="3">
        <f t="shared" si="139"/>
        <v>0</v>
      </c>
      <c r="AB310" s="3" t="e">
        <f t="shared" si="140"/>
        <v>#DIV/0!</v>
      </c>
      <c r="AC310" s="3" t="str">
        <f t="shared" si="141"/>
        <v/>
      </c>
      <c r="AD310" s="3">
        <f t="shared" si="128"/>
        <v>0</v>
      </c>
      <c r="AE310" s="3">
        <f t="shared" si="123"/>
        <v>0</v>
      </c>
      <c r="AF310" s="3">
        <f t="shared" si="129"/>
        <v>0</v>
      </c>
      <c r="AG310" s="3" t="e">
        <f>AF310 / SUM(F$2:F310)</f>
        <v>#DIV/0!</v>
      </c>
      <c r="AH310" s="3" t="e">
        <f t="shared" si="130"/>
        <v>#DIV/0!</v>
      </c>
      <c r="AI310" s="3">
        <f t="shared" si="131"/>
        <v>0</v>
      </c>
      <c r="AJ310" s="3" t="e">
        <f t="shared" si="132"/>
        <v>#DIV/0!</v>
      </c>
      <c r="AK310" s="3" t="e">
        <f t="shared" si="147"/>
        <v>#DIV/0!</v>
      </c>
    </row>
    <row r="311" spans="1:37" x14ac:dyDescent="0.3">
      <c r="A311" s="24">
        <v>0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f t="shared" si="120"/>
        <v>0</v>
      </c>
      <c r="H311" s="3">
        <f t="shared" si="137"/>
        <v>0</v>
      </c>
      <c r="I311" s="3">
        <f t="shared" si="142"/>
        <v>0</v>
      </c>
      <c r="J311" s="3">
        <f t="shared" si="143"/>
        <v>0</v>
      </c>
      <c r="K311" s="3">
        <f t="shared" si="144"/>
        <v>0</v>
      </c>
      <c r="L311" s="3">
        <f t="shared" si="145"/>
        <v>0</v>
      </c>
      <c r="M311" s="3" t="e">
        <f t="shared" si="124"/>
        <v>#DIV/0!</v>
      </c>
      <c r="N311" s="3" t="e">
        <f t="shared" si="133"/>
        <v>#DIV/0!</v>
      </c>
      <c r="O311" s="3" t="e">
        <f t="shared" si="146"/>
        <v>#DIV/0!</v>
      </c>
      <c r="P311" s="3">
        <f t="shared" si="134"/>
        <v>0</v>
      </c>
      <c r="Q311" s="3">
        <f t="shared" si="148"/>
        <v>0</v>
      </c>
      <c r="R311" s="3">
        <f t="shared" si="136"/>
        <v>0</v>
      </c>
      <c r="S311" s="3">
        <f t="shared" si="149"/>
        <v>0</v>
      </c>
      <c r="T311" s="3">
        <f t="shared" si="121"/>
        <v>0</v>
      </c>
      <c r="U311" s="3">
        <f t="shared" si="135"/>
        <v>0</v>
      </c>
      <c r="V311" s="3">
        <f t="shared" si="122"/>
        <v>0</v>
      </c>
      <c r="W311" s="3">
        <f t="shared" si="125"/>
        <v>0</v>
      </c>
      <c r="X311" s="3">
        <f t="shared" si="126"/>
        <v>0</v>
      </c>
      <c r="Y311" s="3">
        <f t="shared" si="127"/>
        <v>0</v>
      </c>
      <c r="Z311" s="3">
        <f t="shared" si="138"/>
        <v>0</v>
      </c>
      <c r="AA311" s="3">
        <f t="shared" si="139"/>
        <v>0</v>
      </c>
      <c r="AB311" s="3" t="e">
        <f t="shared" si="140"/>
        <v>#DIV/0!</v>
      </c>
      <c r="AC311" s="3" t="str">
        <f t="shared" si="141"/>
        <v/>
      </c>
      <c r="AD311" s="3">
        <f t="shared" si="128"/>
        <v>0</v>
      </c>
      <c r="AE311" s="3">
        <f t="shared" si="123"/>
        <v>0</v>
      </c>
      <c r="AF311" s="3">
        <f t="shared" si="129"/>
        <v>0</v>
      </c>
      <c r="AG311" s="3" t="e">
        <f>AF311 / SUM(F$2:F311)</f>
        <v>#DIV/0!</v>
      </c>
      <c r="AH311" s="3" t="e">
        <f t="shared" si="130"/>
        <v>#DIV/0!</v>
      </c>
      <c r="AI311" s="3">
        <f t="shared" si="131"/>
        <v>0</v>
      </c>
      <c r="AJ311" s="3" t="e">
        <f t="shared" si="132"/>
        <v>#DIV/0!</v>
      </c>
      <c r="AK311" s="3" t="e">
        <f t="shared" si="147"/>
        <v>#DIV/0!</v>
      </c>
    </row>
    <row r="312" spans="1:37" x14ac:dyDescent="0.3">
      <c r="A312" s="24">
        <v>0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f t="shared" si="120"/>
        <v>0</v>
      </c>
      <c r="H312" s="3">
        <f t="shared" si="137"/>
        <v>0</v>
      </c>
      <c r="I312" s="3">
        <f t="shared" si="142"/>
        <v>0</v>
      </c>
      <c r="J312" s="3">
        <f t="shared" si="143"/>
        <v>0</v>
      </c>
      <c r="K312" s="3">
        <f t="shared" si="144"/>
        <v>0</v>
      </c>
      <c r="L312" s="3">
        <f t="shared" si="145"/>
        <v>0</v>
      </c>
      <c r="M312" s="3" t="e">
        <f t="shared" si="124"/>
        <v>#DIV/0!</v>
      </c>
      <c r="N312" s="3" t="e">
        <f t="shared" si="133"/>
        <v>#DIV/0!</v>
      </c>
      <c r="O312" s="3" t="e">
        <f t="shared" si="146"/>
        <v>#DIV/0!</v>
      </c>
      <c r="P312" s="3">
        <f t="shared" si="134"/>
        <v>0</v>
      </c>
      <c r="Q312" s="3">
        <f t="shared" si="148"/>
        <v>0</v>
      </c>
      <c r="R312" s="3">
        <f t="shared" si="136"/>
        <v>0</v>
      </c>
      <c r="S312" s="3">
        <f t="shared" si="149"/>
        <v>0</v>
      </c>
      <c r="T312" s="3">
        <f t="shared" si="121"/>
        <v>0</v>
      </c>
      <c r="U312" s="3">
        <f t="shared" si="135"/>
        <v>0</v>
      </c>
      <c r="V312" s="3">
        <f t="shared" si="122"/>
        <v>0</v>
      </c>
      <c r="W312" s="3">
        <f t="shared" si="125"/>
        <v>0</v>
      </c>
      <c r="X312" s="3">
        <f t="shared" si="126"/>
        <v>0</v>
      </c>
      <c r="Y312" s="3">
        <f t="shared" si="127"/>
        <v>0</v>
      </c>
      <c r="Z312" s="3">
        <f t="shared" si="138"/>
        <v>0</v>
      </c>
      <c r="AA312" s="3">
        <f t="shared" si="139"/>
        <v>0</v>
      </c>
      <c r="AB312" s="3" t="e">
        <f t="shared" si="140"/>
        <v>#DIV/0!</v>
      </c>
      <c r="AC312" s="3" t="str">
        <f t="shared" si="141"/>
        <v/>
      </c>
      <c r="AD312" s="3">
        <f t="shared" si="128"/>
        <v>0</v>
      </c>
      <c r="AE312" s="3">
        <f t="shared" si="123"/>
        <v>0</v>
      </c>
      <c r="AF312" s="3">
        <f t="shared" si="129"/>
        <v>0</v>
      </c>
      <c r="AG312" s="3" t="e">
        <f>AF312 / SUM(F$2:F312)</f>
        <v>#DIV/0!</v>
      </c>
      <c r="AH312" s="3" t="e">
        <f t="shared" si="130"/>
        <v>#DIV/0!</v>
      </c>
      <c r="AI312" s="3">
        <f t="shared" si="131"/>
        <v>0</v>
      </c>
      <c r="AJ312" s="3" t="e">
        <f t="shared" si="132"/>
        <v>#DIV/0!</v>
      </c>
      <c r="AK312" s="3" t="e">
        <f t="shared" si="147"/>
        <v>#DIV/0!</v>
      </c>
    </row>
    <row r="313" spans="1:37" x14ac:dyDescent="0.3">
      <c r="A313" s="24">
        <v>0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f t="shared" si="120"/>
        <v>0</v>
      </c>
      <c r="H313" s="3">
        <f t="shared" si="137"/>
        <v>0</v>
      </c>
      <c r="I313" s="3">
        <f t="shared" si="142"/>
        <v>0</v>
      </c>
      <c r="J313" s="3">
        <f t="shared" si="143"/>
        <v>0</v>
      </c>
      <c r="K313" s="3">
        <f t="shared" si="144"/>
        <v>0</v>
      </c>
      <c r="L313" s="3">
        <f t="shared" si="145"/>
        <v>0</v>
      </c>
      <c r="M313" s="3" t="e">
        <f t="shared" si="124"/>
        <v>#DIV/0!</v>
      </c>
      <c r="N313" s="3" t="e">
        <f t="shared" si="133"/>
        <v>#DIV/0!</v>
      </c>
      <c r="O313" s="3" t="e">
        <f t="shared" si="146"/>
        <v>#DIV/0!</v>
      </c>
      <c r="P313" s="3">
        <f t="shared" si="134"/>
        <v>0</v>
      </c>
      <c r="Q313" s="3">
        <f t="shared" si="148"/>
        <v>0</v>
      </c>
      <c r="R313" s="3">
        <f t="shared" si="136"/>
        <v>0</v>
      </c>
      <c r="S313" s="3">
        <f t="shared" si="149"/>
        <v>0</v>
      </c>
      <c r="T313" s="3">
        <f t="shared" si="121"/>
        <v>0</v>
      </c>
      <c r="U313" s="3">
        <f t="shared" si="135"/>
        <v>0</v>
      </c>
      <c r="V313" s="3">
        <f t="shared" si="122"/>
        <v>0</v>
      </c>
      <c r="W313" s="3">
        <f t="shared" si="125"/>
        <v>0</v>
      </c>
      <c r="X313" s="3">
        <f t="shared" si="126"/>
        <v>0</v>
      </c>
      <c r="Y313" s="3">
        <f t="shared" si="127"/>
        <v>0</v>
      </c>
      <c r="Z313" s="3">
        <f t="shared" si="138"/>
        <v>0</v>
      </c>
      <c r="AA313" s="3">
        <f t="shared" si="139"/>
        <v>0</v>
      </c>
      <c r="AB313" s="3" t="e">
        <f t="shared" si="140"/>
        <v>#DIV/0!</v>
      </c>
      <c r="AC313" s="3" t="str">
        <f t="shared" si="141"/>
        <v/>
      </c>
      <c r="AD313" s="3">
        <f t="shared" si="128"/>
        <v>0</v>
      </c>
      <c r="AE313" s="3">
        <f t="shared" si="123"/>
        <v>0</v>
      </c>
      <c r="AF313" s="3">
        <f t="shared" si="129"/>
        <v>0</v>
      </c>
      <c r="AG313" s="3" t="e">
        <f>AF313 / SUM(F$2:F313)</f>
        <v>#DIV/0!</v>
      </c>
      <c r="AH313" s="3" t="e">
        <f t="shared" si="130"/>
        <v>#DIV/0!</v>
      </c>
      <c r="AI313" s="3">
        <f t="shared" si="131"/>
        <v>0</v>
      </c>
      <c r="AJ313" s="3" t="e">
        <f t="shared" si="132"/>
        <v>#DIV/0!</v>
      </c>
      <c r="AK313" s="3" t="e">
        <f t="shared" si="147"/>
        <v>#DIV/0!</v>
      </c>
    </row>
    <row r="314" spans="1:37" x14ac:dyDescent="0.3">
      <c r="A314" s="24">
        <v>0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f t="shared" si="120"/>
        <v>0</v>
      </c>
      <c r="H314" s="3">
        <f t="shared" si="137"/>
        <v>0</v>
      </c>
      <c r="I314" s="3">
        <f t="shared" si="142"/>
        <v>0</v>
      </c>
      <c r="J314" s="3">
        <f t="shared" si="143"/>
        <v>0</v>
      </c>
      <c r="K314" s="3">
        <f t="shared" si="144"/>
        <v>0</v>
      </c>
      <c r="L314" s="3">
        <f t="shared" si="145"/>
        <v>0</v>
      </c>
      <c r="M314" s="3" t="e">
        <f t="shared" si="124"/>
        <v>#DIV/0!</v>
      </c>
      <c r="N314" s="3" t="e">
        <f t="shared" si="133"/>
        <v>#DIV/0!</v>
      </c>
      <c r="O314" s="3" t="e">
        <f t="shared" si="146"/>
        <v>#DIV/0!</v>
      </c>
      <c r="P314" s="3">
        <f t="shared" si="134"/>
        <v>0</v>
      </c>
      <c r="Q314" s="3">
        <f t="shared" si="148"/>
        <v>0</v>
      </c>
      <c r="R314" s="3">
        <f t="shared" si="136"/>
        <v>0</v>
      </c>
      <c r="S314" s="3">
        <f t="shared" si="149"/>
        <v>0</v>
      </c>
      <c r="T314" s="3">
        <f t="shared" si="121"/>
        <v>0</v>
      </c>
      <c r="U314" s="3">
        <f t="shared" si="135"/>
        <v>0</v>
      </c>
      <c r="V314" s="3">
        <f t="shared" si="122"/>
        <v>0</v>
      </c>
      <c r="W314" s="3">
        <f t="shared" si="125"/>
        <v>0</v>
      </c>
      <c r="X314" s="3">
        <f t="shared" si="126"/>
        <v>0</v>
      </c>
      <c r="Y314" s="3">
        <f t="shared" si="127"/>
        <v>0</v>
      </c>
      <c r="Z314" s="3">
        <f t="shared" si="138"/>
        <v>0</v>
      </c>
      <c r="AA314" s="3">
        <f t="shared" si="139"/>
        <v>0</v>
      </c>
      <c r="AB314" s="3" t="e">
        <f t="shared" si="140"/>
        <v>#DIV/0!</v>
      </c>
      <c r="AC314" s="3" t="str">
        <f t="shared" si="141"/>
        <v/>
      </c>
      <c r="AD314" s="3">
        <f t="shared" si="128"/>
        <v>0</v>
      </c>
      <c r="AE314" s="3">
        <f t="shared" si="123"/>
        <v>0</v>
      </c>
      <c r="AF314" s="3">
        <f t="shared" si="129"/>
        <v>0</v>
      </c>
      <c r="AG314" s="3" t="e">
        <f>AF314 / SUM(F$2:F314)</f>
        <v>#DIV/0!</v>
      </c>
      <c r="AH314" s="3" t="e">
        <f t="shared" si="130"/>
        <v>#DIV/0!</v>
      </c>
      <c r="AI314" s="3">
        <f t="shared" si="131"/>
        <v>0</v>
      </c>
      <c r="AJ314" s="3" t="e">
        <f t="shared" si="132"/>
        <v>#DIV/0!</v>
      </c>
      <c r="AK314" s="3" t="e">
        <f t="shared" si="147"/>
        <v>#DIV/0!</v>
      </c>
    </row>
    <row r="315" spans="1:37" x14ac:dyDescent="0.3">
      <c r="A315" s="24">
        <v>0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f t="shared" si="120"/>
        <v>0</v>
      </c>
      <c r="H315" s="3">
        <f t="shared" si="137"/>
        <v>0</v>
      </c>
      <c r="I315" s="3">
        <f t="shared" si="142"/>
        <v>0</v>
      </c>
      <c r="J315" s="3">
        <f t="shared" si="143"/>
        <v>0</v>
      </c>
      <c r="K315" s="3">
        <f t="shared" si="144"/>
        <v>0</v>
      </c>
      <c r="L315" s="3">
        <f t="shared" si="145"/>
        <v>0</v>
      </c>
      <c r="M315" s="3" t="e">
        <f t="shared" si="124"/>
        <v>#DIV/0!</v>
      </c>
      <c r="N315" s="3" t="e">
        <f t="shared" si="133"/>
        <v>#DIV/0!</v>
      </c>
      <c r="O315" s="3" t="e">
        <f t="shared" si="146"/>
        <v>#DIV/0!</v>
      </c>
      <c r="P315" s="3">
        <f t="shared" si="134"/>
        <v>0</v>
      </c>
      <c r="Q315" s="3">
        <f t="shared" si="148"/>
        <v>0</v>
      </c>
      <c r="R315" s="3">
        <f t="shared" si="136"/>
        <v>0</v>
      </c>
      <c r="S315" s="3">
        <f t="shared" si="149"/>
        <v>0</v>
      </c>
      <c r="T315" s="3">
        <f t="shared" si="121"/>
        <v>0</v>
      </c>
      <c r="U315" s="3">
        <f t="shared" si="135"/>
        <v>0</v>
      </c>
      <c r="V315" s="3">
        <f t="shared" si="122"/>
        <v>0</v>
      </c>
      <c r="W315" s="3">
        <f t="shared" si="125"/>
        <v>0</v>
      </c>
      <c r="X315" s="3">
        <f t="shared" si="126"/>
        <v>0</v>
      </c>
      <c r="Y315" s="3">
        <f t="shared" si="127"/>
        <v>0</v>
      </c>
      <c r="Z315" s="3">
        <f t="shared" si="138"/>
        <v>0</v>
      </c>
      <c r="AA315" s="3">
        <f t="shared" si="139"/>
        <v>0</v>
      </c>
      <c r="AB315" s="3" t="e">
        <f t="shared" si="140"/>
        <v>#DIV/0!</v>
      </c>
      <c r="AC315" s="3" t="str">
        <f t="shared" si="141"/>
        <v/>
      </c>
      <c r="AD315" s="3">
        <f t="shared" si="128"/>
        <v>0</v>
      </c>
      <c r="AE315" s="3">
        <f t="shared" si="123"/>
        <v>0</v>
      </c>
      <c r="AF315" s="3">
        <f t="shared" si="129"/>
        <v>0</v>
      </c>
      <c r="AG315" s="3" t="e">
        <f>AF315 / SUM(F$2:F315)</f>
        <v>#DIV/0!</v>
      </c>
      <c r="AH315" s="3" t="e">
        <f t="shared" si="130"/>
        <v>#DIV/0!</v>
      </c>
      <c r="AI315" s="3">
        <f t="shared" si="131"/>
        <v>0</v>
      </c>
      <c r="AJ315" s="3" t="e">
        <f t="shared" si="132"/>
        <v>#DIV/0!</v>
      </c>
      <c r="AK315" s="3" t="e">
        <f t="shared" si="147"/>
        <v>#DIV/0!</v>
      </c>
    </row>
    <row r="316" spans="1:37" x14ac:dyDescent="0.3">
      <c r="A316" s="24">
        <v>0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f t="shared" si="120"/>
        <v>0</v>
      </c>
      <c r="H316" s="3">
        <f t="shared" si="137"/>
        <v>0</v>
      </c>
      <c r="I316" s="3">
        <f t="shared" si="142"/>
        <v>0</v>
      </c>
      <c r="J316" s="3">
        <f t="shared" si="143"/>
        <v>0</v>
      </c>
      <c r="K316" s="3">
        <f t="shared" si="144"/>
        <v>0</v>
      </c>
      <c r="L316" s="3">
        <f t="shared" si="145"/>
        <v>0</v>
      </c>
      <c r="M316" s="3" t="e">
        <f t="shared" si="124"/>
        <v>#DIV/0!</v>
      </c>
      <c r="N316" s="3" t="e">
        <f t="shared" si="133"/>
        <v>#DIV/0!</v>
      </c>
      <c r="O316" s="3" t="e">
        <f t="shared" si="146"/>
        <v>#DIV/0!</v>
      </c>
      <c r="P316" s="3">
        <f t="shared" si="134"/>
        <v>0</v>
      </c>
      <c r="Q316" s="3">
        <f t="shared" si="148"/>
        <v>0</v>
      </c>
      <c r="R316" s="3">
        <f t="shared" si="136"/>
        <v>0</v>
      </c>
      <c r="S316" s="3">
        <f t="shared" si="149"/>
        <v>0</v>
      </c>
      <c r="T316" s="3">
        <f t="shared" si="121"/>
        <v>0</v>
      </c>
      <c r="U316" s="3">
        <f t="shared" si="135"/>
        <v>0</v>
      </c>
      <c r="V316" s="3">
        <f t="shared" si="122"/>
        <v>0</v>
      </c>
      <c r="W316" s="3">
        <f t="shared" si="125"/>
        <v>0</v>
      </c>
      <c r="X316" s="3">
        <f t="shared" si="126"/>
        <v>0</v>
      </c>
      <c r="Y316" s="3">
        <f t="shared" si="127"/>
        <v>0</v>
      </c>
      <c r="Z316" s="3">
        <f t="shared" si="138"/>
        <v>0</v>
      </c>
      <c r="AA316" s="3">
        <f t="shared" si="139"/>
        <v>0</v>
      </c>
      <c r="AB316" s="3" t="e">
        <f t="shared" si="140"/>
        <v>#DIV/0!</v>
      </c>
      <c r="AC316" s="3" t="str">
        <f t="shared" si="141"/>
        <v/>
      </c>
      <c r="AD316" s="3">
        <f t="shared" si="128"/>
        <v>0</v>
      </c>
      <c r="AE316" s="3">
        <f t="shared" si="123"/>
        <v>0</v>
      </c>
      <c r="AF316" s="3">
        <f t="shared" si="129"/>
        <v>0</v>
      </c>
      <c r="AG316" s="3" t="e">
        <f>AF316 / SUM(F$2:F316)</f>
        <v>#DIV/0!</v>
      </c>
      <c r="AH316" s="3" t="e">
        <f t="shared" si="130"/>
        <v>#DIV/0!</v>
      </c>
      <c r="AI316" s="3">
        <f t="shared" si="131"/>
        <v>0</v>
      </c>
      <c r="AJ316" s="3" t="e">
        <f t="shared" si="132"/>
        <v>#DIV/0!</v>
      </c>
      <c r="AK316" s="3" t="e">
        <f t="shared" si="147"/>
        <v>#DIV/0!</v>
      </c>
    </row>
    <row r="317" spans="1:37" x14ac:dyDescent="0.3">
      <c r="A317" s="24">
        <v>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f t="shared" si="120"/>
        <v>0</v>
      </c>
      <c r="H317" s="3">
        <f t="shared" si="137"/>
        <v>0</v>
      </c>
      <c r="I317" s="3">
        <f t="shared" si="142"/>
        <v>0</v>
      </c>
      <c r="J317" s="3">
        <f t="shared" si="143"/>
        <v>0</v>
      </c>
      <c r="K317" s="3">
        <f t="shared" si="144"/>
        <v>0</v>
      </c>
      <c r="L317" s="3">
        <f t="shared" si="145"/>
        <v>0</v>
      </c>
      <c r="M317" s="3" t="e">
        <f t="shared" si="124"/>
        <v>#DIV/0!</v>
      </c>
      <c r="N317" s="3" t="e">
        <f t="shared" si="133"/>
        <v>#DIV/0!</v>
      </c>
      <c r="O317" s="3" t="e">
        <f t="shared" si="146"/>
        <v>#DIV/0!</v>
      </c>
      <c r="P317" s="3">
        <f t="shared" si="134"/>
        <v>0</v>
      </c>
      <c r="Q317" s="3">
        <f t="shared" si="148"/>
        <v>0</v>
      </c>
      <c r="R317" s="3">
        <f t="shared" si="136"/>
        <v>0</v>
      </c>
      <c r="S317" s="3">
        <f t="shared" si="149"/>
        <v>0</v>
      </c>
      <c r="T317" s="3">
        <f t="shared" si="121"/>
        <v>0</v>
      </c>
      <c r="U317" s="3">
        <f t="shared" si="135"/>
        <v>0</v>
      </c>
      <c r="V317" s="3">
        <f t="shared" si="122"/>
        <v>0</v>
      </c>
      <c r="W317" s="3">
        <f t="shared" si="125"/>
        <v>0</v>
      </c>
      <c r="X317" s="3">
        <f t="shared" si="126"/>
        <v>0</v>
      </c>
      <c r="Y317" s="3">
        <f t="shared" si="127"/>
        <v>0</v>
      </c>
      <c r="Z317" s="3">
        <f t="shared" si="138"/>
        <v>0</v>
      </c>
      <c r="AA317" s="3">
        <f t="shared" si="139"/>
        <v>0</v>
      </c>
      <c r="AB317" s="3" t="e">
        <f t="shared" si="140"/>
        <v>#DIV/0!</v>
      </c>
      <c r="AC317" s="3" t="str">
        <f t="shared" si="141"/>
        <v/>
      </c>
      <c r="AD317" s="3">
        <f t="shared" si="128"/>
        <v>0</v>
      </c>
      <c r="AE317" s="3">
        <f t="shared" si="123"/>
        <v>0</v>
      </c>
      <c r="AF317" s="3">
        <f t="shared" si="129"/>
        <v>0</v>
      </c>
      <c r="AG317" s="3" t="e">
        <f>AF317 / SUM(F$2:F317)</f>
        <v>#DIV/0!</v>
      </c>
      <c r="AH317" s="3" t="e">
        <f t="shared" si="130"/>
        <v>#DIV/0!</v>
      </c>
      <c r="AI317" s="3">
        <f t="shared" si="131"/>
        <v>0</v>
      </c>
      <c r="AJ317" s="3" t="e">
        <f t="shared" si="132"/>
        <v>#DIV/0!</v>
      </c>
      <c r="AK317" s="3" t="e">
        <f t="shared" si="147"/>
        <v>#DIV/0!</v>
      </c>
    </row>
    <row r="318" spans="1:37" x14ac:dyDescent="0.3">
      <c r="A318" s="24">
        <v>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f t="shared" si="120"/>
        <v>0</v>
      </c>
      <c r="H318" s="3">
        <f t="shared" si="137"/>
        <v>0</v>
      </c>
      <c r="I318" s="3">
        <f t="shared" si="142"/>
        <v>0</v>
      </c>
      <c r="J318" s="3">
        <f t="shared" si="143"/>
        <v>0</v>
      </c>
      <c r="K318" s="3">
        <f t="shared" si="144"/>
        <v>0</v>
      </c>
      <c r="L318" s="3">
        <f t="shared" si="145"/>
        <v>0</v>
      </c>
      <c r="M318" s="3" t="e">
        <f t="shared" si="124"/>
        <v>#DIV/0!</v>
      </c>
      <c r="N318" s="3" t="e">
        <f t="shared" si="133"/>
        <v>#DIV/0!</v>
      </c>
      <c r="O318" s="3" t="e">
        <f t="shared" si="146"/>
        <v>#DIV/0!</v>
      </c>
      <c r="P318" s="3">
        <f t="shared" si="134"/>
        <v>0</v>
      </c>
      <c r="Q318" s="3">
        <f t="shared" si="148"/>
        <v>0</v>
      </c>
      <c r="R318" s="3">
        <f t="shared" si="136"/>
        <v>0</v>
      </c>
      <c r="S318" s="3">
        <f t="shared" si="149"/>
        <v>0</v>
      </c>
      <c r="T318" s="3">
        <f t="shared" si="121"/>
        <v>0</v>
      </c>
      <c r="U318" s="3">
        <f t="shared" si="135"/>
        <v>0</v>
      </c>
      <c r="V318" s="3">
        <f t="shared" si="122"/>
        <v>0</v>
      </c>
      <c r="W318" s="3">
        <f t="shared" si="125"/>
        <v>0</v>
      </c>
      <c r="X318" s="3">
        <f t="shared" si="126"/>
        <v>0</v>
      </c>
      <c r="Y318" s="3">
        <f t="shared" si="127"/>
        <v>0</v>
      </c>
      <c r="Z318" s="3">
        <f t="shared" si="138"/>
        <v>0</v>
      </c>
      <c r="AA318" s="3">
        <f t="shared" si="139"/>
        <v>0</v>
      </c>
      <c r="AB318" s="3" t="e">
        <f t="shared" si="140"/>
        <v>#DIV/0!</v>
      </c>
      <c r="AC318" s="3" t="str">
        <f t="shared" si="141"/>
        <v/>
      </c>
      <c r="AD318" s="3">
        <f t="shared" si="128"/>
        <v>0</v>
      </c>
      <c r="AE318" s="3">
        <f t="shared" si="123"/>
        <v>0</v>
      </c>
      <c r="AF318" s="3">
        <f t="shared" si="129"/>
        <v>0</v>
      </c>
      <c r="AG318" s="3" t="e">
        <f>AF318 / SUM(F$2:F318)</f>
        <v>#DIV/0!</v>
      </c>
      <c r="AH318" s="3" t="e">
        <f t="shared" si="130"/>
        <v>#DIV/0!</v>
      </c>
      <c r="AI318" s="3">
        <f t="shared" si="131"/>
        <v>0</v>
      </c>
      <c r="AJ318" s="3" t="e">
        <f t="shared" si="132"/>
        <v>#DIV/0!</v>
      </c>
      <c r="AK318" s="3" t="e">
        <f t="shared" si="147"/>
        <v>#DIV/0!</v>
      </c>
    </row>
    <row r="319" spans="1:37" x14ac:dyDescent="0.3">
      <c r="A319" s="24">
        <v>0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f t="shared" si="120"/>
        <v>0</v>
      </c>
      <c r="H319" s="3">
        <f t="shared" si="137"/>
        <v>0</v>
      </c>
      <c r="I319" s="3">
        <f t="shared" si="142"/>
        <v>0</v>
      </c>
      <c r="J319" s="3">
        <f t="shared" si="143"/>
        <v>0</v>
      </c>
      <c r="K319" s="3">
        <f t="shared" si="144"/>
        <v>0</v>
      </c>
      <c r="L319" s="3">
        <f t="shared" si="145"/>
        <v>0</v>
      </c>
      <c r="M319" s="3" t="e">
        <f t="shared" si="124"/>
        <v>#DIV/0!</v>
      </c>
      <c r="N319" s="3" t="e">
        <f t="shared" si="133"/>
        <v>#DIV/0!</v>
      </c>
      <c r="O319" s="3" t="e">
        <f t="shared" si="146"/>
        <v>#DIV/0!</v>
      </c>
      <c r="P319" s="3">
        <f t="shared" si="134"/>
        <v>0</v>
      </c>
      <c r="Q319" s="3">
        <f t="shared" si="148"/>
        <v>0</v>
      </c>
      <c r="R319" s="3">
        <f t="shared" si="136"/>
        <v>0</v>
      </c>
      <c r="S319" s="3">
        <f t="shared" si="149"/>
        <v>0</v>
      </c>
      <c r="T319" s="3">
        <f t="shared" si="121"/>
        <v>0</v>
      </c>
      <c r="U319" s="3">
        <f t="shared" si="135"/>
        <v>0</v>
      </c>
      <c r="V319" s="3">
        <f t="shared" si="122"/>
        <v>0</v>
      </c>
      <c r="W319" s="3">
        <f t="shared" si="125"/>
        <v>0</v>
      </c>
      <c r="X319" s="3">
        <f t="shared" si="126"/>
        <v>0</v>
      </c>
      <c r="Y319" s="3">
        <f t="shared" si="127"/>
        <v>0</v>
      </c>
      <c r="Z319" s="3">
        <f t="shared" si="138"/>
        <v>0</v>
      </c>
      <c r="AA319" s="3">
        <f t="shared" si="139"/>
        <v>0</v>
      </c>
      <c r="AB319" s="3" t="e">
        <f t="shared" si="140"/>
        <v>#DIV/0!</v>
      </c>
      <c r="AC319" s="3" t="str">
        <f t="shared" si="141"/>
        <v/>
      </c>
      <c r="AD319" s="3">
        <f t="shared" si="128"/>
        <v>0</v>
      </c>
      <c r="AE319" s="3">
        <f t="shared" si="123"/>
        <v>0</v>
      </c>
      <c r="AF319" s="3">
        <f t="shared" si="129"/>
        <v>0</v>
      </c>
      <c r="AG319" s="3" t="e">
        <f>AF319 / SUM(F$2:F319)</f>
        <v>#DIV/0!</v>
      </c>
      <c r="AH319" s="3" t="e">
        <f t="shared" si="130"/>
        <v>#DIV/0!</v>
      </c>
      <c r="AI319" s="3">
        <f t="shared" si="131"/>
        <v>0</v>
      </c>
      <c r="AJ319" s="3" t="e">
        <f t="shared" si="132"/>
        <v>#DIV/0!</v>
      </c>
      <c r="AK319" s="3" t="e">
        <f t="shared" si="147"/>
        <v>#DIV/0!</v>
      </c>
    </row>
    <row r="320" spans="1:37" x14ac:dyDescent="0.3">
      <c r="A320" s="24">
        <v>0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f t="shared" si="120"/>
        <v>0</v>
      </c>
      <c r="H320" s="3">
        <f t="shared" si="137"/>
        <v>0</v>
      </c>
      <c r="I320" s="3">
        <f t="shared" si="142"/>
        <v>0</v>
      </c>
      <c r="J320" s="3">
        <f t="shared" si="143"/>
        <v>0</v>
      </c>
      <c r="K320" s="3">
        <f t="shared" si="144"/>
        <v>0</v>
      </c>
      <c r="L320" s="3">
        <f t="shared" si="145"/>
        <v>0</v>
      </c>
      <c r="M320" s="3" t="e">
        <f t="shared" si="124"/>
        <v>#DIV/0!</v>
      </c>
      <c r="N320" s="3" t="e">
        <f t="shared" si="133"/>
        <v>#DIV/0!</v>
      </c>
      <c r="O320" s="3" t="e">
        <f t="shared" si="146"/>
        <v>#DIV/0!</v>
      </c>
      <c r="P320" s="3">
        <f t="shared" si="134"/>
        <v>0</v>
      </c>
      <c r="Q320" s="3">
        <f t="shared" si="148"/>
        <v>0</v>
      </c>
      <c r="R320" s="3">
        <f t="shared" si="136"/>
        <v>0</v>
      </c>
      <c r="S320" s="3">
        <f t="shared" si="149"/>
        <v>0</v>
      </c>
      <c r="T320" s="3">
        <f t="shared" si="121"/>
        <v>0</v>
      </c>
      <c r="U320" s="3">
        <f t="shared" si="135"/>
        <v>0</v>
      </c>
      <c r="V320" s="3">
        <f t="shared" si="122"/>
        <v>0</v>
      </c>
      <c r="W320" s="3">
        <f t="shared" si="125"/>
        <v>0</v>
      </c>
      <c r="X320" s="3">
        <f t="shared" si="126"/>
        <v>0</v>
      </c>
      <c r="Y320" s="3">
        <f t="shared" si="127"/>
        <v>0</v>
      </c>
      <c r="Z320" s="3">
        <f t="shared" si="138"/>
        <v>0</v>
      </c>
      <c r="AA320" s="3">
        <f t="shared" si="139"/>
        <v>0</v>
      </c>
      <c r="AB320" s="3" t="e">
        <f t="shared" si="140"/>
        <v>#DIV/0!</v>
      </c>
      <c r="AC320" s="3" t="str">
        <f t="shared" si="141"/>
        <v/>
      </c>
      <c r="AD320" s="3">
        <f t="shared" si="128"/>
        <v>0</v>
      </c>
      <c r="AE320" s="3">
        <f t="shared" si="123"/>
        <v>0</v>
      </c>
      <c r="AF320" s="3">
        <f t="shared" si="129"/>
        <v>0</v>
      </c>
      <c r="AG320" s="3" t="e">
        <f>AF320 / SUM(F$2:F320)</f>
        <v>#DIV/0!</v>
      </c>
      <c r="AH320" s="3" t="e">
        <f t="shared" si="130"/>
        <v>#DIV/0!</v>
      </c>
      <c r="AI320" s="3">
        <f t="shared" si="131"/>
        <v>0</v>
      </c>
      <c r="AJ320" s="3" t="e">
        <f t="shared" si="132"/>
        <v>#DIV/0!</v>
      </c>
      <c r="AK320" s="3" t="e">
        <f t="shared" si="147"/>
        <v>#DIV/0!</v>
      </c>
    </row>
    <row r="321" spans="1:37" x14ac:dyDescent="0.3">
      <c r="A321" s="24">
        <v>0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f t="shared" si="120"/>
        <v>0</v>
      </c>
      <c r="H321" s="3">
        <f t="shared" si="137"/>
        <v>0</v>
      </c>
      <c r="I321" s="3">
        <f t="shared" si="142"/>
        <v>0</v>
      </c>
      <c r="J321" s="3">
        <f t="shared" si="143"/>
        <v>0</v>
      </c>
      <c r="K321" s="3">
        <f t="shared" si="144"/>
        <v>0</v>
      </c>
      <c r="L321" s="3">
        <f t="shared" si="145"/>
        <v>0</v>
      </c>
      <c r="M321" s="3" t="e">
        <f t="shared" si="124"/>
        <v>#DIV/0!</v>
      </c>
      <c r="N321" s="3" t="e">
        <f t="shared" si="133"/>
        <v>#DIV/0!</v>
      </c>
      <c r="O321" s="3" t="e">
        <f t="shared" si="146"/>
        <v>#DIV/0!</v>
      </c>
      <c r="P321" s="3">
        <f t="shared" si="134"/>
        <v>0</v>
      </c>
      <c r="Q321" s="3">
        <f t="shared" si="148"/>
        <v>0</v>
      </c>
      <c r="R321" s="3">
        <f t="shared" si="136"/>
        <v>0</v>
      </c>
      <c r="S321" s="3">
        <f t="shared" si="149"/>
        <v>0</v>
      </c>
      <c r="T321" s="3">
        <f t="shared" si="121"/>
        <v>0</v>
      </c>
      <c r="U321" s="3">
        <f t="shared" si="135"/>
        <v>0</v>
      </c>
      <c r="V321" s="3">
        <f t="shared" si="122"/>
        <v>0</v>
      </c>
      <c r="W321" s="3">
        <f t="shared" si="125"/>
        <v>0</v>
      </c>
      <c r="X321" s="3">
        <f t="shared" si="126"/>
        <v>0</v>
      </c>
      <c r="Y321" s="3">
        <f t="shared" si="127"/>
        <v>0</v>
      </c>
      <c r="Z321" s="3">
        <f t="shared" si="138"/>
        <v>0</v>
      </c>
      <c r="AA321" s="3">
        <f t="shared" si="139"/>
        <v>0</v>
      </c>
      <c r="AB321" s="3" t="e">
        <f t="shared" si="140"/>
        <v>#DIV/0!</v>
      </c>
      <c r="AC321" s="3" t="str">
        <f t="shared" si="141"/>
        <v/>
      </c>
      <c r="AD321" s="3">
        <f t="shared" si="128"/>
        <v>0</v>
      </c>
      <c r="AE321" s="3">
        <f t="shared" si="123"/>
        <v>0</v>
      </c>
      <c r="AF321" s="3">
        <f t="shared" si="129"/>
        <v>0</v>
      </c>
      <c r="AG321" s="3" t="e">
        <f>AF321 / SUM(F$2:F321)</f>
        <v>#DIV/0!</v>
      </c>
      <c r="AH321" s="3" t="e">
        <f t="shared" si="130"/>
        <v>#DIV/0!</v>
      </c>
      <c r="AI321" s="3">
        <f t="shared" si="131"/>
        <v>0</v>
      </c>
      <c r="AJ321" s="3" t="e">
        <f t="shared" si="132"/>
        <v>#DIV/0!</v>
      </c>
      <c r="AK321" s="3" t="e">
        <f t="shared" si="147"/>
        <v>#DIV/0!</v>
      </c>
    </row>
    <row r="322" spans="1:37" x14ac:dyDescent="0.3">
      <c r="A322" s="24">
        <v>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f t="shared" si="120"/>
        <v>0</v>
      </c>
      <c r="H322" s="3">
        <f t="shared" si="137"/>
        <v>0</v>
      </c>
      <c r="I322" s="3">
        <f t="shared" si="142"/>
        <v>0</v>
      </c>
      <c r="J322" s="3">
        <f t="shared" si="143"/>
        <v>0</v>
      </c>
      <c r="K322" s="3">
        <f t="shared" si="144"/>
        <v>0</v>
      </c>
      <c r="L322" s="3">
        <f t="shared" si="145"/>
        <v>0</v>
      </c>
      <c r="M322" s="3" t="e">
        <f t="shared" si="124"/>
        <v>#DIV/0!</v>
      </c>
      <c r="N322" s="3" t="e">
        <f t="shared" si="133"/>
        <v>#DIV/0!</v>
      </c>
      <c r="O322" s="3" t="e">
        <f t="shared" si="146"/>
        <v>#DIV/0!</v>
      </c>
      <c r="P322" s="3">
        <f t="shared" si="134"/>
        <v>0</v>
      </c>
      <c r="Q322" s="3">
        <f t="shared" si="148"/>
        <v>0</v>
      </c>
      <c r="R322" s="3">
        <f t="shared" si="136"/>
        <v>0</v>
      </c>
      <c r="S322" s="3">
        <f t="shared" si="149"/>
        <v>0</v>
      </c>
      <c r="T322" s="3">
        <f t="shared" si="121"/>
        <v>0</v>
      </c>
      <c r="U322" s="3">
        <f t="shared" si="135"/>
        <v>0</v>
      </c>
      <c r="V322" s="3">
        <f t="shared" si="122"/>
        <v>0</v>
      </c>
      <c r="W322" s="3">
        <f t="shared" si="125"/>
        <v>0</v>
      </c>
      <c r="X322" s="3">
        <f t="shared" si="126"/>
        <v>0</v>
      </c>
      <c r="Y322" s="3">
        <f t="shared" si="127"/>
        <v>0</v>
      </c>
      <c r="Z322" s="3">
        <f t="shared" si="138"/>
        <v>0</v>
      </c>
      <c r="AA322" s="3">
        <f t="shared" si="139"/>
        <v>0</v>
      </c>
      <c r="AB322" s="3" t="e">
        <f t="shared" si="140"/>
        <v>#DIV/0!</v>
      </c>
      <c r="AC322" s="3" t="str">
        <f t="shared" si="141"/>
        <v/>
      </c>
      <c r="AD322" s="3">
        <f t="shared" si="128"/>
        <v>0</v>
      </c>
      <c r="AE322" s="3">
        <f t="shared" si="123"/>
        <v>0</v>
      </c>
      <c r="AF322" s="3">
        <f t="shared" si="129"/>
        <v>0</v>
      </c>
      <c r="AG322" s="3" t="e">
        <f>AF322 / SUM(F$2:F322)</f>
        <v>#DIV/0!</v>
      </c>
      <c r="AH322" s="3" t="e">
        <f t="shared" si="130"/>
        <v>#DIV/0!</v>
      </c>
      <c r="AI322" s="3">
        <f t="shared" si="131"/>
        <v>0</v>
      </c>
      <c r="AJ322" s="3" t="e">
        <f t="shared" si="132"/>
        <v>#DIV/0!</v>
      </c>
      <c r="AK322" s="3" t="e">
        <f t="shared" si="147"/>
        <v>#DIV/0!</v>
      </c>
    </row>
    <row r="323" spans="1:37" x14ac:dyDescent="0.3">
      <c r="A323" s="24">
        <v>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f t="shared" ref="G323:G386" si="150">MAX(C323-D323, ABS(C323-E324), ABS(D323-E324))</f>
        <v>0</v>
      </c>
      <c r="H323" s="3">
        <f t="shared" si="137"/>
        <v>0</v>
      </c>
      <c r="I323" s="3">
        <f t="shared" si="142"/>
        <v>0</v>
      </c>
      <c r="J323" s="3">
        <f t="shared" si="143"/>
        <v>0</v>
      </c>
      <c r="K323" s="3">
        <f t="shared" si="144"/>
        <v>0</v>
      </c>
      <c r="L323" s="3">
        <f t="shared" si="145"/>
        <v>0</v>
      </c>
      <c r="M323" s="3" t="e">
        <f t="shared" si="124"/>
        <v>#DIV/0!</v>
      </c>
      <c r="N323" s="3" t="e">
        <f t="shared" si="133"/>
        <v>#DIV/0!</v>
      </c>
      <c r="O323" s="3" t="e">
        <f t="shared" si="146"/>
        <v>#DIV/0!</v>
      </c>
      <c r="P323" s="3">
        <f t="shared" si="134"/>
        <v>0</v>
      </c>
      <c r="Q323" s="3">
        <f t="shared" si="148"/>
        <v>0</v>
      </c>
      <c r="R323" s="3">
        <f t="shared" si="136"/>
        <v>0</v>
      </c>
      <c r="S323" s="3">
        <f t="shared" si="149"/>
        <v>0</v>
      </c>
      <c r="T323" s="3">
        <f t="shared" ref="T323:T386" si="151">R323 - S323</f>
        <v>0</v>
      </c>
      <c r="U323" s="3">
        <f t="shared" si="135"/>
        <v>0</v>
      </c>
      <c r="V323" s="3">
        <f t="shared" ref="V323:V386" si="152">T323 - U323</f>
        <v>0</v>
      </c>
      <c r="W323" s="3">
        <f t="shared" si="125"/>
        <v>0</v>
      </c>
      <c r="X323" s="3">
        <f t="shared" si="126"/>
        <v>0</v>
      </c>
      <c r="Y323" s="3">
        <f t="shared" si="127"/>
        <v>0</v>
      </c>
      <c r="Z323" s="3">
        <f t="shared" si="138"/>
        <v>0</v>
      </c>
      <c r="AA323" s="3">
        <f t="shared" si="139"/>
        <v>0</v>
      </c>
      <c r="AB323" s="3" t="e">
        <f t="shared" si="140"/>
        <v>#DIV/0!</v>
      </c>
      <c r="AC323" s="3" t="str">
        <f t="shared" si="141"/>
        <v/>
      </c>
      <c r="AD323" s="3">
        <f t="shared" si="128"/>
        <v>0</v>
      </c>
      <c r="AE323" s="3">
        <f t="shared" ref="AE323:AE386" si="153">(C323+D323+E323)/3</f>
        <v>0</v>
      </c>
      <c r="AF323" s="3">
        <f t="shared" si="129"/>
        <v>0</v>
      </c>
      <c r="AG323" s="3" t="e">
        <f>AF323 / SUM(F$2:F323)</f>
        <v>#DIV/0!</v>
      </c>
      <c r="AH323" s="3" t="e">
        <f t="shared" si="130"/>
        <v>#DIV/0!</v>
      </c>
      <c r="AI323" s="3">
        <f t="shared" si="131"/>
        <v>0</v>
      </c>
      <c r="AJ323" s="3" t="e">
        <f t="shared" si="132"/>
        <v>#DIV/0!</v>
      </c>
      <c r="AK323" s="3" t="e">
        <f t="shared" si="147"/>
        <v>#DIV/0!</v>
      </c>
    </row>
    <row r="324" spans="1:37" x14ac:dyDescent="0.3">
      <c r="A324" s="24">
        <v>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f t="shared" si="150"/>
        <v>0</v>
      </c>
      <c r="H324" s="3">
        <f t="shared" si="137"/>
        <v>0</v>
      </c>
      <c r="I324" s="3">
        <f t="shared" si="142"/>
        <v>0</v>
      </c>
      <c r="J324" s="3">
        <f t="shared" si="143"/>
        <v>0</v>
      </c>
      <c r="K324" s="3">
        <f t="shared" si="144"/>
        <v>0</v>
      </c>
      <c r="L324" s="3">
        <f t="shared" si="145"/>
        <v>0</v>
      </c>
      <c r="M324" s="3" t="e">
        <f t="shared" ref="M324:M387" si="154">LN(E323/E324)</f>
        <v>#DIV/0!</v>
      </c>
      <c r="N324" s="3" t="e">
        <f t="shared" si="133"/>
        <v>#DIV/0!</v>
      </c>
      <c r="O324" s="3" t="e">
        <f t="shared" si="146"/>
        <v>#DIV/0!</v>
      </c>
      <c r="P324" s="3">
        <f t="shared" si="134"/>
        <v>0</v>
      </c>
      <c r="Q324" s="3">
        <f t="shared" si="148"/>
        <v>0</v>
      </c>
      <c r="R324" s="3">
        <f t="shared" si="136"/>
        <v>0</v>
      </c>
      <c r="S324" s="3">
        <f t="shared" si="149"/>
        <v>0</v>
      </c>
      <c r="T324" s="3">
        <f t="shared" si="151"/>
        <v>0</v>
      </c>
      <c r="U324" s="3">
        <f t="shared" si="135"/>
        <v>0</v>
      </c>
      <c r="V324" s="3">
        <f t="shared" si="152"/>
        <v>0</v>
      </c>
      <c r="W324" s="3">
        <f t="shared" ref="W324:W387" si="155">E323-E324</f>
        <v>0</v>
      </c>
      <c r="X324" s="3">
        <f t="shared" ref="X324:X387" si="156">MAX(W324,0)</f>
        <v>0</v>
      </c>
      <c r="Y324" s="3">
        <f t="shared" ref="Y324:Y387" si="157">MAX(-W324,0)</f>
        <v>0</v>
      </c>
      <c r="Z324" s="3">
        <f t="shared" si="138"/>
        <v>0</v>
      </c>
      <c r="AA324" s="3">
        <f t="shared" si="139"/>
        <v>0</v>
      </c>
      <c r="AB324" s="3" t="e">
        <f t="shared" si="140"/>
        <v>#DIV/0!</v>
      </c>
      <c r="AC324" s="3" t="str">
        <f t="shared" si="141"/>
        <v/>
      </c>
      <c r="AD324" s="3">
        <f t="shared" ref="AD324:AD387" si="158">IF(E323&gt;E324,AD323+F323,IF(E323&lt;E324,AD323-F323,AD323))</f>
        <v>0</v>
      </c>
      <c r="AE324" s="3">
        <f t="shared" si="153"/>
        <v>0</v>
      </c>
      <c r="AF324" s="3">
        <f t="shared" ref="AF324:AF387" si="159">AF323 + AE324*F324</f>
        <v>0</v>
      </c>
      <c r="AG324" s="3" t="e">
        <f>AF324 / SUM(F$2:F324)</f>
        <v>#DIV/0!</v>
      </c>
      <c r="AH324" s="3" t="e">
        <f t="shared" ref="AH324:AH387" si="160">(E323-E324)/E324</f>
        <v>#DIV/0!</v>
      </c>
      <c r="AI324" s="3">
        <f t="shared" ref="AI324:AI387" si="161">MAX(AI323,E324)</f>
        <v>0</v>
      </c>
      <c r="AJ324" s="3" t="e">
        <f t="shared" ref="AJ324:AJ387" si="162">(E324-AI324)/AI324</f>
        <v>#DIV/0!</v>
      </c>
      <c r="AK324" s="3" t="e">
        <f t="shared" si="147"/>
        <v>#DIV/0!</v>
      </c>
    </row>
    <row r="325" spans="1:37" x14ac:dyDescent="0.3">
      <c r="A325" s="24">
        <v>0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f t="shared" si="150"/>
        <v>0</v>
      </c>
      <c r="H325" s="3">
        <f t="shared" si="137"/>
        <v>0</v>
      </c>
      <c r="I325" s="3">
        <f t="shared" si="142"/>
        <v>0</v>
      </c>
      <c r="J325" s="3">
        <f t="shared" si="143"/>
        <v>0</v>
      </c>
      <c r="K325" s="3">
        <f t="shared" si="144"/>
        <v>0</v>
      </c>
      <c r="L325" s="3">
        <f t="shared" si="145"/>
        <v>0</v>
      </c>
      <c r="M325" s="3" t="e">
        <f t="shared" si="154"/>
        <v>#DIV/0!</v>
      </c>
      <c r="N325" s="3" t="e">
        <f t="shared" si="133"/>
        <v>#DIV/0!</v>
      </c>
      <c r="O325" s="3" t="e">
        <f t="shared" si="146"/>
        <v>#DIV/0!</v>
      </c>
      <c r="P325" s="3">
        <f t="shared" si="134"/>
        <v>0</v>
      </c>
      <c r="Q325" s="3">
        <f t="shared" si="148"/>
        <v>0</v>
      </c>
      <c r="R325" s="3">
        <f t="shared" si="136"/>
        <v>0</v>
      </c>
      <c r="S325" s="3">
        <f t="shared" si="149"/>
        <v>0</v>
      </c>
      <c r="T325" s="3">
        <f t="shared" si="151"/>
        <v>0</v>
      </c>
      <c r="U325" s="3">
        <f t="shared" si="135"/>
        <v>0</v>
      </c>
      <c r="V325" s="3">
        <f t="shared" si="152"/>
        <v>0</v>
      </c>
      <c r="W325" s="3">
        <f t="shared" si="155"/>
        <v>0</v>
      </c>
      <c r="X325" s="3">
        <f t="shared" si="156"/>
        <v>0</v>
      </c>
      <c r="Y325" s="3">
        <f t="shared" si="157"/>
        <v>0</v>
      </c>
      <c r="Z325" s="3">
        <f t="shared" si="138"/>
        <v>0</v>
      </c>
      <c r="AA325" s="3">
        <f t="shared" si="139"/>
        <v>0</v>
      </c>
      <c r="AB325" s="3" t="e">
        <f t="shared" si="140"/>
        <v>#DIV/0!</v>
      </c>
      <c r="AC325" s="3" t="str">
        <f t="shared" si="141"/>
        <v/>
      </c>
      <c r="AD325" s="3">
        <f t="shared" si="158"/>
        <v>0</v>
      </c>
      <c r="AE325" s="3">
        <f t="shared" si="153"/>
        <v>0</v>
      </c>
      <c r="AF325" s="3">
        <f t="shared" si="159"/>
        <v>0</v>
      </c>
      <c r="AG325" s="3" t="e">
        <f>AF325 / SUM(F$2:F325)</f>
        <v>#DIV/0!</v>
      </c>
      <c r="AH325" s="3" t="e">
        <f t="shared" si="160"/>
        <v>#DIV/0!</v>
      </c>
      <c r="AI325" s="3">
        <f t="shared" si="161"/>
        <v>0</v>
      </c>
      <c r="AJ325" s="3" t="e">
        <f t="shared" si="162"/>
        <v>#DIV/0!</v>
      </c>
      <c r="AK325" s="3" t="e">
        <f t="shared" si="147"/>
        <v>#DIV/0!</v>
      </c>
    </row>
    <row r="326" spans="1:37" x14ac:dyDescent="0.3">
      <c r="A326" s="24">
        <v>0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f t="shared" si="150"/>
        <v>0</v>
      </c>
      <c r="H326" s="3">
        <f t="shared" si="137"/>
        <v>0</v>
      </c>
      <c r="I326" s="3">
        <f t="shared" si="142"/>
        <v>0</v>
      </c>
      <c r="J326" s="3">
        <f t="shared" si="143"/>
        <v>0</v>
      </c>
      <c r="K326" s="3">
        <f t="shared" si="144"/>
        <v>0</v>
      </c>
      <c r="L326" s="3">
        <f t="shared" si="145"/>
        <v>0</v>
      </c>
      <c r="M326" s="3" t="e">
        <f t="shared" si="154"/>
        <v>#DIV/0!</v>
      </c>
      <c r="N326" s="3" t="e">
        <f t="shared" si="133"/>
        <v>#DIV/0!</v>
      </c>
      <c r="O326" s="3" t="e">
        <f t="shared" si="146"/>
        <v>#DIV/0!</v>
      </c>
      <c r="P326" s="3">
        <f t="shared" si="134"/>
        <v>0</v>
      </c>
      <c r="Q326" s="3">
        <f t="shared" si="148"/>
        <v>0</v>
      </c>
      <c r="R326" s="3">
        <f t="shared" si="136"/>
        <v>0</v>
      </c>
      <c r="S326" s="3">
        <f t="shared" si="149"/>
        <v>0</v>
      </c>
      <c r="T326" s="3">
        <f t="shared" si="151"/>
        <v>0</v>
      </c>
      <c r="U326" s="3">
        <f t="shared" si="135"/>
        <v>0</v>
      </c>
      <c r="V326" s="3">
        <f t="shared" si="152"/>
        <v>0</v>
      </c>
      <c r="W326" s="3">
        <f t="shared" si="155"/>
        <v>0</v>
      </c>
      <c r="X326" s="3">
        <f t="shared" si="156"/>
        <v>0</v>
      </c>
      <c r="Y326" s="3">
        <f t="shared" si="157"/>
        <v>0</v>
      </c>
      <c r="Z326" s="3">
        <f t="shared" si="138"/>
        <v>0</v>
      </c>
      <c r="AA326" s="3">
        <f t="shared" si="139"/>
        <v>0</v>
      </c>
      <c r="AB326" s="3" t="e">
        <f t="shared" si="140"/>
        <v>#DIV/0!</v>
      </c>
      <c r="AC326" s="3" t="str">
        <f t="shared" si="141"/>
        <v/>
      </c>
      <c r="AD326" s="3">
        <f t="shared" si="158"/>
        <v>0</v>
      </c>
      <c r="AE326" s="3">
        <f t="shared" si="153"/>
        <v>0</v>
      </c>
      <c r="AF326" s="3">
        <f t="shared" si="159"/>
        <v>0</v>
      </c>
      <c r="AG326" s="3" t="e">
        <f>AF326 / SUM(F$2:F326)</f>
        <v>#DIV/0!</v>
      </c>
      <c r="AH326" s="3" t="e">
        <f t="shared" si="160"/>
        <v>#DIV/0!</v>
      </c>
      <c r="AI326" s="3">
        <f t="shared" si="161"/>
        <v>0</v>
      </c>
      <c r="AJ326" s="3" t="e">
        <f t="shared" si="162"/>
        <v>#DIV/0!</v>
      </c>
      <c r="AK326" s="3" t="e">
        <f t="shared" si="147"/>
        <v>#DIV/0!</v>
      </c>
    </row>
    <row r="327" spans="1:37" x14ac:dyDescent="0.3">
      <c r="A327" s="24">
        <v>0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f t="shared" si="150"/>
        <v>0</v>
      </c>
      <c r="H327" s="3">
        <f t="shared" si="137"/>
        <v>0</v>
      </c>
      <c r="I327" s="3">
        <f t="shared" si="142"/>
        <v>0</v>
      </c>
      <c r="J327" s="3">
        <f t="shared" si="143"/>
        <v>0</v>
      </c>
      <c r="K327" s="3">
        <f t="shared" si="144"/>
        <v>0</v>
      </c>
      <c r="L327" s="3">
        <f t="shared" si="145"/>
        <v>0</v>
      </c>
      <c r="M327" s="3" t="e">
        <f t="shared" si="154"/>
        <v>#DIV/0!</v>
      </c>
      <c r="N327" s="3" t="e">
        <f t="shared" si="133"/>
        <v>#DIV/0!</v>
      </c>
      <c r="O327" s="3" t="e">
        <f t="shared" si="146"/>
        <v>#DIV/0!</v>
      </c>
      <c r="P327" s="3">
        <f t="shared" si="134"/>
        <v>0</v>
      </c>
      <c r="Q327" s="3">
        <f t="shared" si="148"/>
        <v>0</v>
      </c>
      <c r="R327" s="3">
        <f t="shared" si="136"/>
        <v>0</v>
      </c>
      <c r="S327" s="3">
        <f t="shared" si="149"/>
        <v>0</v>
      </c>
      <c r="T327" s="3">
        <f t="shared" si="151"/>
        <v>0</v>
      </c>
      <c r="U327" s="3">
        <f t="shared" si="135"/>
        <v>0</v>
      </c>
      <c r="V327" s="3">
        <f t="shared" si="152"/>
        <v>0</v>
      </c>
      <c r="W327" s="3">
        <f t="shared" si="155"/>
        <v>0</v>
      </c>
      <c r="X327" s="3">
        <f t="shared" si="156"/>
        <v>0</v>
      </c>
      <c r="Y327" s="3">
        <f t="shared" si="157"/>
        <v>0</v>
      </c>
      <c r="Z327" s="3">
        <f t="shared" si="138"/>
        <v>0</v>
      </c>
      <c r="AA327" s="3">
        <f t="shared" si="139"/>
        <v>0</v>
      </c>
      <c r="AB327" s="3" t="e">
        <f t="shared" si="140"/>
        <v>#DIV/0!</v>
      </c>
      <c r="AC327" s="3" t="str">
        <f t="shared" si="141"/>
        <v/>
      </c>
      <c r="AD327" s="3">
        <f t="shared" si="158"/>
        <v>0</v>
      </c>
      <c r="AE327" s="3">
        <f t="shared" si="153"/>
        <v>0</v>
      </c>
      <c r="AF327" s="3">
        <f t="shared" si="159"/>
        <v>0</v>
      </c>
      <c r="AG327" s="3" t="e">
        <f>AF327 / SUM(F$2:F327)</f>
        <v>#DIV/0!</v>
      </c>
      <c r="AH327" s="3" t="e">
        <f t="shared" si="160"/>
        <v>#DIV/0!</v>
      </c>
      <c r="AI327" s="3">
        <f t="shared" si="161"/>
        <v>0</v>
      </c>
      <c r="AJ327" s="3" t="e">
        <f t="shared" si="162"/>
        <v>#DIV/0!</v>
      </c>
      <c r="AK327" s="3" t="e">
        <f t="shared" si="147"/>
        <v>#DIV/0!</v>
      </c>
    </row>
    <row r="328" spans="1:37" x14ac:dyDescent="0.3">
      <c r="A328" s="24">
        <v>0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f t="shared" si="150"/>
        <v>0</v>
      </c>
      <c r="H328" s="3">
        <f t="shared" si="137"/>
        <v>0</v>
      </c>
      <c r="I328" s="3">
        <f t="shared" si="142"/>
        <v>0</v>
      </c>
      <c r="J328" s="3">
        <f t="shared" si="143"/>
        <v>0</v>
      </c>
      <c r="K328" s="3">
        <f t="shared" si="144"/>
        <v>0</v>
      </c>
      <c r="L328" s="3">
        <f t="shared" si="145"/>
        <v>0</v>
      </c>
      <c r="M328" s="3" t="e">
        <f t="shared" si="154"/>
        <v>#DIV/0!</v>
      </c>
      <c r="N328" s="3" t="e">
        <f t="shared" si="133"/>
        <v>#DIV/0!</v>
      </c>
      <c r="O328" s="3" t="e">
        <f t="shared" si="146"/>
        <v>#DIV/0!</v>
      </c>
      <c r="P328" s="3">
        <f t="shared" si="134"/>
        <v>0</v>
      </c>
      <c r="Q328" s="3">
        <f t="shared" si="148"/>
        <v>0</v>
      </c>
      <c r="R328" s="3">
        <f t="shared" si="136"/>
        <v>0</v>
      </c>
      <c r="S328" s="3">
        <f t="shared" si="149"/>
        <v>0</v>
      </c>
      <c r="T328" s="3">
        <f t="shared" si="151"/>
        <v>0</v>
      </c>
      <c r="U328" s="3">
        <f t="shared" si="135"/>
        <v>0</v>
      </c>
      <c r="V328" s="3">
        <f t="shared" si="152"/>
        <v>0</v>
      </c>
      <c r="W328" s="3">
        <f t="shared" si="155"/>
        <v>0</v>
      </c>
      <c r="X328" s="3">
        <f t="shared" si="156"/>
        <v>0</v>
      </c>
      <c r="Y328" s="3">
        <f t="shared" si="157"/>
        <v>0</v>
      </c>
      <c r="Z328" s="3">
        <f t="shared" si="138"/>
        <v>0</v>
      </c>
      <c r="AA328" s="3">
        <f t="shared" si="139"/>
        <v>0</v>
      </c>
      <c r="AB328" s="3" t="e">
        <f t="shared" si="140"/>
        <v>#DIV/0!</v>
      </c>
      <c r="AC328" s="3" t="str">
        <f t="shared" si="141"/>
        <v/>
      </c>
      <c r="AD328" s="3">
        <f t="shared" si="158"/>
        <v>0</v>
      </c>
      <c r="AE328" s="3">
        <f t="shared" si="153"/>
        <v>0</v>
      </c>
      <c r="AF328" s="3">
        <f t="shared" si="159"/>
        <v>0</v>
      </c>
      <c r="AG328" s="3" t="e">
        <f>AF328 / SUM(F$2:F328)</f>
        <v>#DIV/0!</v>
      </c>
      <c r="AH328" s="3" t="e">
        <f t="shared" si="160"/>
        <v>#DIV/0!</v>
      </c>
      <c r="AI328" s="3">
        <f t="shared" si="161"/>
        <v>0</v>
      </c>
      <c r="AJ328" s="3" t="e">
        <f t="shared" si="162"/>
        <v>#DIV/0!</v>
      </c>
      <c r="AK328" s="3" t="e">
        <f t="shared" si="147"/>
        <v>#DIV/0!</v>
      </c>
    </row>
    <row r="329" spans="1:37" x14ac:dyDescent="0.3">
      <c r="A329" s="24">
        <v>0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f t="shared" si="150"/>
        <v>0</v>
      </c>
      <c r="H329" s="3">
        <f t="shared" si="137"/>
        <v>0</v>
      </c>
      <c r="I329" s="3">
        <f t="shared" si="142"/>
        <v>0</v>
      </c>
      <c r="J329" s="3">
        <f t="shared" si="143"/>
        <v>0</v>
      </c>
      <c r="K329" s="3">
        <f t="shared" si="144"/>
        <v>0</v>
      </c>
      <c r="L329" s="3">
        <f t="shared" si="145"/>
        <v>0</v>
      </c>
      <c r="M329" s="3" t="e">
        <f t="shared" si="154"/>
        <v>#DIV/0!</v>
      </c>
      <c r="N329" s="3" t="e">
        <f t="shared" si="133"/>
        <v>#DIV/0!</v>
      </c>
      <c r="O329" s="3" t="e">
        <f t="shared" si="146"/>
        <v>#DIV/0!</v>
      </c>
      <c r="P329" s="3">
        <f t="shared" si="134"/>
        <v>0</v>
      </c>
      <c r="Q329" s="3">
        <f t="shared" si="148"/>
        <v>0</v>
      </c>
      <c r="R329" s="3">
        <f t="shared" si="136"/>
        <v>0</v>
      </c>
      <c r="S329" s="3">
        <f t="shared" si="149"/>
        <v>0</v>
      </c>
      <c r="T329" s="3">
        <f t="shared" si="151"/>
        <v>0</v>
      </c>
      <c r="U329" s="3">
        <f t="shared" si="135"/>
        <v>0</v>
      </c>
      <c r="V329" s="3">
        <f t="shared" si="152"/>
        <v>0</v>
      </c>
      <c r="W329" s="3">
        <f t="shared" si="155"/>
        <v>0</v>
      </c>
      <c r="X329" s="3">
        <f t="shared" si="156"/>
        <v>0</v>
      </c>
      <c r="Y329" s="3">
        <f t="shared" si="157"/>
        <v>0</v>
      </c>
      <c r="Z329" s="3">
        <f t="shared" si="138"/>
        <v>0</v>
      </c>
      <c r="AA329" s="3">
        <f t="shared" si="139"/>
        <v>0</v>
      </c>
      <c r="AB329" s="3" t="e">
        <f t="shared" si="140"/>
        <v>#DIV/0!</v>
      </c>
      <c r="AC329" s="3" t="str">
        <f t="shared" si="141"/>
        <v/>
      </c>
      <c r="AD329" s="3">
        <f t="shared" si="158"/>
        <v>0</v>
      </c>
      <c r="AE329" s="3">
        <f t="shared" si="153"/>
        <v>0</v>
      </c>
      <c r="AF329" s="3">
        <f t="shared" si="159"/>
        <v>0</v>
      </c>
      <c r="AG329" s="3" t="e">
        <f>AF329 / SUM(F$2:F329)</f>
        <v>#DIV/0!</v>
      </c>
      <c r="AH329" s="3" t="e">
        <f t="shared" si="160"/>
        <v>#DIV/0!</v>
      </c>
      <c r="AI329" s="3">
        <f t="shared" si="161"/>
        <v>0</v>
      </c>
      <c r="AJ329" s="3" t="e">
        <f t="shared" si="162"/>
        <v>#DIV/0!</v>
      </c>
      <c r="AK329" s="3" t="e">
        <f t="shared" si="147"/>
        <v>#DIV/0!</v>
      </c>
    </row>
    <row r="330" spans="1:37" x14ac:dyDescent="0.3">
      <c r="A330" s="24">
        <v>0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f t="shared" si="150"/>
        <v>0</v>
      </c>
      <c r="H330" s="3">
        <f t="shared" si="137"/>
        <v>0</v>
      </c>
      <c r="I330" s="3">
        <f t="shared" si="142"/>
        <v>0</v>
      </c>
      <c r="J330" s="3">
        <f t="shared" si="143"/>
        <v>0</v>
      </c>
      <c r="K330" s="3">
        <f t="shared" si="144"/>
        <v>0</v>
      </c>
      <c r="L330" s="3">
        <f t="shared" si="145"/>
        <v>0</v>
      </c>
      <c r="M330" s="3" t="e">
        <f t="shared" si="154"/>
        <v>#DIV/0!</v>
      </c>
      <c r="N330" s="3" t="e">
        <f t="shared" si="133"/>
        <v>#DIV/0!</v>
      </c>
      <c r="O330" s="3" t="e">
        <f t="shared" si="146"/>
        <v>#DIV/0!</v>
      </c>
      <c r="P330" s="3">
        <f t="shared" si="134"/>
        <v>0</v>
      </c>
      <c r="Q330" s="3">
        <f t="shared" si="148"/>
        <v>0</v>
      </c>
      <c r="R330" s="3">
        <f t="shared" si="136"/>
        <v>0</v>
      </c>
      <c r="S330" s="3">
        <f t="shared" si="149"/>
        <v>0</v>
      </c>
      <c r="T330" s="3">
        <f t="shared" si="151"/>
        <v>0</v>
      </c>
      <c r="U330" s="3">
        <f t="shared" si="135"/>
        <v>0</v>
      </c>
      <c r="V330" s="3">
        <f t="shared" si="152"/>
        <v>0</v>
      </c>
      <c r="W330" s="3">
        <f t="shared" si="155"/>
        <v>0</v>
      </c>
      <c r="X330" s="3">
        <f t="shared" si="156"/>
        <v>0</v>
      </c>
      <c r="Y330" s="3">
        <f t="shared" si="157"/>
        <v>0</v>
      </c>
      <c r="Z330" s="3">
        <f t="shared" si="138"/>
        <v>0</v>
      </c>
      <c r="AA330" s="3">
        <f t="shared" si="139"/>
        <v>0</v>
      </c>
      <c r="AB330" s="3" t="e">
        <f t="shared" si="140"/>
        <v>#DIV/0!</v>
      </c>
      <c r="AC330" s="3" t="str">
        <f t="shared" si="141"/>
        <v/>
      </c>
      <c r="AD330" s="3">
        <f t="shared" si="158"/>
        <v>0</v>
      </c>
      <c r="AE330" s="3">
        <f t="shared" si="153"/>
        <v>0</v>
      </c>
      <c r="AF330" s="3">
        <f t="shared" si="159"/>
        <v>0</v>
      </c>
      <c r="AG330" s="3" t="e">
        <f>AF330 / SUM(F$2:F330)</f>
        <v>#DIV/0!</v>
      </c>
      <c r="AH330" s="3" t="e">
        <f t="shared" si="160"/>
        <v>#DIV/0!</v>
      </c>
      <c r="AI330" s="3">
        <f t="shared" si="161"/>
        <v>0</v>
      </c>
      <c r="AJ330" s="3" t="e">
        <f t="shared" si="162"/>
        <v>#DIV/0!</v>
      </c>
      <c r="AK330" s="3" t="e">
        <f t="shared" si="147"/>
        <v>#DIV/0!</v>
      </c>
    </row>
    <row r="331" spans="1:37" x14ac:dyDescent="0.3">
      <c r="A331" s="24">
        <v>0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f t="shared" si="150"/>
        <v>0</v>
      </c>
      <c r="H331" s="3">
        <f t="shared" si="137"/>
        <v>0</v>
      </c>
      <c r="I331" s="3">
        <f t="shared" si="142"/>
        <v>0</v>
      </c>
      <c r="J331" s="3">
        <f t="shared" si="143"/>
        <v>0</v>
      </c>
      <c r="K331" s="3">
        <f t="shared" si="144"/>
        <v>0</v>
      </c>
      <c r="L331" s="3">
        <f t="shared" si="145"/>
        <v>0</v>
      </c>
      <c r="M331" s="3" t="e">
        <f t="shared" si="154"/>
        <v>#DIV/0!</v>
      </c>
      <c r="N331" s="3" t="e">
        <f t="shared" si="133"/>
        <v>#DIV/0!</v>
      </c>
      <c r="O331" s="3" t="e">
        <f t="shared" si="146"/>
        <v>#DIV/0!</v>
      </c>
      <c r="P331" s="3">
        <f t="shared" si="134"/>
        <v>0</v>
      </c>
      <c r="Q331" s="3">
        <f t="shared" si="148"/>
        <v>0</v>
      </c>
      <c r="R331" s="3">
        <f t="shared" si="136"/>
        <v>0</v>
      </c>
      <c r="S331" s="3">
        <f t="shared" si="149"/>
        <v>0</v>
      </c>
      <c r="T331" s="3">
        <f t="shared" si="151"/>
        <v>0</v>
      </c>
      <c r="U331" s="3">
        <f t="shared" si="135"/>
        <v>0</v>
      </c>
      <c r="V331" s="3">
        <f t="shared" si="152"/>
        <v>0</v>
      </c>
      <c r="W331" s="3">
        <f t="shared" si="155"/>
        <v>0</v>
      </c>
      <c r="X331" s="3">
        <f t="shared" si="156"/>
        <v>0</v>
      </c>
      <c r="Y331" s="3">
        <f t="shared" si="157"/>
        <v>0</v>
      </c>
      <c r="Z331" s="3">
        <f t="shared" si="138"/>
        <v>0</v>
      </c>
      <c r="AA331" s="3">
        <f t="shared" si="139"/>
        <v>0</v>
      </c>
      <c r="AB331" s="3" t="e">
        <f t="shared" si="140"/>
        <v>#DIV/0!</v>
      </c>
      <c r="AC331" s="3" t="str">
        <f t="shared" si="141"/>
        <v/>
      </c>
      <c r="AD331" s="3">
        <f t="shared" si="158"/>
        <v>0</v>
      </c>
      <c r="AE331" s="3">
        <f t="shared" si="153"/>
        <v>0</v>
      </c>
      <c r="AF331" s="3">
        <f t="shared" si="159"/>
        <v>0</v>
      </c>
      <c r="AG331" s="3" t="e">
        <f>AF331 / SUM(F$2:F331)</f>
        <v>#DIV/0!</v>
      </c>
      <c r="AH331" s="3" t="e">
        <f t="shared" si="160"/>
        <v>#DIV/0!</v>
      </c>
      <c r="AI331" s="3">
        <f t="shared" si="161"/>
        <v>0</v>
      </c>
      <c r="AJ331" s="3" t="e">
        <f t="shared" si="162"/>
        <v>#DIV/0!</v>
      </c>
      <c r="AK331" s="3" t="e">
        <f t="shared" si="147"/>
        <v>#DIV/0!</v>
      </c>
    </row>
    <row r="332" spans="1:37" x14ac:dyDescent="0.3">
      <c r="A332" s="24">
        <v>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f t="shared" si="150"/>
        <v>0</v>
      </c>
      <c r="H332" s="3">
        <f t="shared" si="137"/>
        <v>0</v>
      </c>
      <c r="I332" s="3">
        <f t="shared" si="142"/>
        <v>0</v>
      </c>
      <c r="J332" s="3">
        <f t="shared" si="143"/>
        <v>0</v>
      </c>
      <c r="K332" s="3">
        <f t="shared" si="144"/>
        <v>0</v>
      </c>
      <c r="L332" s="3">
        <f t="shared" si="145"/>
        <v>0</v>
      </c>
      <c r="M332" s="3" t="e">
        <f t="shared" si="154"/>
        <v>#DIV/0!</v>
      </c>
      <c r="N332" s="3" t="e">
        <f t="shared" ref="N332:N395" si="163">_xlfn.STDEV.S(M323:M332)*SQRT(10)</f>
        <v>#DIV/0!</v>
      </c>
      <c r="O332" s="3" t="e">
        <f t="shared" si="146"/>
        <v>#DIV/0!</v>
      </c>
      <c r="P332" s="3">
        <f t="shared" ref="P332:P395" si="164">E332*(2/(9+1)) + P331*(1-(2/(9+1)))</f>
        <v>0</v>
      </c>
      <c r="Q332" s="3">
        <f t="shared" si="148"/>
        <v>0</v>
      </c>
      <c r="R332" s="3">
        <f t="shared" si="136"/>
        <v>0</v>
      </c>
      <c r="S332" s="3">
        <f t="shared" si="149"/>
        <v>0</v>
      </c>
      <c r="T332" s="3">
        <f t="shared" si="151"/>
        <v>0</v>
      </c>
      <c r="U332" s="3">
        <f t="shared" ref="U332:U395" si="165">T332*0.2 + U331*0.8</f>
        <v>0</v>
      </c>
      <c r="V332" s="3">
        <f t="shared" si="152"/>
        <v>0</v>
      </c>
      <c r="W332" s="3">
        <f t="shared" si="155"/>
        <v>0</v>
      </c>
      <c r="X332" s="3">
        <f t="shared" si="156"/>
        <v>0</v>
      </c>
      <c r="Y332" s="3">
        <f t="shared" si="157"/>
        <v>0</v>
      </c>
      <c r="Z332" s="3">
        <f t="shared" si="138"/>
        <v>0</v>
      </c>
      <c r="AA332" s="3">
        <f t="shared" si="139"/>
        <v>0</v>
      </c>
      <c r="AB332" s="3" t="e">
        <f t="shared" si="140"/>
        <v>#DIV/0!</v>
      </c>
      <c r="AC332" s="3" t="str">
        <f t="shared" si="141"/>
        <v/>
      </c>
      <c r="AD332" s="3">
        <f t="shared" si="158"/>
        <v>0</v>
      </c>
      <c r="AE332" s="3">
        <f t="shared" si="153"/>
        <v>0</v>
      </c>
      <c r="AF332" s="3">
        <f t="shared" si="159"/>
        <v>0</v>
      </c>
      <c r="AG332" s="3" t="e">
        <f>AF332 / SUM(F$2:F332)</f>
        <v>#DIV/0!</v>
      </c>
      <c r="AH332" s="3" t="e">
        <f t="shared" si="160"/>
        <v>#DIV/0!</v>
      </c>
      <c r="AI332" s="3">
        <f t="shared" si="161"/>
        <v>0</v>
      </c>
      <c r="AJ332" s="3" t="e">
        <f t="shared" si="162"/>
        <v>#DIV/0!</v>
      </c>
      <c r="AK332" s="3" t="e">
        <f t="shared" si="147"/>
        <v>#DIV/0!</v>
      </c>
    </row>
    <row r="333" spans="1:37" x14ac:dyDescent="0.3">
      <c r="A333" s="24">
        <v>0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f t="shared" si="150"/>
        <v>0</v>
      </c>
      <c r="H333" s="3">
        <f t="shared" si="137"/>
        <v>0</v>
      </c>
      <c r="I333" s="3">
        <f t="shared" si="142"/>
        <v>0</v>
      </c>
      <c r="J333" s="3">
        <f t="shared" si="143"/>
        <v>0</v>
      </c>
      <c r="K333" s="3">
        <f t="shared" si="144"/>
        <v>0</v>
      </c>
      <c r="L333" s="3">
        <f t="shared" si="145"/>
        <v>0</v>
      </c>
      <c r="M333" s="3" t="e">
        <f t="shared" si="154"/>
        <v>#DIV/0!</v>
      </c>
      <c r="N333" s="3" t="e">
        <f t="shared" si="163"/>
        <v>#DIV/0!</v>
      </c>
      <c r="O333" s="3" t="e">
        <f t="shared" si="146"/>
        <v>#DIV/0!</v>
      </c>
      <c r="P333" s="3">
        <f t="shared" si="164"/>
        <v>0</v>
      </c>
      <c r="Q333" s="3">
        <f t="shared" si="148"/>
        <v>0</v>
      </c>
      <c r="R333" s="3">
        <f t="shared" si="136"/>
        <v>0</v>
      </c>
      <c r="S333" s="3">
        <f t="shared" si="149"/>
        <v>0</v>
      </c>
      <c r="T333" s="3">
        <f t="shared" si="151"/>
        <v>0</v>
      </c>
      <c r="U333" s="3">
        <f t="shared" si="165"/>
        <v>0</v>
      </c>
      <c r="V333" s="3">
        <f t="shared" si="152"/>
        <v>0</v>
      </c>
      <c r="W333" s="3">
        <f t="shared" si="155"/>
        <v>0</v>
      </c>
      <c r="X333" s="3">
        <f t="shared" si="156"/>
        <v>0</v>
      </c>
      <c r="Y333" s="3">
        <f t="shared" si="157"/>
        <v>0</v>
      </c>
      <c r="Z333" s="3">
        <f t="shared" si="138"/>
        <v>0</v>
      </c>
      <c r="AA333" s="3">
        <f t="shared" si="139"/>
        <v>0</v>
      </c>
      <c r="AB333" s="3" t="e">
        <f t="shared" si="140"/>
        <v>#DIV/0!</v>
      </c>
      <c r="AC333" s="3" t="str">
        <f t="shared" si="141"/>
        <v/>
      </c>
      <c r="AD333" s="3">
        <f t="shared" si="158"/>
        <v>0</v>
      </c>
      <c r="AE333" s="3">
        <f t="shared" si="153"/>
        <v>0</v>
      </c>
      <c r="AF333" s="3">
        <f t="shared" si="159"/>
        <v>0</v>
      </c>
      <c r="AG333" s="3" t="e">
        <f>AF333 / SUM(F$2:F333)</f>
        <v>#DIV/0!</v>
      </c>
      <c r="AH333" s="3" t="e">
        <f t="shared" si="160"/>
        <v>#DIV/0!</v>
      </c>
      <c r="AI333" s="3">
        <f t="shared" si="161"/>
        <v>0</v>
      </c>
      <c r="AJ333" s="3" t="e">
        <f t="shared" si="162"/>
        <v>#DIV/0!</v>
      </c>
      <c r="AK333" s="3" t="e">
        <f t="shared" si="147"/>
        <v>#DIV/0!</v>
      </c>
    </row>
    <row r="334" spans="1:37" x14ac:dyDescent="0.3">
      <c r="A334" s="24">
        <v>0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f t="shared" si="150"/>
        <v>0</v>
      </c>
      <c r="H334" s="3">
        <f t="shared" si="137"/>
        <v>0</v>
      </c>
      <c r="I334" s="3">
        <f t="shared" si="142"/>
        <v>0</v>
      </c>
      <c r="J334" s="3">
        <f t="shared" si="143"/>
        <v>0</v>
      </c>
      <c r="K334" s="3">
        <f t="shared" si="144"/>
        <v>0</v>
      </c>
      <c r="L334" s="3">
        <f t="shared" si="145"/>
        <v>0</v>
      </c>
      <c r="M334" s="3" t="e">
        <f t="shared" si="154"/>
        <v>#DIV/0!</v>
      </c>
      <c r="N334" s="3" t="e">
        <f t="shared" si="163"/>
        <v>#DIV/0!</v>
      </c>
      <c r="O334" s="3" t="e">
        <f t="shared" si="146"/>
        <v>#DIV/0!</v>
      </c>
      <c r="P334" s="3">
        <f t="shared" si="164"/>
        <v>0</v>
      </c>
      <c r="Q334" s="3">
        <f t="shared" si="148"/>
        <v>0</v>
      </c>
      <c r="R334" s="3">
        <f t="shared" si="136"/>
        <v>0</v>
      </c>
      <c r="S334" s="3">
        <f t="shared" si="149"/>
        <v>0</v>
      </c>
      <c r="T334" s="3">
        <f t="shared" si="151"/>
        <v>0</v>
      </c>
      <c r="U334" s="3">
        <f t="shared" si="165"/>
        <v>0</v>
      </c>
      <c r="V334" s="3">
        <f t="shared" si="152"/>
        <v>0</v>
      </c>
      <c r="W334" s="3">
        <f t="shared" si="155"/>
        <v>0</v>
      </c>
      <c r="X334" s="3">
        <f t="shared" si="156"/>
        <v>0</v>
      </c>
      <c r="Y334" s="3">
        <f t="shared" si="157"/>
        <v>0</v>
      </c>
      <c r="Z334" s="3">
        <f t="shared" si="138"/>
        <v>0</v>
      </c>
      <c r="AA334" s="3">
        <f t="shared" si="139"/>
        <v>0</v>
      </c>
      <c r="AB334" s="3" t="e">
        <f t="shared" si="140"/>
        <v>#DIV/0!</v>
      </c>
      <c r="AC334" s="3" t="str">
        <f t="shared" si="141"/>
        <v/>
      </c>
      <c r="AD334" s="3">
        <f t="shared" si="158"/>
        <v>0</v>
      </c>
      <c r="AE334" s="3">
        <f t="shared" si="153"/>
        <v>0</v>
      </c>
      <c r="AF334" s="3">
        <f t="shared" si="159"/>
        <v>0</v>
      </c>
      <c r="AG334" s="3" t="e">
        <f>AF334 / SUM(F$2:F334)</f>
        <v>#DIV/0!</v>
      </c>
      <c r="AH334" s="3" t="e">
        <f t="shared" si="160"/>
        <v>#DIV/0!</v>
      </c>
      <c r="AI334" s="3">
        <f t="shared" si="161"/>
        <v>0</v>
      </c>
      <c r="AJ334" s="3" t="e">
        <f t="shared" si="162"/>
        <v>#DIV/0!</v>
      </c>
      <c r="AK334" s="3" t="e">
        <f t="shared" si="147"/>
        <v>#DIV/0!</v>
      </c>
    </row>
    <row r="335" spans="1:37" x14ac:dyDescent="0.3">
      <c r="A335" s="24">
        <v>0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f t="shared" si="150"/>
        <v>0</v>
      </c>
      <c r="H335" s="3">
        <f t="shared" si="137"/>
        <v>0</v>
      </c>
      <c r="I335" s="3">
        <f t="shared" si="142"/>
        <v>0</v>
      </c>
      <c r="J335" s="3">
        <f t="shared" si="143"/>
        <v>0</v>
      </c>
      <c r="K335" s="3">
        <f t="shared" si="144"/>
        <v>0</v>
      </c>
      <c r="L335" s="3">
        <f t="shared" si="145"/>
        <v>0</v>
      </c>
      <c r="M335" s="3" t="e">
        <f t="shared" si="154"/>
        <v>#DIV/0!</v>
      </c>
      <c r="N335" s="3" t="e">
        <f t="shared" si="163"/>
        <v>#DIV/0!</v>
      </c>
      <c r="O335" s="3" t="e">
        <f t="shared" si="146"/>
        <v>#DIV/0!</v>
      </c>
      <c r="P335" s="3">
        <f t="shared" si="164"/>
        <v>0</v>
      </c>
      <c r="Q335" s="3">
        <f t="shared" si="148"/>
        <v>0</v>
      </c>
      <c r="R335" s="3">
        <f t="shared" ref="R335:R398" si="166">E335*(2/(12+1)) + R334*(1-(2/(12+1)))</f>
        <v>0</v>
      </c>
      <c r="S335" s="3">
        <f t="shared" si="149"/>
        <v>0</v>
      </c>
      <c r="T335" s="3">
        <f t="shared" si="151"/>
        <v>0</v>
      </c>
      <c r="U335" s="3">
        <f t="shared" si="165"/>
        <v>0</v>
      </c>
      <c r="V335" s="3">
        <f t="shared" si="152"/>
        <v>0</v>
      </c>
      <c r="W335" s="3">
        <f t="shared" si="155"/>
        <v>0</v>
      </c>
      <c r="X335" s="3">
        <f t="shared" si="156"/>
        <v>0</v>
      </c>
      <c r="Y335" s="3">
        <f t="shared" si="157"/>
        <v>0</v>
      </c>
      <c r="Z335" s="3">
        <f t="shared" si="138"/>
        <v>0</v>
      </c>
      <c r="AA335" s="3">
        <f t="shared" si="139"/>
        <v>0</v>
      </c>
      <c r="AB335" s="3" t="e">
        <f t="shared" si="140"/>
        <v>#DIV/0!</v>
      </c>
      <c r="AC335" s="3" t="str">
        <f t="shared" si="141"/>
        <v/>
      </c>
      <c r="AD335" s="3">
        <f t="shared" si="158"/>
        <v>0</v>
      </c>
      <c r="AE335" s="3">
        <f t="shared" si="153"/>
        <v>0</v>
      </c>
      <c r="AF335" s="3">
        <f t="shared" si="159"/>
        <v>0</v>
      </c>
      <c r="AG335" s="3" t="e">
        <f>AF335 / SUM(F$2:F335)</f>
        <v>#DIV/0!</v>
      </c>
      <c r="AH335" s="3" t="e">
        <f t="shared" si="160"/>
        <v>#DIV/0!</v>
      </c>
      <c r="AI335" s="3">
        <f t="shared" si="161"/>
        <v>0</v>
      </c>
      <c r="AJ335" s="3" t="e">
        <f t="shared" si="162"/>
        <v>#DIV/0!</v>
      </c>
      <c r="AK335" s="3" t="e">
        <f t="shared" si="147"/>
        <v>#DIV/0!</v>
      </c>
    </row>
    <row r="336" spans="1:37" x14ac:dyDescent="0.3">
      <c r="A336" s="24">
        <v>0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f t="shared" si="150"/>
        <v>0</v>
      </c>
      <c r="H336" s="3">
        <f t="shared" ref="H336:H399" si="167">AVERAGE(G323:G336)</f>
        <v>0</v>
      </c>
      <c r="I336" s="3">
        <f t="shared" si="142"/>
        <v>0</v>
      </c>
      <c r="J336" s="3">
        <f t="shared" si="143"/>
        <v>0</v>
      </c>
      <c r="K336" s="3">
        <f t="shared" si="144"/>
        <v>0</v>
      </c>
      <c r="L336" s="3">
        <f t="shared" si="145"/>
        <v>0</v>
      </c>
      <c r="M336" s="3" t="e">
        <f t="shared" si="154"/>
        <v>#DIV/0!</v>
      </c>
      <c r="N336" s="3" t="e">
        <f t="shared" si="163"/>
        <v>#DIV/0!</v>
      </c>
      <c r="O336" s="3" t="e">
        <f t="shared" si="146"/>
        <v>#DIV/0!</v>
      </c>
      <c r="P336" s="3">
        <f t="shared" si="164"/>
        <v>0</v>
      </c>
      <c r="Q336" s="3">
        <f t="shared" si="148"/>
        <v>0</v>
      </c>
      <c r="R336" s="3">
        <f t="shared" si="166"/>
        <v>0</v>
      </c>
      <c r="S336" s="3">
        <f t="shared" si="149"/>
        <v>0</v>
      </c>
      <c r="T336" s="3">
        <f t="shared" si="151"/>
        <v>0</v>
      </c>
      <c r="U336" s="3">
        <f t="shared" si="165"/>
        <v>0</v>
      </c>
      <c r="V336" s="3">
        <f t="shared" si="152"/>
        <v>0</v>
      </c>
      <c r="W336" s="3">
        <f t="shared" si="155"/>
        <v>0</v>
      </c>
      <c r="X336" s="3">
        <f t="shared" si="156"/>
        <v>0</v>
      </c>
      <c r="Y336" s="3">
        <f t="shared" si="157"/>
        <v>0</v>
      </c>
      <c r="Z336" s="3">
        <f t="shared" ref="Z336:Z399" si="168">AVERAGE(X323:X336)</f>
        <v>0</v>
      </c>
      <c r="AA336" s="3">
        <f t="shared" ref="AA336:AA399" si="169">AVERAGE(Y323:Y336)</f>
        <v>0</v>
      </c>
      <c r="AB336" s="3" t="e">
        <f t="shared" ref="AB336:AB399" si="170">100-(100/(1+(Z336/AA336)))</f>
        <v>#DIV/0!</v>
      </c>
      <c r="AC336" s="3" t="str">
        <f t="shared" ref="AC336:AC399" si="171">IF(
COUNT(AB323:AB336)&lt;14,
"",
IF(
MAX(AB323:AB336)=MIN(AB323:AB336),
0.5,
(AB336-MIN(AB323:AB336)) / (MAX(AB323:AB336)-MIN(AB323:AB336))
)
)</f>
        <v/>
      </c>
      <c r="AD336" s="3">
        <f t="shared" si="158"/>
        <v>0</v>
      </c>
      <c r="AE336" s="3">
        <f t="shared" si="153"/>
        <v>0</v>
      </c>
      <c r="AF336" s="3">
        <f t="shared" si="159"/>
        <v>0</v>
      </c>
      <c r="AG336" s="3" t="e">
        <f>AF336 / SUM(F$2:F336)</f>
        <v>#DIV/0!</v>
      </c>
      <c r="AH336" s="3" t="e">
        <f t="shared" si="160"/>
        <v>#DIV/0!</v>
      </c>
      <c r="AI336" s="3">
        <f t="shared" si="161"/>
        <v>0</v>
      </c>
      <c r="AJ336" s="3" t="e">
        <f t="shared" si="162"/>
        <v>#DIV/0!</v>
      </c>
      <c r="AK336" s="3" t="e">
        <f t="shared" si="147"/>
        <v>#DIV/0!</v>
      </c>
    </row>
    <row r="337" spans="1:37" x14ac:dyDescent="0.3">
      <c r="A337" s="24">
        <v>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f t="shared" si="150"/>
        <v>0</v>
      </c>
      <c r="H337" s="3">
        <f t="shared" si="167"/>
        <v>0</v>
      </c>
      <c r="I337" s="3">
        <f t="shared" si="142"/>
        <v>0</v>
      </c>
      <c r="J337" s="3">
        <f t="shared" si="143"/>
        <v>0</v>
      </c>
      <c r="K337" s="3">
        <f t="shared" si="144"/>
        <v>0</v>
      </c>
      <c r="L337" s="3">
        <f t="shared" si="145"/>
        <v>0</v>
      </c>
      <c r="M337" s="3" t="e">
        <f t="shared" si="154"/>
        <v>#DIV/0!</v>
      </c>
      <c r="N337" s="3" t="e">
        <f t="shared" si="163"/>
        <v>#DIV/0!</v>
      </c>
      <c r="O337" s="3" t="e">
        <f t="shared" si="146"/>
        <v>#DIV/0!</v>
      </c>
      <c r="P337" s="3">
        <f t="shared" si="164"/>
        <v>0</v>
      </c>
      <c r="Q337" s="3">
        <f t="shared" si="148"/>
        <v>0</v>
      </c>
      <c r="R337" s="3">
        <f t="shared" si="166"/>
        <v>0</v>
      </c>
      <c r="S337" s="3">
        <f t="shared" si="149"/>
        <v>0</v>
      </c>
      <c r="T337" s="3">
        <f t="shared" si="151"/>
        <v>0</v>
      </c>
      <c r="U337" s="3">
        <f t="shared" si="165"/>
        <v>0</v>
      </c>
      <c r="V337" s="3">
        <f t="shared" si="152"/>
        <v>0</v>
      </c>
      <c r="W337" s="3">
        <f t="shared" si="155"/>
        <v>0</v>
      </c>
      <c r="X337" s="3">
        <f t="shared" si="156"/>
        <v>0</v>
      </c>
      <c r="Y337" s="3">
        <f t="shared" si="157"/>
        <v>0</v>
      </c>
      <c r="Z337" s="3">
        <f t="shared" si="168"/>
        <v>0</v>
      </c>
      <c r="AA337" s="3">
        <f t="shared" si="169"/>
        <v>0</v>
      </c>
      <c r="AB337" s="3" t="e">
        <f t="shared" si="170"/>
        <v>#DIV/0!</v>
      </c>
      <c r="AC337" s="3" t="str">
        <f t="shared" si="171"/>
        <v/>
      </c>
      <c r="AD337" s="3">
        <f t="shared" si="158"/>
        <v>0</v>
      </c>
      <c r="AE337" s="3">
        <f t="shared" si="153"/>
        <v>0</v>
      </c>
      <c r="AF337" s="3">
        <f t="shared" si="159"/>
        <v>0</v>
      </c>
      <c r="AG337" s="3" t="e">
        <f>AF337 / SUM(F$2:F337)</f>
        <v>#DIV/0!</v>
      </c>
      <c r="AH337" s="3" t="e">
        <f t="shared" si="160"/>
        <v>#DIV/0!</v>
      </c>
      <c r="AI337" s="3">
        <f t="shared" si="161"/>
        <v>0</v>
      </c>
      <c r="AJ337" s="3" t="e">
        <f t="shared" si="162"/>
        <v>#DIV/0!</v>
      </c>
      <c r="AK337" s="3" t="e">
        <f t="shared" si="147"/>
        <v>#DIV/0!</v>
      </c>
    </row>
    <row r="338" spans="1:37" x14ac:dyDescent="0.3">
      <c r="A338" s="24">
        <v>0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f t="shared" si="150"/>
        <v>0</v>
      </c>
      <c r="H338" s="3">
        <f t="shared" si="167"/>
        <v>0</v>
      </c>
      <c r="I338" s="3">
        <f t="shared" si="142"/>
        <v>0</v>
      </c>
      <c r="J338" s="3">
        <f t="shared" si="143"/>
        <v>0</v>
      </c>
      <c r="K338" s="3">
        <f t="shared" si="144"/>
        <v>0</v>
      </c>
      <c r="L338" s="3">
        <f t="shared" si="145"/>
        <v>0</v>
      </c>
      <c r="M338" s="3" t="e">
        <f t="shared" si="154"/>
        <v>#DIV/0!</v>
      </c>
      <c r="N338" s="3" t="e">
        <f t="shared" si="163"/>
        <v>#DIV/0!</v>
      </c>
      <c r="O338" s="3" t="e">
        <f t="shared" si="146"/>
        <v>#DIV/0!</v>
      </c>
      <c r="P338" s="3">
        <f t="shared" si="164"/>
        <v>0</v>
      </c>
      <c r="Q338" s="3">
        <f t="shared" si="148"/>
        <v>0</v>
      </c>
      <c r="R338" s="3">
        <f t="shared" si="166"/>
        <v>0</v>
      </c>
      <c r="S338" s="3">
        <f t="shared" si="149"/>
        <v>0</v>
      </c>
      <c r="T338" s="3">
        <f t="shared" si="151"/>
        <v>0</v>
      </c>
      <c r="U338" s="3">
        <f t="shared" si="165"/>
        <v>0</v>
      </c>
      <c r="V338" s="3">
        <f t="shared" si="152"/>
        <v>0</v>
      </c>
      <c r="W338" s="3">
        <f t="shared" si="155"/>
        <v>0</v>
      </c>
      <c r="X338" s="3">
        <f t="shared" si="156"/>
        <v>0</v>
      </c>
      <c r="Y338" s="3">
        <f t="shared" si="157"/>
        <v>0</v>
      </c>
      <c r="Z338" s="3">
        <f t="shared" si="168"/>
        <v>0</v>
      </c>
      <c r="AA338" s="3">
        <f t="shared" si="169"/>
        <v>0</v>
      </c>
      <c r="AB338" s="3" t="e">
        <f t="shared" si="170"/>
        <v>#DIV/0!</v>
      </c>
      <c r="AC338" s="3" t="str">
        <f t="shared" si="171"/>
        <v/>
      </c>
      <c r="AD338" s="3">
        <f t="shared" si="158"/>
        <v>0</v>
      </c>
      <c r="AE338" s="3">
        <f t="shared" si="153"/>
        <v>0</v>
      </c>
      <c r="AF338" s="3">
        <f t="shared" si="159"/>
        <v>0</v>
      </c>
      <c r="AG338" s="3" t="e">
        <f>AF338 / SUM(F$2:F338)</f>
        <v>#DIV/0!</v>
      </c>
      <c r="AH338" s="3" t="e">
        <f t="shared" si="160"/>
        <v>#DIV/0!</v>
      </c>
      <c r="AI338" s="3">
        <f t="shared" si="161"/>
        <v>0</v>
      </c>
      <c r="AJ338" s="3" t="e">
        <f t="shared" si="162"/>
        <v>#DIV/0!</v>
      </c>
      <c r="AK338" s="3" t="e">
        <f t="shared" si="147"/>
        <v>#DIV/0!</v>
      </c>
    </row>
    <row r="339" spans="1:37" x14ac:dyDescent="0.3">
      <c r="A339" s="24">
        <v>0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f t="shared" si="150"/>
        <v>0</v>
      </c>
      <c r="H339" s="3">
        <f t="shared" si="167"/>
        <v>0</v>
      </c>
      <c r="I339" s="3">
        <f t="shared" si="142"/>
        <v>0</v>
      </c>
      <c r="J339" s="3">
        <f t="shared" si="143"/>
        <v>0</v>
      </c>
      <c r="K339" s="3">
        <f t="shared" si="144"/>
        <v>0</v>
      </c>
      <c r="L339" s="3">
        <f t="shared" si="145"/>
        <v>0</v>
      </c>
      <c r="M339" s="3" t="e">
        <f t="shared" si="154"/>
        <v>#DIV/0!</v>
      </c>
      <c r="N339" s="3" t="e">
        <f t="shared" si="163"/>
        <v>#DIV/0!</v>
      </c>
      <c r="O339" s="3" t="e">
        <f t="shared" si="146"/>
        <v>#DIV/0!</v>
      </c>
      <c r="P339" s="3">
        <f t="shared" si="164"/>
        <v>0</v>
      </c>
      <c r="Q339" s="3">
        <f t="shared" si="148"/>
        <v>0</v>
      </c>
      <c r="R339" s="3">
        <f t="shared" si="166"/>
        <v>0</v>
      </c>
      <c r="S339" s="3">
        <f t="shared" si="149"/>
        <v>0</v>
      </c>
      <c r="T339" s="3">
        <f t="shared" si="151"/>
        <v>0</v>
      </c>
      <c r="U339" s="3">
        <f t="shared" si="165"/>
        <v>0</v>
      </c>
      <c r="V339" s="3">
        <f t="shared" si="152"/>
        <v>0</v>
      </c>
      <c r="W339" s="3">
        <f t="shared" si="155"/>
        <v>0</v>
      </c>
      <c r="X339" s="3">
        <f t="shared" si="156"/>
        <v>0</v>
      </c>
      <c r="Y339" s="3">
        <f t="shared" si="157"/>
        <v>0</v>
      </c>
      <c r="Z339" s="3">
        <f t="shared" si="168"/>
        <v>0</v>
      </c>
      <c r="AA339" s="3">
        <f t="shared" si="169"/>
        <v>0</v>
      </c>
      <c r="AB339" s="3" t="e">
        <f t="shared" si="170"/>
        <v>#DIV/0!</v>
      </c>
      <c r="AC339" s="3" t="str">
        <f t="shared" si="171"/>
        <v/>
      </c>
      <c r="AD339" s="3">
        <f t="shared" si="158"/>
        <v>0</v>
      </c>
      <c r="AE339" s="3">
        <f t="shared" si="153"/>
        <v>0</v>
      </c>
      <c r="AF339" s="3">
        <f t="shared" si="159"/>
        <v>0</v>
      </c>
      <c r="AG339" s="3" t="e">
        <f>AF339 / SUM(F$2:F339)</f>
        <v>#DIV/0!</v>
      </c>
      <c r="AH339" s="3" t="e">
        <f t="shared" si="160"/>
        <v>#DIV/0!</v>
      </c>
      <c r="AI339" s="3">
        <f t="shared" si="161"/>
        <v>0</v>
      </c>
      <c r="AJ339" s="3" t="e">
        <f t="shared" si="162"/>
        <v>#DIV/0!</v>
      </c>
      <c r="AK339" s="3" t="e">
        <f t="shared" si="147"/>
        <v>#DIV/0!</v>
      </c>
    </row>
    <row r="340" spans="1:37" x14ac:dyDescent="0.3">
      <c r="A340" s="24">
        <v>0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f t="shared" si="150"/>
        <v>0</v>
      </c>
      <c r="H340" s="3">
        <f t="shared" si="167"/>
        <v>0</v>
      </c>
      <c r="I340" s="3">
        <f t="shared" si="142"/>
        <v>0</v>
      </c>
      <c r="J340" s="3">
        <f t="shared" si="143"/>
        <v>0</v>
      </c>
      <c r="K340" s="3">
        <f t="shared" si="144"/>
        <v>0</v>
      </c>
      <c r="L340" s="3">
        <f t="shared" si="145"/>
        <v>0</v>
      </c>
      <c r="M340" s="3" t="e">
        <f t="shared" si="154"/>
        <v>#DIV/0!</v>
      </c>
      <c r="N340" s="3" t="e">
        <f t="shared" si="163"/>
        <v>#DIV/0!</v>
      </c>
      <c r="O340" s="3" t="e">
        <f t="shared" si="146"/>
        <v>#DIV/0!</v>
      </c>
      <c r="P340" s="3">
        <f t="shared" si="164"/>
        <v>0</v>
      </c>
      <c r="Q340" s="3">
        <f t="shared" si="148"/>
        <v>0</v>
      </c>
      <c r="R340" s="3">
        <f t="shared" si="166"/>
        <v>0</v>
      </c>
      <c r="S340" s="3">
        <f t="shared" si="149"/>
        <v>0</v>
      </c>
      <c r="T340" s="3">
        <f t="shared" si="151"/>
        <v>0</v>
      </c>
      <c r="U340" s="3">
        <f t="shared" si="165"/>
        <v>0</v>
      </c>
      <c r="V340" s="3">
        <f t="shared" si="152"/>
        <v>0</v>
      </c>
      <c r="W340" s="3">
        <f t="shared" si="155"/>
        <v>0</v>
      </c>
      <c r="X340" s="3">
        <f t="shared" si="156"/>
        <v>0</v>
      </c>
      <c r="Y340" s="3">
        <f t="shared" si="157"/>
        <v>0</v>
      </c>
      <c r="Z340" s="3">
        <f t="shared" si="168"/>
        <v>0</v>
      </c>
      <c r="AA340" s="3">
        <f t="shared" si="169"/>
        <v>0</v>
      </c>
      <c r="AB340" s="3" t="e">
        <f t="shared" si="170"/>
        <v>#DIV/0!</v>
      </c>
      <c r="AC340" s="3" t="str">
        <f t="shared" si="171"/>
        <v/>
      </c>
      <c r="AD340" s="3">
        <f t="shared" si="158"/>
        <v>0</v>
      </c>
      <c r="AE340" s="3">
        <f t="shared" si="153"/>
        <v>0</v>
      </c>
      <c r="AF340" s="3">
        <f t="shared" si="159"/>
        <v>0</v>
      </c>
      <c r="AG340" s="3" t="e">
        <f>AF340 / SUM(F$2:F340)</f>
        <v>#DIV/0!</v>
      </c>
      <c r="AH340" s="3" t="e">
        <f t="shared" si="160"/>
        <v>#DIV/0!</v>
      </c>
      <c r="AI340" s="3">
        <f t="shared" si="161"/>
        <v>0</v>
      </c>
      <c r="AJ340" s="3" t="e">
        <f t="shared" si="162"/>
        <v>#DIV/0!</v>
      </c>
      <c r="AK340" s="3" t="e">
        <f t="shared" si="147"/>
        <v>#DIV/0!</v>
      </c>
    </row>
    <row r="341" spans="1:37" x14ac:dyDescent="0.3">
      <c r="A341" s="24">
        <v>0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f t="shared" si="150"/>
        <v>0</v>
      </c>
      <c r="H341" s="3">
        <f t="shared" si="167"/>
        <v>0</v>
      </c>
      <c r="I341" s="3">
        <f t="shared" si="142"/>
        <v>0</v>
      </c>
      <c r="J341" s="3">
        <f t="shared" si="143"/>
        <v>0</v>
      </c>
      <c r="K341" s="3">
        <f t="shared" si="144"/>
        <v>0</v>
      </c>
      <c r="L341" s="3">
        <f t="shared" si="145"/>
        <v>0</v>
      </c>
      <c r="M341" s="3" t="e">
        <f t="shared" si="154"/>
        <v>#DIV/0!</v>
      </c>
      <c r="N341" s="3" t="e">
        <f t="shared" si="163"/>
        <v>#DIV/0!</v>
      </c>
      <c r="O341" s="3" t="e">
        <f t="shared" si="146"/>
        <v>#DIV/0!</v>
      </c>
      <c r="P341" s="3">
        <f t="shared" si="164"/>
        <v>0</v>
      </c>
      <c r="Q341" s="3">
        <f t="shared" si="148"/>
        <v>0</v>
      </c>
      <c r="R341" s="3">
        <f t="shared" si="166"/>
        <v>0</v>
      </c>
      <c r="S341" s="3">
        <f t="shared" si="149"/>
        <v>0</v>
      </c>
      <c r="T341" s="3">
        <f t="shared" si="151"/>
        <v>0</v>
      </c>
      <c r="U341" s="3">
        <f t="shared" si="165"/>
        <v>0</v>
      </c>
      <c r="V341" s="3">
        <f t="shared" si="152"/>
        <v>0</v>
      </c>
      <c r="W341" s="3">
        <f t="shared" si="155"/>
        <v>0</v>
      </c>
      <c r="X341" s="3">
        <f t="shared" si="156"/>
        <v>0</v>
      </c>
      <c r="Y341" s="3">
        <f t="shared" si="157"/>
        <v>0</v>
      </c>
      <c r="Z341" s="3">
        <f t="shared" si="168"/>
        <v>0</v>
      </c>
      <c r="AA341" s="3">
        <f t="shared" si="169"/>
        <v>0</v>
      </c>
      <c r="AB341" s="3" t="e">
        <f t="shared" si="170"/>
        <v>#DIV/0!</v>
      </c>
      <c r="AC341" s="3" t="str">
        <f t="shared" si="171"/>
        <v/>
      </c>
      <c r="AD341" s="3">
        <f t="shared" si="158"/>
        <v>0</v>
      </c>
      <c r="AE341" s="3">
        <f t="shared" si="153"/>
        <v>0</v>
      </c>
      <c r="AF341" s="3">
        <f t="shared" si="159"/>
        <v>0</v>
      </c>
      <c r="AG341" s="3" t="e">
        <f>AF341 / SUM(F$2:F341)</f>
        <v>#DIV/0!</v>
      </c>
      <c r="AH341" s="3" t="e">
        <f t="shared" si="160"/>
        <v>#DIV/0!</v>
      </c>
      <c r="AI341" s="3">
        <f t="shared" si="161"/>
        <v>0</v>
      </c>
      <c r="AJ341" s="3" t="e">
        <f t="shared" si="162"/>
        <v>#DIV/0!</v>
      </c>
      <c r="AK341" s="3" t="e">
        <f t="shared" si="147"/>
        <v>#DIV/0!</v>
      </c>
    </row>
    <row r="342" spans="1:37" x14ac:dyDescent="0.3">
      <c r="A342" s="24">
        <v>0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f t="shared" si="150"/>
        <v>0</v>
      </c>
      <c r="H342" s="3">
        <f t="shared" si="167"/>
        <v>0</v>
      </c>
      <c r="I342" s="3">
        <f t="shared" ref="I342:I405" si="172">AVERAGE(E323:E342)</f>
        <v>0</v>
      </c>
      <c r="J342" s="3">
        <f t="shared" ref="J342:J405" si="173">_xlfn.STDEV.S(E323:E342)</f>
        <v>0</v>
      </c>
      <c r="K342" s="3">
        <f t="shared" ref="K342:K405" si="174">I342 + 2*J342</f>
        <v>0</v>
      </c>
      <c r="L342" s="3">
        <f t="shared" ref="L342:L405" si="175">I342 - 2*J342</f>
        <v>0</v>
      </c>
      <c r="M342" s="3" t="e">
        <f t="shared" si="154"/>
        <v>#DIV/0!</v>
      </c>
      <c r="N342" s="3" t="e">
        <f t="shared" si="163"/>
        <v>#DIV/0!</v>
      </c>
      <c r="O342" s="3" t="e">
        <f t="shared" ref="O342:O405" si="176">_xlfn.STDEV.S(M323:M342)*SQRT(20)</f>
        <v>#DIV/0!</v>
      </c>
      <c r="P342" s="3">
        <f t="shared" si="164"/>
        <v>0</v>
      </c>
      <c r="Q342" s="3">
        <f t="shared" si="148"/>
        <v>0</v>
      </c>
      <c r="R342" s="3">
        <f t="shared" si="166"/>
        <v>0</v>
      </c>
      <c r="S342" s="3">
        <f t="shared" si="149"/>
        <v>0</v>
      </c>
      <c r="T342" s="3">
        <f t="shared" si="151"/>
        <v>0</v>
      </c>
      <c r="U342" s="3">
        <f t="shared" si="165"/>
        <v>0</v>
      </c>
      <c r="V342" s="3">
        <f t="shared" si="152"/>
        <v>0</v>
      </c>
      <c r="W342" s="3">
        <f t="shared" si="155"/>
        <v>0</v>
      </c>
      <c r="X342" s="3">
        <f t="shared" si="156"/>
        <v>0</v>
      </c>
      <c r="Y342" s="3">
        <f t="shared" si="157"/>
        <v>0</v>
      </c>
      <c r="Z342" s="3">
        <f t="shared" si="168"/>
        <v>0</v>
      </c>
      <c r="AA342" s="3">
        <f t="shared" si="169"/>
        <v>0</v>
      </c>
      <c r="AB342" s="3" t="e">
        <f t="shared" si="170"/>
        <v>#DIV/0!</v>
      </c>
      <c r="AC342" s="3" t="str">
        <f t="shared" si="171"/>
        <v/>
      </c>
      <c r="AD342" s="3">
        <f t="shared" si="158"/>
        <v>0</v>
      </c>
      <c r="AE342" s="3">
        <f t="shared" si="153"/>
        <v>0</v>
      </c>
      <c r="AF342" s="3">
        <f t="shared" si="159"/>
        <v>0</v>
      </c>
      <c r="AG342" s="3" t="e">
        <f>AF342 / SUM(F$2:F342)</f>
        <v>#DIV/0!</v>
      </c>
      <c r="AH342" s="3" t="e">
        <f t="shared" si="160"/>
        <v>#DIV/0!</v>
      </c>
      <c r="AI342" s="3">
        <f t="shared" si="161"/>
        <v>0</v>
      </c>
      <c r="AJ342" s="3" t="e">
        <f t="shared" si="162"/>
        <v>#DIV/0!</v>
      </c>
      <c r="AK342" s="3" t="e">
        <f t="shared" ref="AK342:AK405" si="177">F323 / AVERAGE(F323:F342)</f>
        <v>#DIV/0!</v>
      </c>
    </row>
    <row r="343" spans="1:37" x14ac:dyDescent="0.3">
      <c r="A343" s="24">
        <v>0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f t="shared" si="150"/>
        <v>0</v>
      </c>
      <c r="H343" s="3">
        <f t="shared" si="167"/>
        <v>0</v>
      </c>
      <c r="I343" s="3">
        <f t="shared" si="172"/>
        <v>0</v>
      </c>
      <c r="J343" s="3">
        <f t="shared" si="173"/>
        <v>0</v>
      </c>
      <c r="K343" s="3">
        <f t="shared" si="174"/>
        <v>0</v>
      </c>
      <c r="L343" s="3">
        <f t="shared" si="175"/>
        <v>0</v>
      </c>
      <c r="M343" s="3" t="e">
        <f t="shared" si="154"/>
        <v>#DIV/0!</v>
      </c>
      <c r="N343" s="3" t="e">
        <f t="shared" si="163"/>
        <v>#DIV/0!</v>
      </c>
      <c r="O343" s="3" t="e">
        <f t="shared" si="176"/>
        <v>#DIV/0!</v>
      </c>
      <c r="P343" s="3">
        <f t="shared" si="164"/>
        <v>0</v>
      </c>
      <c r="Q343" s="3">
        <f t="shared" si="148"/>
        <v>0</v>
      </c>
      <c r="R343" s="3">
        <f t="shared" si="166"/>
        <v>0</v>
      </c>
      <c r="S343" s="3">
        <f t="shared" si="149"/>
        <v>0</v>
      </c>
      <c r="T343" s="3">
        <f t="shared" si="151"/>
        <v>0</v>
      </c>
      <c r="U343" s="3">
        <f t="shared" si="165"/>
        <v>0</v>
      </c>
      <c r="V343" s="3">
        <f t="shared" si="152"/>
        <v>0</v>
      </c>
      <c r="W343" s="3">
        <f t="shared" si="155"/>
        <v>0</v>
      </c>
      <c r="X343" s="3">
        <f t="shared" si="156"/>
        <v>0</v>
      </c>
      <c r="Y343" s="3">
        <f t="shared" si="157"/>
        <v>0</v>
      </c>
      <c r="Z343" s="3">
        <f t="shared" si="168"/>
        <v>0</v>
      </c>
      <c r="AA343" s="3">
        <f t="shared" si="169"/>
        <v>0</v>
      </c>
      <c r="AB343" s="3" t="e">
        <f t="shared" si="170"/>
        <v>#DIV/0!</v>
      </c>
      <c r="AC343" s="3" t="str">
        <f t="shared" si="171"/>
        <v/>
      </c>
      <c r="AD343" s="3">
        <f t="shared" si="158"/>
        <v>0</v>
      </c>
      <c r="AE343" s="3">
        <f t="shared" si="153"/>
        <v>0</v>
      </c>
      <c r="AF343" s="3">
        <f t="shared" si="159"/>
        <v>0</v>
      </c>
      <c r="AG343" s="3" t="e">
        <f>AF343 / SUM(F$2:F343)</f>
        <v>#DIV/0!</v>
      </c>
      <c r="AH343" s="3" t="e">
        <f t="shared" si="160"/>
        <v>#DIV/0!</v>
      </c>
      <c r="AI343" s="3">
        <f t="shared" si="161"/>
        <v>0</v>
      </c>
      <c r="AJ343" s="3" t="e">
        <f t="shared" si="162"/>
        <v>#DIV/0!</v>
      </c>
      <c r="AK343" s="3" t="e">
        <f t="shared" si="177"/>
        <v>#DIV/0!</v>
      </c>
    </row>
    <row r="344" spans="1:37" x14ac:dyDescent="0.3">
      <c r="A344" s="24">
        <v>0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f t="shared" si="150"/>
        <v>0</v>
      </c>
      <c r="H344" s="3">
        <f t="shared" si="167"/>
        <v>0</v>
      </c>
      <c r="I344" s="3">
        <f t="shared" si="172"/>
        <v>0</v>
      </c>
      <c r="J344" s="3">
        <f t="shared" si="173"/>
        <v>0</v>
      </c>
      <c r="K344" s="3">
        <f t="shared" si="174"/>
        <v>0</v>
      </c>
      <c r="L344" s="3">
        <f t="shared" si="175"/>
        <v>0</v>
      </c>
      <c r="M344" s="3" t="e">
        <f t="shared" si="154"/>
        <v>#DIV/0!</v>
      </c>
      <c r="N344" s="3" t="e">
        <f t="shared" si="163"/>
        <v>#DIV/0!</v>
      </c>
      <c r="O344" s="3" t="e">
        <f t="shared" si="176"/>
        <v>#DIV/0!</v>
      </c>
      <c r="P344" s="3">
        <f t="shared" si="164"/>
        <v>0</v>
      </c>
      <c r="Q344" s="3">
        <f t="shared" ref="Q344:Q407" si="178">E344*(2/(21+1)) + Q343*(1-(2/(21+1)))</f>
        <v>0</v>
      </c>
      <c r="R344" s="3">
        <f t="shared" si="166"/>
        <v>0</v>
      </c>
      <c r="S344" s="3">
        <f t="shared" si="149"/>
        <v>0</v>
      </c>
      <c r="T344" s="3">
        <f t="shared" si="151"/>
        <v>0</v>
      </c>
      <c r="U344" s="3">
        <f t="shared" si="165"/>
        <v>0</v>
      </c>
      <c r="V344" s="3">
        <f t="shared" si="152"/>
        <v>0</v>
      </c>
      <c r="W344" s="3">
        <f t="shared" si="155"/>
        <v>0</v>
      </c>
      <c r="X344" s="3">
        <f t="shared" si="156"/>
        <v>0</v>
      </c>
      <c r="Y344" s="3">
        <f t="shared" si="157"/>
        <v>0</v>
      </c>
      <c r="Z344" s="3">
        <f t="shared" si="168"/>
        <v>0</v>
      </c>
      <c r="AA344" s="3">
        <f t="shared" si="169"/>
        <v>0</v>
      </c>
      <c r="AB344" s="3" t="e">
        <f t="shared" si="170"/>
        <v>#DIV/0!</v>
      </c>
      <c r="AC344" s="3" t="str">
        <f t="shared" si="171"/>
        <v/>
      </c>
      <c r="AD344" s="3">
        <f t="shared" si="158"/>
        <v>0</v>
      </c>
      <c r="AE344" s="3">
        <f t="shared" si="153"/>
        <v>0</v>
      </c>
      <c r="AF344" s="3">
        <f t="shared" si="159"/>
        <v>0</v>
      </c>
      <c r="AG344" s="3" t="e">
        <f>AF344 / SUM(F$2:F344)</f>
        <v>#DIV/0!</v>
      </c>
      <c r="AH344" s="3" t="e">
        <f t="shared" si="160"/>
        <v>#DIV/0!</v>
      </c>
      <c r="AI344" s="3">
        <f t="shared" si="161"/>
        <v>0</v>
      </c>
      <c r="AJ344" s="3" t="e">
        <f t="shared" si="162"/>
        <v>#DIV/0!</v>
      </c>
      <c r="AK344" s="3" t="e">
        <f t="shared" si="177"/>
        <v>#DIV/0!</v>
      </c>
    </row>
    <row r="345" spans="1:37" x14ac:dyDescent="0.3">
      <c r="A345" s="24">
        <v>0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f t="shared" si="150"/>
        <v>0</v>
      </c>
      <c r="H345" s="3">
        <f t="shared" si="167"/>
        <v>0</v>
      </c>
      <c r="I345" s="3">
        <f t="shared" si="172"/>
        <v>0</v>
      </c>
      <c r="J345" s="3">
        <f t="shared" si="173"/>
        <v>0</v>
      </c>
      <c r="K345" s="3">
        <f t="shared" si="174"/>
        <v>0</v>
      </c>
      <c r="L345" s="3">
        <f t="shared" si="175"/>
        <v>0</v>
      </c>
      <c r="M345" s="3" t="e">
        <f t="shared" si="154"/>
        <v>#DIV/0!</v>
      </c>
      <c r="N345" s="3" t="e">
        <f t="shared" si="163"/>
        <v>#DIV/0!</v>
      </c>
      <c r="O345" s="3" t="e">
        <f t="shared" si="176"/>
        <v>#DIV/0!</v>
      </c>
      <c r="P345" s="3">
        <f t="shared" si="164"/>
        <v>0</v>
      </c>
      <c r="Q345" s="3">
        <f t="shared" si="178"/>
        <v>0</v>
      </c>
      <c r="R345" s="3">
        <f t="shared" si="166"/>
        <v>0</v>
      </c>
      <c r="S345" s="3">
        <f t="shared" si="149"/>
        <v>0</v>
      </c>
      <c r="T345" s="3">
        <f t="shared" si="151"/>
        <v>0</v>
      </c>
      <c r="U345" s="3">
        <f t="shared" si="165"/>
        <v>0</v>
      </c>
      <c r="V345" s="3">
        <f t="shared" si="152"/>
        <v>0</v>
      </c>
      <c r="W345" s="3">
        <f t="shared" si="155"/>
        <v>0</v>
      </c>
      <c r="X345" s="3">
        <f t="shared" si="156"/>
        <v>0</v>
      </c>
      <c r="Y345" s="3">
        <f t="shared" si="157"/>
        <v>0</v>
      </c>
      <c r="Z345" s="3">
        <f t="shared" si="168"/>
        <v>0</v>
      </c>
      <c r="AA345" s="3">
        <f t="shared" si="169"/>
        <v>0</v>
      </c>
      <c r="AB345" s="3" t="e">
        <f t="shared" si="170"/>
        <v>#DIV/0!</v>
      </c>
      <c r="AC345" s="3" t="str">
        <f t="shared" si="171"/>
        <v/>
      </c>
      <c r="AD345" s="3">
        <f t="shared" si="158"/>
        <v>0</v>
      </c>
      <c r="AE345" s="3">
        <f t="shared" si="153"/>
        <v>0</v>
      </c>
      <c r="AF345" s="3">
        <f t="shared" si="159"/>
        <v>0</v>
      </c>
      <c r="AG345" s="3" t="e">
        <f>AF345 / SUM(F$2:F345)</f>
        <v>#DIV/0!</v>
      </c>
      <c r="AH345" s="3" t="e">
        <f t="shared" si="160"/>
        <v>#DIV/0!</v>
      </c>
      <c r="AI345" s="3">
        <f t="shared" si="161"/>
        <v>0</v>
      </c>
      <c r="AJ345" s="3" t="e">
        <f t="shared" si="162"/>
        <v>#DIV/0!</v>
      </c>
      <c r="AK345" s="3" t="e">
        <f t="shared" si="177"/>
        <v>#DIV/0!</v>
      </c>
    </row>
    <row r="346" spans="1:37" x14ac:dyDescent="0.3">
      <c r="A346" s="24">
        <v>0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f t="shared" si="150"/>
        <v>0</v>
      </c>
      <c r="H346" s="3">
        <f t="shared" si="167"/>
        <v>0</v>
      </c>
      <c r="I346" s="3">
        <f t="shared" si="172"/>
        <v>0</v>
      </c>
      <c r="J346" s="3">
        <f t="shared" si="173"/>
        <v>0</v>
      </c>
      <c r="K346" s="3">
        <f t="shared" si="174"/>
        <v>0</v>
      </c>
      <c r="L346" s="3">
        <f t="shared" si="175"/>
        <v>0</v>
      </c>
      <c r="M346" s="3" t="e">
        <f t="shared" si="154"/>
        <v>#DIV/0!</v>
      </c>
      <c r="N346" s="3" t="e">
        <f t="shared" si="163"/>
        <v>#DIV/0!</v>
      </c>
      <c r="O346" s="3" t="e">
        <f t="shared" si="176"/>
        <v>#DIV/0!</v>
      </c>
      <c r="P346" s="3">
        <f t="shared" si="164"/>
        <v>0</v>
      </c>
      <c r="Q346" s="3">
        <f t="shared" si="178"/>
        <v>0</v>
      </c>
      <c r="R346" s="3">
        <f t="shared" si="166"/>
        <v>0</v>
      </c>
      <c r="S346" s="3">
        <f t="shared" si="149"/>
        <v>0</v>
      </c>
      <c r="T346" s="3">
        <f t="shared" si="151"/>
        <v>0</v>
      </c>
      <c r="U346" s="3">
        <f t="shared" si="165"/>
        <v>0</v>
      </c>
      <c r="V346" s="3">
        <f t="shared" si="152"/>
        <v>0</v>
      </c>
      <c r="W346" s="3">
        <f t="shared" si="155"/>
        <v>0</v>
      </c>
      <c r="X346" s="3">
        <f t="shared" si="156"/>
        <v>0</v>
      </c>
      <c r="Y346" s="3">
        <f t="shared" si="157"/>
        <v>0</v>
      </c>
      <c r="Z346" s="3">
        <f t="shared" si="168"/>
        <v>0</v>
      </c>
      <c r="AA346" s="3">
        <f t="shared" si="169"/>
        <v>0</v>
      </c>
      <c r="AB346" s="3" t="e">
        <f t="shared" si="170"/>
        <v>#DIV/0!</v>
      </c>
      <c r="AC346" s="3" t="str">
        <f t="shared" si="171"/>
        <v/>
      </c>
      <c r="AD346" s="3">
        <f t="shared" si="158"/>
        <v>0</v>
      </c>
      <c r="AE346" s="3">
        <f t="shared" si="153"/>
        <v>0</v>
      </c>
      <c r="AF346" s="3">
        <f t="shared" si="159"/>
        <v>0</v>
      </c>
      <c r="AG346" s="3" t="e">
        <f>AF346 / SUM(F$2:F346)</f>
        <v>#DIV/0!</v>
      </c>
      <c r="AH346" s="3" t="e">
        <f t="shared" si="160"/>
        <v>#DIV/0!</v>
      </c>
      <c r="AI346" s="3">
        <f t="shared" si="161"/>
        <v>0</v>
      </c>
      <c r="AJ346" s="3" t="e">
        <f t="shared" si="162"/>
        <v>#DIV/0!</v>
      </c>
      <c r="AK346" s="3" t="e">
        <f t="shared" si="177"/>
        <v>#DIV/0!</v>
      </c>
    </row>
    <row r="347" spans="1:37" x14ac:dyDescent="0.3">
      <c r="A347" s="24">
        <v>0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f t="shared" si="150"/>
        <v>0</v>
      </c>
      <c r="H347" s="3">
        <f t="shared" si="167"/>
        <v>0</v>
      </c>
      <c r="I347" s="3">
        <f t="shared" si="172"/>
        <v>0</v>
      </c>
      <c r="J347" s="3">
        <f t="shared" si="173"/>
        <v>0</v>
      </c>
      <c r="K347" s="3">
        <f t="shared" si="174"/>
        <v>0</v>
      </c>
      <c r="L347" s="3">
        <f t="shared" si="175"/>
        <v>0</v>
      </c>
      <c r="M347" s="3" t="e">
        <f t="shared" si="154"/>
        <v>#DIV/0!</v>
      </c>
      <c r="N347" s="3" t="e">
        <f t="shared" si="163"/>
        <v>#DIV/0!</v>
      </c>
      <c r="O347" s="3" t="e">
        <f t="shared" si="176"/>
        <v>#DIV/0!</v>
      </c>
      <c r="P347" s="3">
        <f t="shared" si="164"/>
        <v>0</v>
      </c>
      <c r="Q347" s="3">
        <f t="shared" si="178"/>
        <v>0</v>
      </c>
      <c r="R347" s="3">
        <f t="shared" si="166"/>
        <v>0</v>
      </c>
      <c r="S347" s="3">
        <f t="shared" si="149"/>
        <v>0</v>
      </c>
      <c r="T347" s="3">
        <f t="shared" si="151"/>
        <v>0</v>
      </c>
      <c r="U347" s="3">
        <f t="shared" si="165"/>
        <v>0</v>
      </c>
      <c r="V347" s="3">
        <f t="shared" si="152"/>
        <v>0</v>
      </c>
      <c r="W347" s="3">
        <f t="shared" si="155"/>
        <v>0</v>
      </c>
      <c r="X347" s="3">
        <f t="shared" si="156"/>
        <v>0</v>
      </c>
      <c r="Y347" s="3">
        <f t="shared" si="157"/>
        <v>0</v>
      </c>
      <c r="Z347" s="3">
        <f t="shared" si="168"/>
        <v>0</v>
      </c>
      <c r="AA347" s="3">
        <f t="shared" si="169"/>
        <v>0</v>
      </c>
      <c r="AB347" s="3" t="e">
        <f t="shared" si="170"/>
        <v>#DIV/0!</v>
      </c>
      <c r="AC347" s="3" t="str">
        <f t="shared" si="171"/>
        <v/>
      </c>
      <c r="AD347" s="3">
        <f t="shared" si="158"/>
        <v>0</v>
      </c>
      <c r="AE347" s="3">
        <f t="shared" si="153"/>
        <v>0</v>
      </c>
      <c r="AF347" s="3">
        <f t="shared" si="159"/>
        <v>0</v>
      </c>
      <c r="AG347" s="3" t="e">
        <f>AF347 / SUM(F$2:F347)</f>
        <v>#DIV/0!</v>
      </c>
      <c r="AH347" s="3" t="e">
        <f t="shared" si="160"/>
        <v>#DIV/0!</v>
      </c>
      <c r="AI347" s="3">
        <f t="shared" si="161"/>
        <v>0</v>
      </c>
      <c r="AJ347" s="3" t="e">
        <f t="shared" si="162"/>
        <v>#DIV/0!</v>
      </c>
      <c r="AK347" s="3" t="e">
        <f t="shared" si="177"/>
        <v>#DIV/0!</v>
      </c>
    </row>
    <row r="348" spans="1:37" x14ac:dyDescent="0.3">
      <c r="A348" s="24">
        <v>0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f t="shared" si="150"/>
        <v>0</v>
      </c>
      <c r="H348" s="3">
        <f t="shared" si="167"/>
        <v>0</v>
      </c>
      <c r="I348" s="3">
        <f t="shared" si="172"/>
        <v>0</v>
      </c>
      <c r="J348" s="3">
        <f t="shared" si="173"/>
        <v>0</v>
      </c>
      <c r="K348" s="3">
        <f t="shared" si="174"/>
        <v>0</v>
      </c>
      <c r="L348" s="3">
        <f t="shared" si="175"/>
        <v>0</v>
      </c>
      <c r="M348" s="3" t="e">
        <f t="shared" si="154"/>
        <v>#DIV/0!</v>
      </c>
      <c r="N348" s="3" t="e">
        <f t="shared" si="163"/>
        <v>#DIV/0!</v>
      </c>
      <c r="O348" s="3" t="e">
        <f t="shared" si="176"/>
        <v>#DIV/0!</v>
      </c>
      <c r="P348" s="3">
        <f t="shared" si="164"/>
        <v>0</v>
      </c>
      <c r="Q348" s="3">
        <f t="shared" si="178"/>
        <v>0</v>
      </c>
      <c r="R348" s="3">
        <f t="shared" si="166"/>
        <v>0</v>
      </c>
      <c r="S348" s="3">
        <f t="shared" si="149"/>
        <v>0</v>
      </c>
      <c r="T348" s="3">
        <f t="shared" si="151"/>
        <v>0</v>
      </c>
      <c r="U348" s="3">
        <f t="shared" si="165"/>
        <v>0</v>
      </c>
      <c r="V348" s="3">
        <f t="shared" si="152"/>
        <v>0</v>
      </c>
      <c r="W348" s="3">
        <f t="shared" si="155"/>
        <v>0</v>
      </c>
      <c r="X348" s="3">
        <f t="shared" si="156"/>
        <v>0</v>
      </c>
      <c r="Y348" s="3">
        <f t="shared" si="157"/>
        <v>0</v>
      </c>
      <c r="Z348" s="3">
        <f t="shared" si="168"/>
        <v>0</v>
      </c>
      <c r="AA348" s="3">
        <f t="shared" si="169"/>
        <v>0</v>
      </c>
      <c r="AB348" s="3" t="e">
        <f t="shared" si="170"/>
        <v>#DIV/0!</v>
      </c>
      <c r="AC348" s="3" t="str">
        <f t="shared" si="171"/>
        <v/>
      </c>
      <c r="AD348" s="3">
        <f t="shared" si="158"/>
        <v>0</v>
      </c>
      <c r="AE348" s="3">
        <f t="shared" si="153"/>
        <v>0</v>
      </c>
      <c r="AF348" s="3">
        <f t="shared" si="159"/>
        <v>0</v>
      </c>
      <c r="AG348" s="3" t="e">
        <f>AF348 / SUM(F$2:F348)</f>
        <v>#DIV/0!</v>
      </c>
      <c r="AH348" s="3" t="e">
        <f t="shared" si="160"/>
        <v>#DIV/0!</v>
      </c>
      <c r="AI348" s="3">
        <f t="shared" si="161"/>
        <v>0</v>
      </c>
      <c r="AJ348" s="3" t="e">
        <f t="shared" si="162"/>
        <v>#DIV/0!</v>
      </c>
      <c r="AK348" s="3" t="e">
        <f t="shared" si="177"/>
        <v>#DIV/0!</v>
      </c>
    </row>
    <row r="349" spans="1:37" x14ac:dyDescent="0.3">
      <c r="A349" s="24">
        <v>0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f t="shared" si="150"/>
        <v>0</v>
      </c>
      <c r="H349" s="3">
        <f t="shared" si="167"/>
        <v>0</v>
      </c>
      <c r="I349" s="3">
        <f t="shared" si="172"/>
        <v>0</v>
      </c>
      <c r="J349" s="3">
        <f t="shared" si="173"/>
        <v>0</v>
      </c>
      <c r="K349" s="3">
        <f t="shared" si="174"/>
        <v>0</v>
      </c>
      <c r="L349" s="3">
        <f t="shared" si="175"/>
        <v>0</v>
      </c>
      <c r="M349" s="3" t="e">
        <f t="shared" si="154"/>
        <v>#DIV/0!</v>
      </c>
      <c r="N349" s="3" t="e">
        <f t="shared" si="163"/>
        <v>#DIV/0!</v>
      </c>
      <c r="O349" s="3" t="e">
        <f t="shared" si="176"/>
        <v>#DIV/0!</v>
      </c>
      <c r="P349" s="3">
        <f t="shared" si="164"/>
        <v>0</v>
      </c>
      <c r="Q349" s="3">
        <f t="shared" si="178"/>
        <v>0</v>
      </c>
      <c r="R349" s="3">
        <f t="shared" si="166"/>
        <v>0</v>
      </c>
      <c r="S349" s="3">
        <f t="shared" ref="S349:S412" si="179">E349*(2/(26+1)) + S348*(1-(2/(26+1)))</f>
        <v>0</v>
      </c>
      <c r="T349" s="3">
        <f t="shared" si="151"/>
        <v>0</v>
      </c>
      <c r="U349" s="3">
        <f t="shared" si="165"/>
        <v>0</v>
      </c>
      <c r="V349" s="3">
        <f t="shared" si="152"/>
        <v>0</v>
      </c>
      <c r="W349" s="3">
        <f t="shared" si="155"/>
        <v>0</v>
      </c>
      <c r="X349" s="3">
        <f t="shared" si="156"/>
        <v>0</v>
      </c>
      <c r="Y349" s="3">
        <f t="shared" si="157"/>
        <v>0</v>
      </c>
      <c r="Z349" s="3">
        <f t="shared" si="168"/>
        <v>0</v>
      </c>
      <c r="AA349" s="3">
        <f t="shared" si="169"/>
        <v>0</v>
      </c>
      <c r="AB349" s="3" t="e">
        <f t="shared" si="170"/>
        <v>#DIV/0!</v>
      </c>
      <c r="AC349" s="3" t="str">
        <f t="shared" si="171"/>
        <v/>
      </c>
      <c r="AD349" s="3">
        <f t="shared" si="158"/>
        <v>0</v>
      </c>
      <c r="AE349" s="3">
        <f t="shared" si="153"/>
        <v>0</v>
      </c>
      <c r="AF349" s="3">
        <f t="shared" si="159"/>
        <v>0</v>
      </c>
      <c r="AG349" s="3" t="e">
        <f>AF349 / SUM(F$2:F349)</f>
        <v>#DIV/0!</v>
      </c>
      <c r="AH349" s="3" t="e">
        <f t="shared" si="160"/>
        <v>#DIV/0!</v>
      </c>
      <c r="AI349" s="3">
        <f t="shared" si="161"/>
        <v>0</v>
      </c>
      <c r="AJ349" s="3" t="e">
        <f t="shared" si="162"/>
        <v>#DIV/0!</v>
      </c>
      <c r="AK349" s="3" t="e">
        <f t="shared" si="177"/>
        <v>#DIV/0!</v>
      </c>
    </row>
    <row r="350" spans="1:37" x14ac:dyDescent="0.3">
      <c r="A350" s="24">
        <v>0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f t="shared" si="150"/>
        <v>0</v>
      </c>
      <c r="H350" s="3">
        <f t="shared" si="167"/>
        <v>0</v>
      </c>
      <c r="I350" s="3">
        <f t="shared" si="172"/>
        <v>0</v>
      </c>
      <c r="J350" s="3">
        <f t="shared" si="173"/>
        <v>0</v>
      </c>
      <c r="K350" s="3">
        <f t="shared" si="174"/>
        <v>0</v>
      </c>
      <c r="L350" s="3">
        <f t="shared" si="175"/>
        <v>0</v>
      </c>
      <c r="M350" s="3" t="e">
        <f t="shared" si="154"/>
        <v>#DIV/0!</v>
      </c>
      <c r="N350" s="3" t="e">
        <f t="shared" si="163"/>
        <v>#DIV/0!</v>
      </c>
      <c r="O350" s="3" t="e">
        <f t="shared" si="176"/>
        <v>#DIV/0!</v>
      </c>
      <c r="P350" s="3">
        <f t="shared" si="164"/>
        <v>0</v>
      </c>
      <c r="Q350" s="3">
        <f t="shared" si="178"/>
        <v>0</v>
      </c>
      <c r="R350" s="3">
        <f t="shared" si="166"/>
        <v>0</v>
      </c>
      <c r="S350" s="3">
        <f t="shared" si="179"/>
        <v>0</v>
      </c>
      <c r="T350" s="3">
        <f t="shared" si="151"/>
        <v>0</v>
      </c>
      <c r="U350" s="3">
        <f t="shared" si="165"/>
        <v>0</v>
      </c>
      <c r="V350" s="3">
        <f t="shared" si="152"/>
        <v>0</v>
      </c>
      <c r="W350" s="3">
        <f t="shared" si="155"/>
        <v>0</v>
      </c>
      <c r="X350" s="3">
        <f t="shared" si="156"/>
        <v>0</v>
      </c>
      <c r="Y350" s="3">
        <f t="shared" si="157"/>
        <v>0</v>
      </c>
      <c r="Z350" s="3">
        <f t="shared" si="168"/>
        <v>0</v>
      </c>
      <c r="AA350" s="3">
        <f t="shared" si="169"/>
        <v>0</v>
      </c>
      <c r="AB350" s="3" t="e">
        <f t="shared" si="170"/>
        <v>#DIV/0!</v>
      </c>
      <c r="AC350" s="3" t="str">
        <f t="shared" si="171"/>
        <v/>
      </c>
      <c r="AD350" s="3">
        <f t="shared" si="158"/>
        <v>0</v>
      </c>
      <c r="AE350" s="3">
        <f t="shared" si="153"/>
        <v>0</v>
      </c>
      <c r="AF350" s="3">
        <f t="shared" si="159"/>
        <v>0</v>
      </c>
      <c r="AG350" s="3" t="e">
        <f>AF350 / SUM(F$2:F350)</f>
        <v>#DIV/0!</v>
      </c>
      <c r="AH350" s="3" t="e">
        <f t="shared" si="160"/>
        <v>#DIV/0!</v>
      </c>
      <c r="AI350" s="3">
        <f t="shared" si="161"/>
        <v>0</v>
      </c>
      <c r="AJ350" s="3" t="e">
        <f t="shared" si="162"/>
        <v>#DIV/0!</v>
      </c>
      <c r="AK350" s="3" t="e">
        <f t="shared" si="177"/>
        <v>#DIV/0!</v>
      </c>
    </row>
    <row r="351" spans="1:37" x14ac:dyDescent="0.3">
      <c r="A351" s="24">
        <v>0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f t="shared" si="150"/>
        <v>0</v>
      </c>
      <c r="H351" s="3">
        <f t="shared" si="167"/>
        <v>0</v>
      </c>
      <c r="I351" s="3">
        <f t="shared" si="172"/>
        <v>0</v>
      </c>
      <c r="J351" s="3">
        <f t="shared" si="173"/>
        <v>0</v>
      </c>
      <c r="K351" s="3">
        <f t="shared" si="174"/>
        <v>0</v>
      </c>
      <c r="L351" s="3">
        <f t="shared" si="175"/>
        <v>0</v>
      </c>
      <c r="M351" s="3" t="e">
        <f t="shared" si="154"/>
        <v>#DIV/0!</v>
      </c>
      <c r="N351" s="3" t="e">
        <f t="shared" si="163"/>
        <v>#DIV/0!</v>
      </c>
      <c r="O351" s="3" t="e">
        <f t="shared" si="176"/>
        <v>#DIV/0!</v>
      </c>
      <c r="P351" s="3">
        <f t="shared" si="164"/>
        <v>0</v>
      </c>
      <c r="Q351" s="3">
        <f t="shared" si="178"/>
        <v>0</v>
      </c>
      <c r="R351" s="3">
        <f t="shared" si="166"/>
        <v>0</v>
      </c>
      <c r="S351" s="3">
        <f t="shared" si="179"/>
        <v>0</v>
      </c>
      <c r="T351" s="3">
        <f t="shared" si="151"/>
        <v>0</v>
      </c>
      <c r="U351" s="3">
        <f t="shared" si="165"/>
        <v>0</v>
      </c>
      <c r="V351" s="3">
        <f t="shared" si="152"/>
        <v>0</v>
      </c>
      <c r="W351" s="3">
        <f t="shared" si="155"/>
        <v>0</v>
      </c>
      <c r="X351" s="3">
        <f t="shared" si="156"/>
        <v>0</v>
      </c>
      <c r="Y351" s="3">
        <f t="shared" si="157"/>
        <v>0</v>
      </c>
      <c r="Z351" s="3">
        <f t="shared" si="168"/>
        <v>0</v>
      </c>
      <c r="AA351" s="3">
        <f t="shared" si="169"/>
        <v>0</v>
      </c>
      <c r="AB351" s="3" t="e">
        <f t="shared" si="170"/>
        <v>#DIV/0!</v>
      </c>
      <c r="AC351" s="3" t="str">
        <f t="shared" si="171"/>
        <v/>
      </c>
      <c r="AD351" s="3">
        <f t="shared" si="158"/>
        <v>0</v>
      </c>
      <c r="AE351" s="3">
        <f t="shared" si="153"/>
        <v>0</v>
      </c>
      <c r="AF351" s="3">
        <f t="shared" si="159"/>
        <v>0</v>
      </c>
      <c r="AG351" s="3" t="e">
        <f>AF351 / SUM(F$2:F351)</f>
        <v>#DIV/0!</v>
      </c>
      <c r="AH351" s="3" t="e">
        <f t="shared" si="160"/>
        <v>#DIV/0!</v>
      </c>
      <c r="AI351" s="3">
        <f t="shared" si="161"/>
        <v>0</v>
      </c>
      <c r="AJ351" s="3" t="e">
        <f t="shared" si="162"/>
        <v>#DIV/0!</v>
      </c>
      <c r="AK351" s="3" t="e">
        <f t="shared" si="177"/>
        <v>#DIV/0!</v>
      </c>
    </row>
    <row r="352" spans="1:37" x14ac:dyDescent="0.3">
      <c r="A352" s="24">
        <v>0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f t="shared" si="150"/>
        <v>0</v>
      </c>
      <c r="H352" s="3">
        <f t="shared" si="167"/>
        <v>0</v>
      </c>
      <c r="I352" s="3">
        <f t="shared" si="172"/>
        <v>0</v>
      </c>
      <c r="J352" s="3">
        <f t="shared" si="173"/>
        <v>0</v>
      </c>
      <c r="K352" s="3">
        <f t="shared" si="174"/>
        <v>0</v>
      </c>
      <c r="L352" s="3">
        <f t="shared" si="175"/>
        <v>0</v>
      </c>
      <c r="M352" s="3" t="e">
        <f t="shared" si="154"/>
        <v>#DIV/0!</v>
      </c>
      <c r="N352" s="3" t="e">
        <f t="shared" si="163"/>
        <v>#DIV/0!</v>
      </c>
      <c r="O352" s="3" t="e">
        <f t="shared" si="176"/>
        <v>#DIV/0!</v>
      </c>
      <c r="P352" s="3">
        <f t="shared" si="164"/>
        <v>0</v>
      </c>
      <c r="Q352" s="3">
        <f t="shared" si="178"/>
        <v>0</v>
      </c>
      <c r="R352" s="3">
        <f t="shared" si="166"/>
        <v>0</v>
      </c>
      <c r="S352" s="3">
        <f t="shared" si="179"/>
        <v>0</v>
      </c>
      <c r="T352" s="3">
        <f t="shared" si="151"/>
        <v>0</v>
      </c>
      <c r="U352" s="3">
        <f t="shared" si="165"/>
        <v>0</v>
      </c>
      <c r="V352" s="3">
        <f t="shared" si="152"/>
        <v>0</v>
      </c>
      <c r="W352" s="3">
        <f t="shared" si="155"/>
        <v>0</v>
      </c>
      <c r="X352" s="3">
        <f t="shared" si="156"/>
        <v>0</v>
      </c>
      <c r="Y352" s="3">
        <f t="shared" si="157"/>
        <v>0</v>
      </c>
      <c r="Z352" s="3">
        <f t="shared" si="168"/>
        <v>0</v>
      </c>
      <c r="AA352" s="3">
        <f t="shared" si="169"/>
        <v>0</v>
      </c>
      <c r="AB352" s="3" t="e">
        <f t="shared" si="170"/>
        <v>#DIV/0!</v>
      </c>
      <c r="AC352" s="3" t="str">
        <f t="shared" si="171"/>
        <v/>
      </c>
      <c r="AD352" s="3">
        <f t="shared" si="158"/>
        <v>0</v>
      </c>
      <c r="AE352" s="3">
        <f t="shared" si="153"/>
        <v>0</v>
      </c>
      <c r="AF352" s="3">
        <f t="shared" si="159"/>
        <v>0</v>
      </c>
      <c r="AG352" s="3" t="e">
        <f>AF352 / SUM(F$2:F352)</f>
        <v>#DIV/0!</v>
      </c>
      <c r="AH352" s="3" t="e">
        <f t="shared" si="160"/>
        <v>#DIV/0!</v>
      </c>
      <c r="AI352" s="3">
        <f t="shared" si="161"/>
        <v>0</v>
      </c>
      <c r="AJ352" s="3" t="e">
        <f t="shared" si="162"/>
        <v>#DIV/0!</v>
      </c>
      <c r="AK352" s="3" t="e">
        <f t="shared" si="177"/>
        <v>#DIV/0!</v>
      </c>
    </row>
    <row r="353" spans="1:37" x14ac:dyDescent="0.3">
      <c r="A353" s="24">
        <v>0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f t="shared" si="150"/>
        <v>0</v>
      </c>
      <c r="H353" s="3">
        <f t="shared" si="167"/>
        <v>0</v>
      </c>
      <c r="I353" s="3">
        <f t="shared" si="172"/>
        <v>0</v>
      </c>
      <c r="J353" s="3">
        <f t="shared" si="173"/>
        <v>0</v>
      </c>
      <c r="K353" s="3">
        <f t="shared" si="174"/>
        <v>0</v>
      </c>
      <c r="L353" s="3">
        <f t="shared" si="175"/>
        <v>0</v>
      </c>
      <c r="M353" s="3" t="e">
        <f t="shared" si="154"/>
        <v>#DIV/0!</v>
      </c>
      <c r="N353" s="3" t="e">
        <f t="shared" si="163"/>
        <v>#DIV/0!</v>
      </c>
      <c r="O353" s="3" t="e">
        <f t="shared" si="176"/>
        <v>#DIV/0!</v>
      </c>
      <c r="P353" s="3">
        <f t="shared" si="164"/>
        <v>0</v>
      </c>
      <c r="Q353" s="3">
        <f t="shared" si="178"/>
        <v>0</v>
      </c>
      <c r="R353" s="3">
        <f t="shared" si="166"/>
        <v>0</v>
      </c>
      <c r="S353" s="3">
        <f t="shared" si="179"/>
        <v>0</v>
      </c>
      <c r="T353" s="3">
        <f t="shared" si="151"/>
        <v>0</v>
      </c>
      <c r="U353" s="3">
        <f t="shared" si="165"/>
        <v>0</v>
      </c>
      <c r="V353" s="3">
        <f t="shared" si="152"/>
        <v>0</v>
      </c>
      <c r="W353" s="3">
        <f t="shared" si="155"/>
        <v>0</v>
      </c>
      <c r="X353" s="3">
        <f t="shared" si="156"/>
        <v>0</v>
      </c>
      <c r="Y353" s="3">
        <f t="shared" si="157"/>
        <v>0</v>
      </c>
      <c r="Z353" s="3">
        <f t="shared" si="168"/>
        <v>0</v>
      </c>
      <c r="AA353" s="3">
        <f t="shared" si="169"/>
        <v>0</v>
      </c>
      <c r="AB353" s="3" t="e">
        <f t="shared" si="170"/>
        <v>#DIV/0!</v>
      </c>
      <c r="AC353" s="3" t="str">
        <f t="shared" si="171"/>
        <v/>
      </c>
      <c r="AD353" s="3">
        <f t="shared" si="158"/>
        <v>0</v>
      </c>
      <c r="AE353" s="3">
        <f t="shared" si="153"/>
        <v>0</v>
      </c>
      <c r="AF353" s="3">
        <f t="shared" si="159"/>
        <v>0</v>
      </c>
      <c r="AG353" s="3" t="e">
        <f>AF353 / SUM(F$2:F353)</f>
        <v>#DIV/0!</v>
      </c>
      <c r="AH353" s="3" t="e">
        <f t="shared" si="160"/>
        <v>#DIV/0!</v>
      </c>
      <c r="AI353" s="3">
        <f t="shared" si="161"/>
        <v>0</v>
      </c>
      <c r="AJ353" s="3" t="e">
        <f t="shared" si="162"/>
        <v>#DIV/0!</v>
      </c>
      <c r="AK353" s="3" t="e">
        <f t="shared" si="177"/>
        <v>#DIV/0!</v>
      </c>
    </row>
    <row r="354" spans="1:37" x14ac:dyDescent="0.3">
      <c r="A354" s="24">
        <v>0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f t="shared" si="150"/>
        <v>0</v>
      </c>
      <c r="H354" s="3">
        <f t="shared" si="167"/>
        <v>0</v>
      </c>
      <c r="I354" s="3">
        <f t="shared" si="172"/>
        <v>0</v>
      </c>
      <c r="J354" s="3">
        <f t="shared" si="173"/>
        <v>0</v>
      </c>
      <c r="K354" s="3">
        <f t="shared" si="174"/>
        <v>0</v>
      </c>
      <c r="L354" s="3">
        <f t="shared" si="175"/>
        <v>0</v>
      </c>
      <c r="M354" s="3" t="e">
        <f t="shared" si="154"/>
        <v>#DIV/0!</v>
      </c>
      <c r="N354" s="3" t="e">
        <f t="shared" si="163"/>
        <v>#DIV/0!</v>
      </c>
      <c r="O354" s="3" t="e">
        <f t="shared" si="176"/>
        <v>#DIV/0!</v>
      </c>
      <c r="P354" s="3">
        <f t="shared" si="164"/>
        <v>0</v>
      </c>
      <c r="Q354" s="3">
        <f t="shared" si="178"/>
        <v>0</v>
      </c>
      <c r="R354" s="3">
        <f t="shared" si="166"/>
        <v>0</v>
      </c>
      <c r="S354" s="3">
        <f t="shared" si="179"/>
        <v>0</v>
      </c>
      <c r="T354" s="3">
        <f t="shared" si="151"/>
        <v>0</v>
      </c>
      <c r="U354" s="3">
        <f t="shared" si="165"/>
        <v>0</v>
      </c>
      <c r="V354" s="3">
        <f t="shared" si="152"/>
        <v>0</v>
      </c>
      <c r="W354" s="3">
        <f t="shared" si="155"/>
        <v>0</v>
      </c>
      <c r="X354" s="3">
        <f t="shared" si="156"/>
        <v>0</v>
      </c>
      <c r="Y354" s="3">
        <f t="shared" si="157"/>
        <v>0</v>
      </c>
      <c r="Z354" s="3">
        <f t="shared" si="168"/>
        <v>0</v>
      </c>
      <c r="AA354" s="3">
        <f t="shared" si="169"/>
        <v>0</v>
      </c>
      <c r="AB354" s="3" t="e">
        <f t="shared" si="170"/>
        <v>#DIV/0!</v>
      </c>
      <c r="AC354" s="3" t="str">
        <f t="shared" si="171"/>
        <v/>
      </c>
      <c r="AD354" s="3">
        <f t="shared" si="158"/>
        <v>0</v>
      </c>
      <c r="AE354" s="3">
        <f t="shared" si="153"/>
        <v>0</v>
      </c>
      <c r="AF354" s="3">
        <f t="shared" si="159"/>
        <v>0</v>
      </c>
      <c r="AG354" s="3" t="e">
        <f>AF354 / SUM(F$2:F354)</f>
        <v>#DIV/0!</v>
      </c>
      <c r="AH354" s="3" t="e">
        <f t="shared" si="160"/>
        <v>#DIV/0!</v>
      </c>
      <c r="AI354" s="3">
        <f t="shared" si="161"/>
        <v>0</v>
      </c>
      <c r="AJ354" s="3" t="e">
        <f t="shared" si="162"/>
        <v>#DIV/0!</v>
      </c>
      <c r="AK354" s="3" t="e">
        <f t="shared" si="177"/>
        <v>#DIV/0!</v>
      </c>
    </row>
    <row r="355" spans="1:37" x14ac:dyDescent="0.3">
      <c r="A355" s="24">
        <v>0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f t="shared" si="150"/>
        <v>0</v>
      </c>
      <c r="H355" s="3">
        <f t="shared" si="167"/>
        <v>0</v>
      </c>
      <c r="I355" s="3">
        <f t="shared" si="172"/>
        <v>0</v>
      </c>
      <c r="J355" s="3">
        <f t="shared" si="173"/>
        <v>0</v>
      </c>
      <c r="K355" s="3">
        <f t="shared" si="174"/>
        <v>0</v>
      </c>
      <c r="L355" s="3">
        <f t="shared" si="175"/>
        <v>0</v>
      </c>
      <c r="M355" s="3" t="e">
        <f t="shared" si="154"/>
        <v>#DIV/0!</v>
      </c>
      <c r="N355" s="3" t="e">
        <f t="shared" si="163"/>
        <v>#DIV/0!</v>
      </c>
      <c r="O355" s="3" t="e">
        <f t="shared" si="176"/>
        <v>#DIV/0!</v>
      </c>
      <c r="P355" s="3">
        <f t="shared" si="164"/>
        <v>0</v>
      </c>
      <c r="Q355" s="3">
        <f t="shared" si="178"/>
        <v>0</v>
      </c>
      <c r="R355" s="3">
        <f t="shared" si="166"/>
        <v>0</v>
      </c>
      <c r="S355" s="3">
        <f t="shared" si="179"/>
        <v>0</v>
      </c>
      <c r="T355" s="3">
        <f t="shared" si="151"/>
        <v>0</v>
      </c>
      <c r="U355" s="3">
        <f t="shared" si="165"/>
        <v>0</v>
      </c>
      <c r="V355" s="3">
        <f t="shared" si="152"/>
        <v>0</v>
      </c>
      <c r="W355" s="3">
        <f t="shared" si="155"/>
        <v>0</v>
      </c>
      <c r="X355" s="3">
        <f t="shared" si="156"/>
        <v>0</v>
      </c>
      <c r="Y355" s="3">
        <f t="shared" si="157"/>
        <v>0</v>
      </c>
      <c r="Z355" s="3">
        <f t="shared" si="168"/>
        <v>0</v>
      </c>
      <c r="AA355" s="3">
        <f t="shared" si="169"/>
        <v>0</v>
      </c>
      <c r="AB355" s="3" t="e">
        <f t="shared" si="170"/>
        <v>#DIV/0!</v>
      </c>
      <c r="AC355" s="3" t="str">
        <f t="shared" si="171"/>
        <v/>
      </c>
      <c r="AD355" s="3">
        <f t="shared" si="158"/>
        <v>0</v>
      </c>
      <c r="AE355" s="3">
        <f t="shared" si="153"/>
        <v>0</v>
      </c>
      <c r="AF355" s="3">
        <f t="shared" si="159"/>
        <v>0</v>
      </c>
      <c r="AG355" s="3" t="e">
        <f>AF355 / SUM(F$2:F355)</f>
        <v>#DIV/0!</v>
      </c>
      <c r="AH355" s="3" t="e">
        <f t="shared" si="160"/>
        <v>#DIV/0!</v>
      </c>
      <c r="AI355" s="3">
        <f t="shared" si="161"/>
        <v>0</v>
      </c>
      <c r="AJ355" s="3" t="e">
        <f t="shared" si="162"/>
        <v>#DIV/0!</v>
      </c>
      <c r="AK355" s="3" t="e">
        <f t="shared" si="177"/>
        <v>#DIV/0!</v>
      </c>
    </row>
    <row r="356" spans="1:37" x14ac:dyDescent="0.3">
      <c r="A356" s="24">
        <v>0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f t="shared" si="150"/>
        <v>0</v>
      </c>
      <c r="H356" s="3">
        <f t="shared" si="167"/>
        <v>0</v>
      </c>
      <c r="I356" s="3">
        <f t="shared" si="172"/>
        <v>0</v>
      </c>
      <c r="J356" s="3">
        <f t="shared" si="173"/>
        <v>0</v>
      </c>
      <c r="K356" s="3">
        <f t="shared" si="174"/>
        <v>0</v>
      </c>
      <c r="L356" s="3">
        <f t="shared" si="175"/>
        <v>0</v>
      </c>
      <c r="M356" s="3" t="e">
        <f t="shared" si="154"/>
        <v>#DIV/0!</v>
      </c>
      <c r="N356" s="3" t="e">
        <f t="shared" si="163"/>
        <v>#DIV/0!</v>
      </c>
      <c r="O356" s="3" t="e">
        <f t="shared" si="176"/>
        <v>#DIV/0!</v>
      </c>
      <c r="P356" s="3">
        <f t="shared" si="164"/>
        <v>0</v>
      </c>
      <c r="Q356" s="3">
        <f t="shared" si="178"/>
        <v>0</v>
      </c>
      <c r="R356" s="3">
        <f t="shared" si="166"/>
        <v>0</v>
      </c>
      <c r="S356" s="3">
        <f t="shared" si="179"/>
        <v>0</v>
      </c>
      <c r="T356" s="3">
        <f t="shared" si="151"/>
        <v>0</v>
      </c>
      <c r="U356" s="3">
        <f t="shared" si="165"/>
        <v>0</v>
      </c>
      <c r="V356" s="3">
        <f t="shared" si="152"/>
        <v>0</v>
      </c>
      <c r="W356" s="3">
        <f t="shared" si="155"/>
        <v>0</v>
      </c>
      <c r="X356" s="3">
        <f t="shared" si="156"/>
        <v>0</v>
      </c>
      <c r="Y356" s="3">
        <f t="shared" si="157"/>
        <v>0</v>
      </c>
      <c r="Z356" s="3">
        <f t="shared" si="168"/>
        <v>0</v>
      </c>
      <c r="AA356" s="3">
        <f t="shared" si="169"/>
        <v>0</v>
      </c>
      <c r="AB356" s="3" t="e">
        <f t="shared" si="170"/>
        <v>#DIV/0!</v>
      </c>
      <c r="AC356" s="3" t="str">
        <f t="shared" si="171"/>
        <v/>
      </c>
      <c r="AD356" s="3">
        <f t="shared" si="158"/>
        <v>0</v>
      </c>
      <c r="AE356" s="3">
        <f t="shared" si="153"/>
        <v>0</v>
      </c>
      <c r="AF356" s="3">
        <f t="shared" si="159"/>
        <v>0</v>
      </c>
      <c r="AG356" s="3" t="e">
        <f>AF356 / SUM(F$2:F356)</f>
        <v>#DIV/0!</v>
      </c>
      <c r="AH356" s="3" t="e">
        <f t="shared" si="160"/>
        <v>#DIV/0!</v>
      </c>
      <c r="AI356" s="3">
        <f t="shared" si="161"/>
        <v>0</v>
      </c>
      <c r="AJ356" s="3" t="e">
        <f t="shared" si="162"/>
        <v>#DIV/0!</v>
      </c>
      <c r="AK356" s="3" t="e">
        <f t="shared" si="177"/>
        <v>#DIV/0!</v>
      </c>
    </row>
    <row r="357" spans="1:37" x14ac:dyDescent="0.3">
      <c r="A357" s="24">
        <v>0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f t="shared" si="150"/>
        <v>0</v>
      </c>
      <c r="H357" s="3">
        <f t="shared" si="167"/>
        <v>0</v>
      </c>
      <c r="I357" s="3">
        <f t="shared" si="172"/>
        <v>0</v>
      </c>
      <c r="J357" s="3">
        <f t="shared" si="173"/>
        <v>0</v>
      </c>
      <c r="K357" s="3">
        <f t="shared" si="174"/>
        <v>0</v>
      </c>
      <c r="L357" s="3">
        <f t="shared" si="175"/>
        <v>0</v>
      </c>
      <c r="M357" s="3" t="e">
        <f t="shared" si="154"/>
        <v>#DIV/0!</v>
      </c>
      <c r="N357" s="3" t="e">
        <f t="shared" si="163"/>
        <v>#DIV/0!</v>
      </c>
      <c r="O357" s="3" t="e">
        <f t="shared" si="176"/>
        <v>#DIV/0!</v>
      </c>
      <c r="P357" s="3">
        <f t="shared" si="164"/>
        <v>0</v>
      </c>
      <c r="Q357" s="3">
        <f t="shared" si="178"/>
        <v>0</v>
      </c>
      <c r="R357" s="3">
        <f t="shared" si="166"/>
        <v>0</v>
      </c>
      <c r="S357" s="3">
        <f t="shared" si="179"/>
        <v>0</v>
      </c>
      <c r="T357" s="3">
        <f t="shared" si="151"/>
        <v>0</v>
      </c>
      <c r="U357" s="3">
        <f t="shared" si="165"/>
        <v>0</v>
      </c>
      <c r="V357" s="3">
        <f t="shared" si="152"/>
        <v>0</v>
      </c>
      <c r="W357" s="3">
        <f t="shared" si="155"/>
        <v>0</v>
      </c>
      <c r="X357" s="3">
        <f t="shared" si="156"/>
        <v>0</v>
      </c>
      <c r="Y357" s="3">
        <f t="shared" si="157"/>
        <v>0</v>
      </c>
      <c r="Z357" s="3">
        <f t="shared" si="168"/>
        <v>0</v>
      </c>
      <c r="AA357" s="3">
        <f t="shared" si="169"/>
        <v>0</v>
      </c>
      <c r="AB357" s="3" t="e">
        <f t="shared" si="170"/>
        <v>#DIV/0!</v>
      </c>
      <c r="AC357" s="3" t="str">
        <f t="shared" si="171"/>
        <v/>
      </c>
      <c r="AD357" s="3">
        <f t="shared" si="158"/>
        <v>0</v>
      </c>
      <c r="AE357" s="3">
        <f t="shared" si="153"/>
        <v>0</v>
      </c>
      <c r="AF357" s="3">
        <f t="shared" si="159"/>
        <v>0</v>
      </c>
      <c r="AG357" s="3" t="e">
        <f>AF357 / SUM(F$2:F357)</f>
        <v>#DIV/0!</v>
      </c>
      <c r="AH357" s="3" t="e">
        <f t="shared" si="160"/>
        <v>#DIV/0!</v>
      </c>
      <c r="AI357" s="3">
        <f t="shared" si="161"/>
        <v>0</v>
      </c>
      <c r="AJ357" s="3" t="e">
        <f t="shared" si="162"/>
        <v>#DIV/0!</v>
      </c>
      <c r="AK357" s="3" t="e">
        <f t="shared" si="177"/>
        <v>#DIV/0!</v>
      </c>
    </row>
    <row r="358" spans="1:37" x14ac:dyDescent="0.3">
      <c r="A358" s="24">
        <v>0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f t="shared" si="150"/>
        <v>0</v>
      </c>
      <c r="H358" s="3">
        <f t="shared" si="167"/>
        <v>0</v>
      </c>
      <c r="I358" s="3">
        <f t="shared" si="172"/>
        <v>0</v>
      </c>
      <c r="J358" s="3">
        <f t="shared" si="173"/>
        <v>0</v>
      </c>
      <c r="K358" s="3">
        <f t="shared" si="174"/>
        <v>0</v>
      </c>
      <c r="L358" s="3">
        <f t="shared" si="175"/>
        <v>0</v>
      </c>
      <c r="M358" s="3" t="e">
        <f t="shared" si="154"/>
        <v>#DIV/0!</v>
      </c>
      <c r="N358" s="3" t="e">
        <f t="shared" si="163"/>
        <v>#DIV/0!</v>
      </c>
      <c r="O358" s="3" t="e">
        <f t="shared" si="176"/>
        <v>#DIV/0!</v>
      </c>
      <c r="P358" s="3">
        <f t="shared" si="164"/>
        <v>0</v>
      </c>
      <c r="Q358" s="3">
        <f t="shared" si="178"/>
        <v>0</v>
      </c>
      <c r="R358" s="3">
        <f t="shared" si="166"/>
        <v>0</v>
      </c>
      <c r="S358" s="3">
        <f t="shared" si="179"/>
        <v>0</v>
      </c>
      <c r="T358" s="3">
        <f t="shared" si="151"/>
        <v>0</v>
      </c>
      <c r="U358" s="3">
        <f t="shared" si="165"/>
        <v>0</v>
      </c>
      <c r="V358" s="3">
        <f t="shared" si="152"/>
        <v>0</v>
      </c>
      <c r="W358" s="3">
        <f t="shared" si="155"/>
        <v>0</v>
      </c>
      <c r="X358" s="3">
        <f t="shared" si="156"/>
        <v>0</v>
      </c>
      <c r="Y358" s="3">
        <f t="shared" si="157"/>
        <v>0</v>
      </c>
      <c r="Z358" s="3">
        <f t="shared" si="168"/>
        <v>0</v>
      </c>
      <c r="AA358" s="3">
        <f t="shared" si="169"/>
        <v>0</v>
      </c>
      <c r="AB358" s="3" t="e">
        <f t="shared" si="170"/>
        <v>#DIV/0!</v>
      </c>
      <c r="AC358" s="3" t="str">
        <f t="shared" si="171"/>
        <v/>
      </c>
      <c r="AD358" s="3">
        <f t="shared" si="158"/>
        <v>0</v>
      </c>
      <c r="AE358" s="3">
        <f t="shared" si="153"/>
        <v>0</v>
      </c>
      <c r="AF358" s="3">
        <f t="shared" si="159"/>
        <v>0</v>
      </c>
      <c r="AG358" s="3" t="e">
        <f>AF358 / SUM(F$2:F358)</f>
        <v>#DIV/0!</v>
      </c>
      <c r="AH358" s="3" t="e">
        <f t="shared" si="160"/>
        <v>#DIV/0!</v>
      </c>
      <c r="AI358" s="3">
        <f t="shared" si="161"/>
        <v>0</v>
      </c>
      <c r="AJ358" s="3" t="e">
        <f t="shared" si="162"/>
        <v>#DIV/0!</v>
      </c>
      <c r="AK358" s="3" t="e">
        <f t="shared" si="177"/>
        <v>#DIV/0!</v>
      </c>
    </row>
    <row r="359" spans="1:37" x14ac:dyDescent="0.3">
      <c r="A359" s="24">
        <v>0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f t="shared" si="150"/>
        <v>0</v>
      </c>
      <c r="H359" s="3">
        <f t="shared" si="167"/>
        <v>0</v>
      </c>
      <c r="I359" s="3">
        <f t="shared" si="172"/>
        <v>0</v>
      </c>
      <c r="J359" s="3">
        <f t="shared" si="173"/>
        <v>0</v>
      </c>
      <c r="K359" s="3">
        <f t="shared" si="174"/>
        <v>0</v>
      </c>
      <c r="L359" s="3">
        <f t="shared" si="175"/>
        <v>0</v>
      </c>
      <c r="M359" s="3" t="e">
        <f t="shared" si="154"/>
        <v>#DIV/0!</v>
      </c>
      <c r="N359" s="3" t="e">
        <f t="shared" si="163"/>
        <v>#DIV/0!</v>
      </c>
      <c r="O359" s="3" t="e">
        <f t="shared" si="176"/>
        <v>#DIV/0!</v>
      </c>
      <c r="P359" s="3">
        <f t="shared" si="164"/>
        <v>0</v>
      </c>
      <c r="Q359" s="3">
        <f t="shared" si="178"/>
        <v>0</v>
      </c>
      <c r="R359" s="3">
        <f t="shared" si="166"/>
        <v>0</v>
      </c>
      <c r="S359" s="3">
        <f t="shared" si="179"/>
        <v>0</v>
      </c>
      <c r="T359" s="3">
        <f t="shared" si="151"/>
        <v>0</v>
      </c>
      <c r="U359" s="3">
        <f t="shared" si="165"/>
        <v>0</v>
      </c>
      <c r="V359" s="3">
        <f t="shared" si="152"/>
        <v>0</v>
      </c>
      <c r="W359" s="3">
        <f t="shared" si="155"/>
        <v>0</v>
      </c>
      <c r="X359" s="3">
        <f t="shared" si="156"/>
        <v>0</v>
      </c>
      <c r="Y359" s="3">
        <f t="shared" si="157"/>
        <v>0</v>
      </c>
      <c r="Z359" s="3">
        <f t="shared" si="168"/>
        <v>0</v>
      </c>
      <c r="AA359" s="3">
        <f t="shared" si="169"/>
        <v>0</v>
      </c>
      <c r="AB359" s="3" t="e">
        <f t="shared" si="170"/>
        <v>#DIV/0!</v>
      </c>
      <c r="AC359" s="3" t="str">
        <f t="shared" si="171"/>
        <v/>
      </c>
      <c r="AD359" s="3">
        <f t="shared" si="158"/>
        <v>0</v>
      </c>
      <c r="AE359" s="3">
        <f t="shared" si="153"/>
        <v>0</v>
      </c>
      <c r="AF359" s="3">
        <f t="shared" si="159"/>
        <v>0</v>
      </c>
      <c r="AG359" s="3" t="e">
        <f>AF359 / SUM(F$2:F359)</f>
        <v>#DIV/0!</v>
      </c>
      <c r="AH359" s="3" t="e">
        <f t="shared" si="160"/>
        <v>#DIV/0!</v>
      </c>
      <c r="AI359" s="3">
        <f t="shared" si="161"/>
        <v>0</v>
      </c>
      <c r="AJ359" s="3" t="e">
        <f t="shared" si="162"/>
        <v>#DIV/0!</v>
      </c>
      <c r="AK359" s="3" t="e">
        <f t="shared" si="177"/>
        <v>#DIV/0!</v>
      </c>
    </row>
    <row r="360" spans="1:37" x14ac:dyDescent="0.3">
      <c r="A360" s="24">
        <v>0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f t="shared" si="150"/>
        <v>0</v>
      </c>
      <c r="H360" s="3">
        <f t="shared" si="167"/>
        <v>0</v>
      </c>
      <c r="I360" s="3">
        <f t="shared" si="172"/>
        <v>0</v>
      </c>
      <c r="J360" s="3">
        <f t="shared" si="173"/>
        <v>0</v>
      </c>
      <c r="K360" s="3">
        <f t="shared" si="174"/>
        <v>0</v>
      </c>
      <c r="L360" s="3">
        <f t="shared" si="175"/>
        <v>0</v>
      </c>
      <c r="M360" s="3" t="e">
        <f t="shared" si="154"/>
        <v>#DIV/0!</v>
      </c>
      <c r="N360" s="3" t="e">
        <f t="shared" si="163"/>
        <v>#DIV/0!</v>
      </c>
      <c r="O360" s="3" t="e">
        <f t="shared" si="176"/>
        <v>#DIV/0!</v>
      </c>
      <c r="P360" s="3">
        <f t="shared" si="164"/>
        <v>0</v>
      </c>
      <c r="Q360" s="3">
        <f t="shared" si="178"/>
        <v>0</v>
      </c>
      <c r="R360" s="3">
        <f t="shared" si="166"/>
        <v>0</v>
      </c>
      <c r="S360" s="3">
        <f t="shared" si="179"/>
        <v>0</v>
      </c>
      <c r="T360" s="3">
        <f t="shared" si="151"/>
        <v>0</v>
      </c>
      <c r="U360" s="3">
        <f t="shared" si="165"/>
        <v>0</v>
      </c>
      <c r="V360" s="3">
        <f t="shared" si="152"/>
        <v>0</v>
      </c>
      <c r="W360" s="3">
        <f t="shared" si="155"/>
        <v>0</v>
      </c>
      <c r="X360" s="3">
        <f t="shared" si="156"/>
        <v>0</v>
      </c>
      <c r="Y360" s="3">
        <f t="shared" si="157"/>
        <v>0</v>
      </c>
      <c r="Z360" s="3">
        <f t="shared" si="168"/>
        <v>0</v>
      </c>
      <c r="AA360" s="3">
        <f t="shared" si="169"/>
        <v>0</v>
      </c>
      <c r="AB360" s="3" t="e">
        <f t="shared" si="170"/>
        <v>#DIV/0!</v>
      </c>
      <c r="AC360" s="3" t="str">
        <f t="shared" si="171"/>
        <v/>
      </c>
      <c r="AD360" s="3">
        <f t="shared" si="158"/>
        <v>0</v>
      </c>
      <c r="AE360" s="3">
        <f t="shared" si="153"/>
        <v>0</v>
      </c>
      <c r="AF360" s="3">
        <f t="shared" si="159"/>
        <v>0</v>
      </c>
      <c r="AG360" s="3" t="e">
        <f>AF360 / SUM(F$2:F360)</f>
        <v>#DIV/0!</v>
      </c>
      <c r="AH360" s="3" t="e">
        <f t="shared" si="160"/>
        <v>#DIV/0!</v>
      </c>
      <c r="AI360" s="3">
        <f t="shared" si="161"/>
        <v>0</v>
      </c>
      <c r="AJ360" s="3" t="e">
        <f t="shared" si="162"/>
        <v>#DIV/0!</v>
      </c>
      <c r="AK360" s="3" t="e">
        <f t="shared" si="177"/>
        <v>#DIV/0!</v>
      </c>
    </row>
    <row r="361" spans="1:37" x14ac:dyDescent="0.3">
      <c r="A361" s="24">
        <v>0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f t="shared" si="150"/>
        <v>0</v>
      </c>
      <c r="H361" s="3">
        <f t="shared" si="167"/>
        <v>0</v>
      </c>
      <c r="I361" s="3">
        <f t="shared" si="172"/>
        <v>0</v>
      </c>
      <c r="J361" s="3">
        <f t="shared" si="173"/>
        <v>0</v>
      </c>
      <c r="K361" s="3">
        <f t="shared" si="174"/>
        <v>0</v>
      </c>
      <c r="L361" s="3">
        <f t="shared" si="175"/>
        <v>0</v>
      </c>
      <c r="M361" s="3" t="e">
        <f t="shared" si="154"/>
        <v>#DIV/0!</v>
      </c>
      <c r="N361" s="3" t="e">
        <f t="shared" si="163"/>
        <v>#DIV/0!</v>
      </c>
      <c r="O361" s="3" t="e">
        <f t="shared" si="176"/>
        <v>#DIV/0!</v>
      </c>
      <c r="P361" s="3">
        <f t="shared" si="164"/>
        <v>0</v>
      </c>
      <c r="Q361" s="3">
        <f t="shared" si="178"/>
        <v>0</v>
      </c>
      <c r="R361" s="3">
        <f t="shared" si="166"/>
        <v>0</v>
      </c>
      <c r="S361" s="3">
        <f t="shared" si="179"/>
        <v>0</v>
      </c>
      <c r="T361" s="3">
        <f t="shared" si="151"/>
        <v>0</v>
      </c>
      <c r="U361" s="3">
        <f t="shared" si="165"/>
        <v>0</v>
      </c>
      <c r="V361" s="3">
        <f t="shared" si="152"/>
        <v>0</v>
      </c>
      <c r="W361" s="3">
        <f t="shared" si="155"/>
        <v>0</v>
      </c>
      <c r="X361" s="3">
        <f t="shared" si="156"/>
        <v>0</v>
      </c>
      <c r="Y361" s="3">
        <f t="shared" si="157"/>
        <v>0</v>
      </c>
      <c r="Z361" s="3">
        <f t="shared" si="168"/>
        <v>0</v>
      </c>
      <c r="AA361" s="3">
        <f t="shared" si="169"/>
        <v>0</v>
      </c>
      <c r="AB361" s="3" t="e">
        <f t="shared" si="170"/>
        <v>#DIV/0!</v>
      </c>
      <c r="AC361" s="3" t="str">
        <f t="shared" si="171"/>
        <v/>
      </c>
      <c r="AD361" s="3">
        <f t="shared" si="158"/>
        <v>0</v>
      </c>
      <c r="AE361" s="3">
        <f t="shared" si="153"/>
        <v>0</v>
      </c>
      <c r="AF361" s="3">
        <f t="shared" si="159"/>
        <v>0</v>
      </c>
      <c r="AG361" s="3" t="e">
        <f>AF361 / SUM(F$2:F361)</f>
        <v>#DIV/0!</v>
      </c>
      <c r="AH361" s="3" t="e">
        <f t="shared" si="160"/>
        <v>#DIV/0!</v>
      </c>
      <c r="AI361" s="3">
        <f t="shared" si="161"/>
        <v>0</v>
      </c>
      <c r="AJ361" s="3" t="e">
        <f t="shared" si="162"/>
        <v>#DIV/0!</v>
      </c>
      <c r="AK361" s="3" t="e">
        <f t="shared" si="177"/>
        <v>#DIV/0!</v>
      </c>
    </row>
    <row r="362" spans="1:37" x14ac:dyDescent="0.3">
      <c r="A362" s="24">
        <v>0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f t="shared" si="150"/>
        <v>0</v>
      </c>
      <c r="H362" s="3">
        <f t="shared" si="167"/>
        <v>0</v>
      </c>
      <c r="I362" s="3">
        <f t="shared" si="172"/>
        <v>0</v>
      </c>
      <c r="J362" s="3">
        <f t="shared" si="173"/>
        <v>0</v>
      </c>
      <c r="K362" s="3">
        <f t="shared" si="174"/>
        <v>0</v>
      </c>
      <c r="L362" s="3">
        <f t="shared" si="175"/>
        <v>0</v>
      </c>
      <c r="M362" s="3" t="e">
        <f t="shared" si="154"/>
        <v>#DIV/0!</v>
      </c>
      <c r="N362" s="3" t="e">
        <f t="shared" si="163"/>
        <v>#DIV/0!</v>
      </c>
      <c r="O362" s="3" t="e">
        <f t="shared" si="176"/>
        <v>#DIV/0!</v>
      </c>
      <c r="P362" s="3">
        <f t="shared" si="164"/>
        <v>0</v>
      </c>
      <c r="Q362" s="3">
        <f t="shared" si="178"/>
        <v>0</v>
      </c>
      <c r="R362" s="3">
        <f t="shared" si="166"/>
        <v>0</v>
      </c>
      <c r="S362" s="3">
        <f t="shared" si="179"/>
        <v>0</v>
      </c>
      <c r="T362" s="3">
        <f t="shared" si="151"/>
        <v>0</v>
      </c>
      <c r="U362" s="3">
        <f t="shared" si="165"/>
        <v>0</v>
      </c>
      <c r="V362" s="3">
        <f t="shared" si="152"/>
        <v>0</v>
      </c>
      <c r="W362" s="3">
        <f t="shared" si="155"/>
        <v>0</v>
      </c>
      <c r="X362" s="3">
        <f t="shared" si="156"/>
        <v>0</v>
      </c>
      <c r="Y362" s="3">
        <f t="shared" si="157"/>
        <v>0</v>
      </c>
      <c r="Z362" s="3">
        <f t="shared" si="168"/>
        <v>0</v>
      </c>
      <c r="AA362" s="3">
        <f t="shared" si="169"/>
        <v>0</v>
      </c>
      <c r="AB362" s="3" t="e">
        <f t="shared" si="170"/>
        <v>#DIV/0!</v>
      </c>
      <c r="AC362" s="3" t="str">
        <f t="shared" si="171"/>
        <v/>
      </c>
      <c r="AD362" s="3">
        <f t="shared" si="158"/>
        <v>0</v>
      </c>
      <c r="AE362" s="3">
        <f t="shared" si="153"/>
        <v>0</v>
      </c>
      <c r="AF362" s="3">
        <f t="shared" si="159"/>
        <v>0</v>
      </c>
      <c r="AG362" s="3" t="e">
        <f>AF362 / SUM(F$2:F362)</f>
        <v>#DIV/0!</v>
      </c>
      <c r="AH362" s="3" t="e">
        <f t="shared" si="160"/>
        <v>#DIV/0!</v>
      </c>
      <c r="AI362" s="3">
        <f t="shared" si="161"/>
        <v>0</v>
      </c>
      <c r="AJ362" s="3" t="e">
        <f t="shared" si="162"/>
        <v>#DIV/0!</v>
      </c>
      <c r="AK362" s="3" t="e">
        <f t="shared" si="177"/>
        <v>#DIV/0!</v>
      </c>
    </row>
    <row r="363" spans="1:37" x14ac:dyDescent="0.3">
      <c r="A363" s="24">
        <v>0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f t="shared" si="150"/>
        <v>0</v>
      </c>
      <c r="H363" s="3">
        <f t="shared" si="167"/>
        <v>0</v>
      </c>
      <c r="I363" s="3">
        <f t="shared" si="172"/>
        <v>0</v>
      </c>
      <c r="J363" s="3">
        <f t="shared" si="173"/>
        <v>0</v>
      </c>
      <c r="K363" s="3">
        <f t="shared" si="174"/>
        <v>0</v>
      </c>
      <c r="L363" s="3">
        <f t="shared" si="175"/>
        <v>0</v>
      </c>
      <c r="M363" s="3" t="e">
        <f t="shared" si="154"/>
        <v>#DIV/0!</v>
      </c>
      <c r="N363" s="3" t="e">
        <f t="shared" si="163"/>
        <v>#DIV/0!</v>
      </c>
      <c r="O363" s="3" t="e">
        <f t="shared" si="176"/>
        <v>#DIV/0!</v>
      </c>
      <c r="P363" s="3">
        <f t="shared" si="164"/>
        <v>0</v>
      </c>
      <c r="Q363" s="3">
        <f t="shared" si="178"/>
        <v>0</v>
      </c>
      <c r="R363" s="3">
        <f t="shared" si="166"/>
        <v>0</v>
      </c>
      <c r="S363" s="3">
        <f t="shared" si="179"/>
        <v>0</v>
      </c>
      <c r="T363" s="3">
        <f t="shared" si="151"/>
        <v>0</v>
      </c>
      <c r="U363" s="3">
        <f t="shared" si="165"/>
        <v>0</v>
      </c>
      <c r="V363" s="3">
        <f t="shared" si="152"/>
        <v>0</v>
      </c>
      <c r="W363" s="3">
        <f t="shared" si="155"/>
        <v>0</v>
      </c>
      <c r="X363" s="3">
        <f t="shared" si="156"/>
        <v>0</v>
      </c>
      <c r="Y363" s="3">
        <f t="shared" si="157"/>
        <v>0</v>
      </c>
      <c r="Z363" s="3">
        <f t="shared" si="168"/>
        <v>0</v>
      </c>
      <c r="AA363" s="3">
        <f t="shared" si="169"/>
        <v>0</v>
      </c>
      <c r="AB363" s="3" t="e">
        <f t="shared" si="170"/>
        <v>#DIV/0!</v>
      </c>
      <c r="AC363" s="3" t="str">
        <f t="shared" si="171"/>
        <v/>
      </c>
      <c r="AD363" s="3">
        <f t="shared" si="158"/>
        <v>0</v>
      </c>
      <c r="AE363" s="3">
        <f t="shared" si="153"/>
        <v>0</v>
      </c>
      <c r="AF363" s="3">
        <f t="shared" si="159"/>
        <v>0</v>
      </c>
      <c r="AG363" s="3" t="e">
        <f>AF363 / SUM(F$2:F363)</f>
        <v>#DIV/0!</v>
      </c>
      <c r="AH363" s="3" t="e">
        <f t="shared" si="160"/>
        <v>#DIV/0!</v>
      </c>
      <c r="AI363" s="3">
        <f t="shared" si="161"/>
        <v>0</v>
      </c>
      <c r="AJ363" s="3" t="e">
        <f t="shared" si="162"/>
        <v>#DIV/0!</v>
      </c>
      <c r="AK363" s="3" t="e">
        <f t="shared" si="177"/>
        <v>#DIV/0!</v>
      </c>
    </row>
    <row r="364" spans="1:37" x14ac:dyDescent="0.3">
      <c r="A364" s="24">
        <v>0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f t="shared" si="150"/>
        <v>0</v>
      </c>
      <c r="H364" s="3">
        <f t="shared" si="167"/>
        <v>0</v>
      </c>
      <c r="I364" s="3">
        <f t="shared" si="172"/>
        <v>0</v>
      </c>
      <c r="J364" s="3">
        <f t="shared" si="173"/>
        <v>0</v>
      </c>
      <c r="K364" s="3">
        <f t="shared" si="174"/>
        <v>0</v>
      </c>
      <c r="L364" s="3">
        <f t="shared" si="175"/>
        <v>0</v>
      </c>
      <c r="M364" s="3" t="e">
        <f t="shared" si="154"/>
        <v>#DIV/0!</v>
      </c>
      <c r="N364" s="3" t="e">
        <f t="shared" si="163"/>
        <v>#DIV/0!</v>
      </c>
      <c r="O364" s="3" t="e">
        <f t="shared" si="176"/>
        <v>#DIV/0!</v>
      </c>
      <c r="P364" s="3">
        <f t="shared" si="164"/>
        <v>0</v>
      </c>
      <c r="Q364" s="3">
        <f t="shared" si="178"/>
        <v>0</v>
      </c>
      <c r="R364" s="3">
        <f t="shared" si="166"/>
        <v>0</v>
      </c>
      <c r="S364" s="3">
        <f t="shared" si="179"/>
        <v>0</v>
      </c>
      <c r="T364" s="3">
        <f t="shared" si="151"/>
        <v>0</v>
      </c>
      <c r="U364" s="3">
        <f t="shared" si="165"/>
        <v>0</v>
      </c>
      <c r="V364" s="3">
        <f t="shared" si="152"/>
        <v>0</v>
      </c>
      <c r="W364" s="3">
        <f t="shared" si="155"/>
        <v>0</v>
      </c>
      <c r="X364" s="3">
        <f t="shared" si="156"/>
        <v>0</v>
      </c>
      <c r="Y364" s="3">
        <f t="shared" si="157"/>
        <v>0</v>
      </c>
      <c r="Z364" s="3">
        <f t="shared" si="168"/>
        <v>0</v>
      </c>
      <c r="AA364" s="3">
        <f t="shared" si="169"/>
        <v>0</v>
      </c>
      <c r="AB364" s="3" t="e">
        <f t="shared" si="170"/>
        <v>#DIV/0!</v>
      </c>
      <c r="AC364" s="3" t="str">
        <f t="shared" si="171"/>
        <v/>
      </c>
      <c r="AD364" s="3">
        <f t="shared" si="158"/>
        <v>0</v>
      </c>
      <c r="AE364" s="3">
        <f t="shared" si="153"/>
        <v>0</v>
      </c>
      <c r="AF364" s="3">
        <f t="shared" si="159"/>
        <v>0</v>
      </c>
      <c r="AG364" s="3" t="e">
        <f>AF364 / SUM(F$2:F364)</f>
        <v>#DIV/0!</v>
      </c>
      <c r="AH364" s="3" t="e">
        <f t="shared" si="160"/>
        <v>#DIV/0!</v>
      </c>
      <c r="AI364" s="3">
        <f t="shared" si="161"/>
        <v>0</v>
      </c>
      <c r="AJ364" s="3" t="e">
        <f t="shared" si="162"/>
        <v>#DIV/0!</v>
      </c>
      <c r="AK364" s="3" t="e">
        <f t="shared" si="177"/>
        <v>#DIV/0!</v>
      </c>
    </row>
    <row r="365" spans="1:37" x14ac:dyDescent="0.3">
      <c r="A365" s="24">
        <v>0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f t="shared" si="150"/>
        <v>0</v>
      </c>
      <c r="H365" s="3">
        <f t="shared" si="167"/>
        <v>0</v>
      </c>
      <c r="I365" s="3">
        <f t="shared" si="172"/>
        <v>0</v>
      </c>
      <c r="J365" s="3">
        <f t="shared" si="173"/>
        <v>0</v>
      </c>
      <c r="K365" s="3">
        <f t="shared" si="174"/>
        <v>0</v>
      </c>
      <c r="L365" s="3">
        <f t="shared" si="175"/>
        <v>0</v>
      </c>
      <c r="M365" s="3" t="e">
        <f t="shared" si="154"/>
        <v>#DIV/0!</v>
      </c>
      <c r="N365" s="3" t="e">
        <f t="shared" si="163"/>
        <v>#DIV/0!</v>
      </c>
      <c r="O365" s="3" t="e">
        <f t="shared" si="176"/>
        <v>#DIV/0!</v>
      </c>
      <c r="P365" s="3">
        <f t="shared" si="164"/>
        <v>0</v>
      </c>
      <c r="Q365" s="3">
        <f t="shared" si="178"/>
        <v>0</v>
      </c>
      <c r="R365" s="3">
        <f t="shared" si="166"/>
        <v>0</v>
      </c>
      <c r="S365" s="3">
        <f t="shared" si="179"/>
        <v>0</v>
      </c>
      <c r="T365" s="3">
        <f t="shared" si="151"/>
        <v>0</v>
      </c>
      <c r="U365" s="3">
        <f t="shared" si="165"/>
        <v>0</v>
      </c>
      <c r="V365" s="3">
        <f t="shared" si="152"/>
        <v>0</v>
      </c>
      <c r="W365" s="3">
        <f t="shared" si="155"/>
        <v>0</v>
      </c>
      <c r="X365" s="3">
        <f t="shared" si="156"/>
        <v>0</v>
      </c>
      <c r="Y365" s="3">
        <f t="shared" si="157"/>
        <v>0</v>
      </c>
      <c r="Z365" s="3">
        <f t="shared" si="168"/>
        <v>0</v>
      </c>
      <c r="AA365" s="3">
        <f t="shared" si="169"/>
        <v>0</v>
      </c>
      <c r="AB365" s="3" t="e">
        <f t="shared" si="170"/>
        <v>#DIV/0!</v>
      </c>
      <c r="AC365" s="3" t="str">
        <f t="shared" si="171"/>
        <v/>
      </c>
      <c r="AD365" s="3">
        <f t="shared" si="158"/>
        <v>0</v>
      </c>
      <c r="AE365" s="3">
        <f t="shared" si="153"/>
        <v>0</v>
      </c>
      <c r="AF365" s="3">
        <f t="shared" si="159"/>
        <v>0</v>
      </c>
      <c r="AG365" s="3" t="e">
        <f>AF365 / SUM(F$2:F365)</f>
        <v>#DIV/0!</v>
      </c>
      <c r="AH365" s="3" t="e">
        <f t="shared" si="160"/>
        <v>#DIV/0!</v>
      </c>
      <c r="AI365" s="3">
        <f t="shared" si="161"/>
        <v>0</v>
      </c>
      <c r="AJ365" s="3" t="e">
        <f t="shared" si="162"/>
        <v>#DIV/0!</v>
      </c>
      <c r="AK365" s="3" t="e">
        <f t="shared" si="177"/>
        <v>#DIV/0!</v>
      </c>
    </row>
    <row r="366" spans="1:37" x14ac:dyDescent="0.3">
      <c r="A366" s="24">
        <v>0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f t="shared" si="150"/>
        <v>0</v>
      </c>
      <c r="H366" s="3">
        <f t="shared" si="167"/>
        <v>0</v>
      </c>
      <c r="I366" s="3">
        <f t="shared" si="172"/>
        <v>0</v>
      </c>
      <c r="J366" s="3">
        <f t="shared" si="173"/>
        <v>0</v>
      </c>
      <c r="K366" s="3">
        <f t="shared" si="174"/>
        <v>0</v>
      </c>
      <c r="L366" s="3">
        <f t="shared" si="175"/>
        <v>0</v>
      </c>
      <c r="M366" s="3" t="e">
        <f t="shared" si="154"/>
        <v>#DIV/0!</v>
      </c>
      <c r="N366" s="3" t="e">
        <f t="shared" si="163"/>
        <v>#DIV/0!</v>
      </c>
      <c r="O366" s="3" t="e">
        <f t="shared" si="176"/>
        <v>#DIV/0!</v>
      </c>
      <c r="P366" s="3">
        <f t="shared" si="164"/>
        <v>0</v>
      </c>
      <c r="Q366" s="3">
        <f t="shared" si="178"/>
        <v>0</v>
      </c>
      <c r="R366" s="3">
        <f t="shared" si="166"/>
        <v>0</v>
      </c>
      <c r="S366" s="3">
        <f t="shared" si="179"/>
        <v>0</v>
      </c>
      <c r="T366" s="3">
        <f t="shared" si="151"/>
        <v>0</v>
      </c>
      <c r="U366" s="3">
        <f t="shared" si="165"/>
        <v>0</v>
      </c>
      <c r="V366" s="3">
        <f t="shared" si="152"/>
        <v>0</v>
      </c>
      <c r="W366" s="3">
        <f t="shared" si="155"/>
        <v>0</v>
      </c>
      <c r="X366" s="3">
        <f t="shared" si="156"/>
        <v>0</v>
      </c>
      <c r="Y366" s="3">
        <f t="shared" si="157"/>
        <v>0</v>
      </c>
      <c r="Z366" s="3">
        <f t="shared" si="168"/>
        <v>0</v>
      </c>
      <c r="AA366" s="3">
        <f t="shared" si="169"/>
        <v>0</v>
      </c>
      <c r="AB366" s="3" t="e">
        <f t="shared" si="170"/>
        <v>#DIV/0!</v>
      </c>
      <c r="AC366" s="3" t="str">
        <f t="shared" si="171"/>
        <v/>
      </c>
      <c r="AD366" s="3">
        <f t="shared" si="158"/>
        <v>0</v>
      </c>
      <c r="AE366" s="3">
        <f t="shared" si="153"/>
        <v>0</v>
      </c>
      <c r="AF366" s="3">
        <f t="shared" si="159"/>
        <v>0</v>
      </c>
      <c r="AG366" s="3" t="e">
        <f>AF366 / SUM(F$2:F366)</f>
        <v>#DIV/0!</v>
      </c>
      <c r="AH366" s="3" t="e">
        <f t="shared" si="160"/>
        <v>#DIV/0!</v>
      </c>
      <c r="AI366" s="3">
        <f t="shared" si="161"/>
        <v>0</v>
      </c>
      <c r="AJ366" s="3" t="e">
        <f t="shared" si="162"/>
        <v>#DIV/0!</v>
      </c>
      <c r="AK366" s="3" t="e">
        <f t="shared" si="177"/>
        <v>#DIV/0!</v>
      </c>
    </row>
    <row r="367" spans="1:37" x14ac:dyDescent="0.3">
      <c r="A367" s="24">
        <v>0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f t="shared" si="150"/>
        <v>0</v>
      </c>
      <c r="H367" s="3">
        <f t="shared" si="167"/>
        <v>0</v>
      </c>
      <c r="I367" s="3">
        <f t="shared" si="172"/>
        <v>0</v>
      </c>
      <c r="J367" s="3">
        <f t="shared" si="173"/>
        <v>0</v>
      </c>
      <c r="K367" s="3">
        <f t="shared" si="174"/>
        <v>0</v>
      </c>
      <c r="L367" s="3">
        <f t="shared" si="175"/>
        <v>0</v>
      </c>
      <c r="M367" s="3" t="e">
        <f t="shared" si="154"/>
        <v>#DIV/0!</v>
      </c>
      <c r="N367" s="3" t="e">
        <f t="shared" si="163"/>
        <v>#DIV/0!</v>
      </c>
      <c r="O367" s="3" t="e">
        <f t="shared" si="176"/>
        <v>#DIV/0!</v>
      </c>
      <c r="P367" s="3">
        <f t="shared" si="164"/>
        <v>0</v>
      </c>
      <c r="Q367" s="3">
        <f t="shared" si="178"/>
        <v>0</v>
      </c>
      <c r="R367" s="3">
        <f t="shared" si="166"/>
        <v>0</v>
      </c>
      <c r="S367" s="3">
        <f t="shared" si="179"/>
        <v>0</v>
      </c>
      <c r="T367" s="3">
        <f t="shared" si="151"/>
        <v>0</v>
      </c>
      <c r="U367" s="3">
        <f t="shared" si="165"/>
        <v>0</v>
      </c>
      <c r="V367" s="3">
        <f t="shared" si="152"/>
        <v>0</v>
      </c>
      <c r="W367" s="3">
        <f t="shared" si="155"/>
        <v>0</v>
      </c>
      <c r="X367" s="3">
        <f t="shared" si="156"/>
        <v>0</v>
      </c>
      <c r="Y367" s="3">
        <f t="shared" si="157"/>
        <v>0</v>
      </c>
      <c r="Z367" s="3">
        <f t="shared" si="168"/>
        <v>0</v>
      </c>
      <c r="AA367" s="3">
        <f t="shared" si="169"/>
        <v>0</v>
      </c>
      <c r="AB367" s="3" t="e">
        <f t="shared" si="170"/>
        <v>#DIV/0!</v>
      </c>
      <c r="AC367" s="3" t="str">
        <f t="shared" si="171"/>
        <v/>
      </c>
      <c r="AD367" s="3">
        <f t="shared" si="158"/>
        <v>0</v>
      </c>
      <c r="AE367" s="3">
        <f t="shared" si="153"/>
        <v>0</v>
      </c>
      <c r="AF367" s="3">
        <f t="shared" si="159"/>
        <v>0</v>
      </c>
      <c r="AG367" s="3" t="e">
        <f>AF367 / SUM(F$2:F367)</f>
        <v>#DIV/0!</v>
      </c>
      <c r="AH367" s="3" t="e">
        <f t="shared" si="160"/>
        <v>#DIV/0!</v>
      </c>
      <c r="AI367" s="3">
        <f t="shared" si="161"/>
        <v>0</v>
      </c>
      <c r="AJ367" s="3" t="e">
        <f t="shared" si="162"/>
        <v>#DIV/0!</v>
      </c>
      <c r="AK367" s="3" t="e">
        <f t="shared" si="177"/>
        <v>#DIV/0!</v>
      </c>
    </row>
    <row r="368" spans="1:37" x14ac:dyDescent="0.3">
      <c r="A368" s="24">
        <v>0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f t="shared" si="150"/>
        <v>0</v>
      </c>
      <c r="H368" s="3">
        <f t="shared" si="167"/>
        <v>0</v>
      </c>
      <c r="I368" s="3">
        <f t="shared" si="172"/>
        <v>0</v>
      </c>
      <c r="J368" s="3">
        <f t="shared" si="173"/>
        <v>0</v>
      </c>
      <c r="K368" s="3">
        <f t="shared" si="174"/>
        <v>0</v>
      </c>
      <c r="L368" s="3">
        <f t="shared" si="175"/>
        <v>0</v>
      </c>
      <c r="M368" s="3" t="e">
        <f t="shared" si="154"/>
        <v>#DIV/0!</v>
      </c>
      <c r="N368" s="3" t="e">
        <f t="shared" si="163"/>
        <v>#DIV/0!</v>
      </c>
      <c r="O368" s="3" t="e">
        <f t="shared" si="176"/>
        <v>#DIV/0!</v>
      </c>
      <c r="P368" s="3">
        <f t="shared" si="164"/>
        <v>0</v>
      </c>
      <c r="Q368" s="3">
        <f t="shared" si="178"/>
        <v>0</v>
      </c>
      <c r="R368" s="3">
        <f t="shared" si="166"/>
        <v>0</v>
      </c>
      <c r="S368" s="3">
        <f t="shared" si="179"/>
        <v>0</v>
      </c>
      <c r="T368" s="3">
        <f t="shared" si="151"/>
        <v>0</v>
      </c>
      <c r="U368" s="3">
        <f t="shared" si="165"/>
        <v>0</v>
      </c>
      <c r="V368" s="3">
        <f t="shared" si="152"/>
        <v>0</v>
      </c>
      <c r="W368" s="3">
        <f t="shared" si="155"/>
        <v>0</v>
      </c>
      <c r="X368" s="3">
        <f t="shared" si="156"/>
        <v>0</v>
      </c>
      <c r="Y368" s="3">
        <f t="shared" si="157"/>
        <v>0</v>
      </c>
      <c r="Z368" s="3">
        <f t="shared" si="168"/>
        <v>0</v>
      </c>
      <c r="AA368" s="3">
        <f t="shared" si="169"/>
        <v>0</v>
      </c>
      <c r="AB368" s="3" t="e">
        <f t="shared" si="170"/>
        <v>#DIV/0!</v>
      </c>
      <c r="AC368" s="3" t="str">
        <f t="shared" si="171"/>
        <v/>
      </c>
      <c r="AD368" s="3">
        <f t="shared" si="158"/>
        <v>0</v>
      </c>
      <c r="AE368" s="3">
        <f t="shared" si="153"/>
        <v>0</v>
      </c>
      <c r="AF368" s="3">
        <f t="shared" si="159"/>
        <v>0</v>
      </c>
      <c r="AG368" s="3" t="e">
        <f>AF368 / SUM(F$2:F368)</f>
        <v>#DIV/0!</v>
      </c>
      <c r="AH368" s="3" t="e">
        <f t="shared" si="160"/>
        <v>#DIV/0!</v>
      </c>
      <c r="AI368" s="3">
        <f t="shared" si="161"/>
        <v>0</v>
      </c>
      <c r="AJ368" s="3" t="e">
        <f t="shared" si="162"/>
        <v>#DIV/0!</v>
      </c>
      <c r="AK368" s="3" t="e">
        <f t="shared" si="177"/>
        <v>#DIV/0!</v>
      </c>
    </row>
    <row r="369" spans="1:37" x14ac:dyDescent="0.3">
      <c r="A369" s="24">
        <v>0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f t="shared" si="150"/>
        <v>0</v>
      </c>
      <c r="H369" s="3">
        <f t="shared" si="167"/>
        <v>0</v>
      </c>
      <c r="I369" s="3">
        <f t="shared" si="172"/>
        <v>0</v>
      </c>
      <c r="J369" s="3">
        <f t="shared" si="173"/>
        <v>0</v>
      </c>
      <c r="K369" s="3">
        <f t="shared" si="174"/>
        <v>0</v>
      </c>
      <c r="L369" s="3">
        <f t="shared" si="175"/>
        <v>0</v>
      </c>
      <c r="M369" s="3" t="e">
        <f t="shared" si="154"/>
        <v>#DIV/0!</v>
      </c>
      <c r="N369" s="3" t="e">
        <f t="shared" si="163"/>
        <v>#DIV/0!</v>
      </c>
      <c r="O369" s="3" t="e">
        <f t="shared" si="176"/>
        <v>#DIV/0!</v>
      </c>
      <c r="P369" s="3">
        <f t="shared" si="164"/>
        <v>0</v>
      </c>
      <c r="Q369" s="3">
        <f t="shared" si="178"/>
        <v>0</v>
      </c>
      <c r="R369" s="3">
        <f t="shared" si="166"/>
        <v>0</v>
      </c>
      <c r="S369" s="3">
        <f t="shared" si="179"/>
        <v>0</v>
      </c>
      <c r="T369" s="3">
        <f t="shared" si="151"/>
        <v>0</v>
      </c>
      <c r="U369" s="3">
        <f t="shared" si="165"/>
        <v>0</v>
      </c>
      <c r="V369" s="3">
        <f t="shared" si="152"/>
        <v>0</v>
      </c>
      <c r="W369" s="3">
        <f t="shared" si="155"/>
        <v>0</v>
      </c>
      <c r="X369" s="3">
        <f t="shared" si="156"/>
        <v>0</v>
      </c>
      <c r="Y369" s="3">
        <f t="shared" si="157"/>
        <v>0</v>
      </c>
      <c r="Z369" s="3">
        <f t="shared" si="168"/>
        <v>0</v>
      </c>
      <c r="AA369" s="3">
        <f t="shared" si="169"/>
        <v>0</v>
      </c>
      <c r="AB369" s="3" t="e">
        <f t="shared" si="170"/>
        <v>#DIV/0!</v>
      </c>
      <c r="AC369" s="3" t="str">
        <f t="shared" si="171"/>
        <v/>
      </c>
      <c r="AD369" s="3">
        <f t="shared" si="158"/>
        <v>0</v>
      </c>
      <c r="AE369" s="3">
        <f t="shared" si="153"/>
        <v>0</v>
      </c>
      <c r="AF369" s="3">
        <f t="shared" si="159"/>
        <v>0</v>
      </c>
      <c r="AG369" s="3" t="e">
        <f>AF369 / SUM(F$2:F369)</f>
        <v>#DIV/0!</v>
      </c>
      <c r="AH369" s="3" t="e">
        <f t="shared" si="160"/>
        <v>#DIV/0!</v>
      </c>
      <c r="AI369" s="3">
        <f t="shared" si="161"/>
        <v>0</v>
      </c>
      <c r="AJ369" s="3" t="e">
        <f t="shared" si="162"/>
        <v>#DIV/0!</v>
      </c>
      <c r="AK369" s="3" t="e">
        <f t="shared" si="177"/>
        <v>#DIV/0!</v>
      </c>
    </row>
    <row r="370" spans="1:37" x14ac:dyDescent="0.3">
      <c r="A370" s="24">
        <v>0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f t="shared" si="150"/>
        <v>0</v>
      </c>
      <c r="H370" s="3">
        <f t="shared" si="167"/>
        <v>0</v>
      </c>
      <c r="I370" s="3">
        <f t="shared" si="172"/>
        <v>0</v>
      </c>
      <c r="J370" s="3">
        <f t="shared" si="173"/>
        <v>0</v>
      </c>
      <c r="K370" s="3">
        <f t="shared" si="174"/>
        <v>0</v>
      </c>
      <c r="L370" s="3">
        <f t="shared" si="175"/>
        <v>0</v>
      </c>
      <c r="M370" s="3" t="e">
        <f t="shared" si="154"/>
        <v>#DIV/0!</v>
      </c>
      <c r="N370" s="3" t="e">
        <f t="shared" si="163"/>
        <v>#DIV/0!</v>
      </c>
      <c r="O370" s="3" t="e">
        <f t="shared" si="176"/>
        <v>#DIV/0!</v>
      </c>
      <c r="P370" s="3">
        <f t="shared" si="164"/>
        <v>0</v>
      </c>
      <c r="Q370" s="3">
        <f t="shared" si="178"/>
        <v>0</v>
      </c>
      <c r="R370" s="3">
        <f t="shared" si="166"/>
        <v>0</v>
      </c>
      <c r="S370" s="3">
        <f t="shared" si="179"/>
        <v>0</v>
      </c>
      <c r="T370" s="3">
        <f t="shared" si="151"/>
        <v>0</v>
      </c>
      <c r="U370" s="3">
        <f t="shared" si="165"/>
        <v>0</v>
      </c>
      <c r="V370" s="3">
        <f t="shared" si="152"/>
        <v>0</v>
      </c>
      <c r="W370" s="3">
        <f t="shared" si="155"/>
        <v>0</v>
      </c>
      <c r="X370" s="3">
        <f t="shared" si="156"/>
        <v>0</v>
      </c>
      <c r="Y370" s="3">
        <f t="shared" si="157"/>
        <v>0</v>
      </c>
      <c r="Z370" s="3">
        <f t="shared" si="168"/>
        <v>0</v>
      </c>
      <c r="AA370" s="3">
        <f t="shared" si="169"/>
        <v>0</v>
      </c>
      <c r="AB370" s="3" t="e">
        <f t="shared" si="170"/>
        <v>#DIV/0!</v>
      </c>
      <c r="AC370" s="3" t="str">
        <f t="shared" si="171"/>
        <v/>
      </c>
      <c r="AD370" s="3">
        <f t="shared" si="158"/>
        <v>0</v>
      </c>
      <c r="AE370" s="3">
        <f t="shared" si="153"/>
        <v>0</v>
      </c>
      <c r="AF370" s="3">
        <f t="shared" si="159"/>
        <v>0</v>
      </c>
      <c r="AG370" s="3" t="e">
        <f>AF370 / SUM(F$2:F370)</f>
        <v>#DIV/0!</v>
      </c>
      <c r="AH370" s="3" t="e">
        <f t="shared" si="160"/>
        <v>#DIV/0!</v>
      </c>
      <c r="AI370" s="3">
        <f t="shared" si="161"/>
        <v>0</v>
      </c>
      <c r="AJ370" s="3" t="e">
        <f t="shared" si="162"/>
        <v>#DIV/0!</v>
      </c>
      <c r="AK370" s="3" t="e">
        <f t="shared" si="177"/>
        <v>#DIV/0!</v>
      </c>
    </row>
    <row r="371" spans="1:37" x14ac:dyDescent="0.3">
      <c r="A371" s="24">
        <v>0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f t="shared" si="150"/>
        <v>0</v>
      </c>
      <c r="H371" s="3">
        <f t="shared" si="167"/>
        <v>0</v>
      </c>
      <c r="I371" s="3">
        <f t="shared" si="172"/>
        <v>0</v>
      </c>
      <c r="J371" s="3">
        <f t="shared" si="173"/>
        <v>0</v>
      </c>
      <c r="K371" s="3">
        <f t="shared" si="174"/>
        <v>0</v>
      </c>
      <c r="L371" s="3">
        <f t="shared" si="175"/>
        <v>0</v>
      </c>
      <c r="M371" s="3" t="e">
        <f t="shared" si="154"/>
        <v>#DIV/0!</v>
      </c>
      <c r="N371" s="3" t="e">
        <f t="shared" si="163"/>
        <v>#DIV/0!</v>
      </c>
      <c r="O371" s="3" t="e">
        <f t="shared" si="176"/>
        <v>#DIV/0!</v>
      </c>
      <c r="P371" s="3">
        <f t="shared" si="164"/>
        <v>0</v>
      </c>
      <c r="Q371" s="3">
        <f t="shared" si="178"/>
        <v>0</v>
      </c>
      <c r="R371" s="3">
        <f t="shared" si="166"/>
        <v>0</v>
      </c>
      <c r="S371" s="3">
        <f t="shared" si="179"/>
        <v>0</v>
      </c>
      <c r="T371" s="3">
        <f t="shared" si="151"/>
        <v>0</v>
      </c>
      <c r="U371" s="3">
        <f t="shared" si="165"/>
        <v>0</v>
      </c>
      <c r="V371" s="3">
        <f t="shared" si="152"/>
        <v>0</v>
      </c>
      <c r="W371" s="3">
        <f t="shared" si="155"/>
        <v>0</v>
      </c>
      <c r="X371" s="3">
        <f t="shared" si="156"/>
        <v>0</v>
      </c>
      <c r="Y371" s="3">
        <f t="shared" si="157"/>
        <v>0</v>
      </c>
      <c r="Z371" s="3">
        <f t="shared" si="168"/>
        <v>0</v>
      </c>
      <c r="AA371" s="3">
        <f t="shared" si="169"/>
        <v>0</v>
      </c>
      <c r="AB371" s="3" t="e">
        <f t="shared" si="170"/>
        <v>#DIV/0!</v>
      </c>
      <c r="AC371" s="3" t="str">
        <f t="shared" si="171"/>
        <v/>
      </c>
      <c r="AD371" s="3">
        <f t="shared" si="158"/>
        <v>0</v>
      </c>
      <c r="AE371" s="3">
        <f t="shared" si="153"/>
        <v>0</v>
      </c>
      <c r="AF371" s="3">
        <f t="shared" si="159"/>
        <v>0</v>
      </c>
      <c r="AG371" s="3" t="e">
        <f>AF371 / SUM(F$2:F371)</f>
        <v>#DIV/0!</v>
      </c>
      <c r="AH371" s="3" t="e">
        <f t="shared" si="160"/>
        <v>#DIV/0!</v>
      </c>
      <c r="AI371" s="3">
        <f t="shared" si="161"/>
        <v>0</v>
      </c>
      <c r="AJ371" s="3" t="e">
        <f t="shared" si="162"/>
        <v>#DIV/0!</v>
      </c>
      <c r="AK371" s="3" t="e">
        <f t="shared" si="177"/>
        <v>#DIV/0!</v>
      </c>
    </row>
    <row r="372" spans="1:37" x14ac:dyDescent="0.3">
      <c r="A372" s="24">
        <v>0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f t="shared" si="150"/>
        <v>0</v>
      </c>
      <c r="H372" s="3">
        <f t="shared" si="167"/>
        <v>0</v>
      </c>
      <c r="I372" s="3">
        <f t="shared" si="172"/>
        <v>0</v>
      </c>
      <c r="J372" s="3">
        <f t="shared" si="173"/>
        <v>0</v>
      </c>
      <c r="K372" s="3">
        <f t="shared" si="174"/>
        <v>0</v>
      </c>
      <c r="L372" s="3">
        <f t="shared" si="175"/>
        <v>0</v>
      </c>
      <c r="M372" s="3" t="e">
        <f t="shared" si="154"/>
        <v>#DIV/0!</v>
      </c>
      <c r="N372" s="3" t="e">
        <f t="shared" si="163"/>
        <v>#DIV/0!</v>
      </c>
      <c r="O372" s="3" t="e">
        <f t="shared" si="176"/>
        <v>#DIV/0!</v>
      </c>
      <c r="P372" s="3">
        <f t="shared" si="164"/>
        <v>0</v>
      </c>
      <c r="Q372" s="3">
        <f t="shared" si="178"/>
        <v>0</v>
      </c>
      <c r="R372" s="3">
        <f t="shared" si="166"/>
        <v>0</v>
      </c>
      <c r="S372" s="3">
        <f t="shared" si="179"/>
        <v>0</v>
      </c>
      <c r="T372" s="3">
        <f t="shared" si="151"/>
        <v>0</v>
      </c>
      <c r="U372" s="3">
        <f t="shared" si="165"/>
        <v>0</v>
      </c>
      <c r="V372" s="3">
        <f t="shared" si="152"/>
        <v>0</v>
      </c>
      <c r="W372" s="3">
        <f t="shared" si="155"/>
        <v>0</v>
      </c>
      <c r="X372" s="3">
        <f t="shared" si="156"/>
        <v>0</v>
      </c>
      <c r="Y372" s="3">
        <f t="shared" si="157"/>
        <v>0</v>
      </c>
      <c r="Z372" s="3">
        <f t="shared" si="168"/>
        <v>0</v>
      </c>
      <c r="AA372" s="3">
        <f t="shared" si="169"/>
        <v>0</v>
      </c>
      <c r="AB372" s="3" t="e">
        <f t="shared" si="170"/>
        <v>#DIV/0!</v>
      </c>
      <c r="AC372" s="3" t="str">
        <f t="shared" si="171"/>
        <v/>
      </c>
      <c r="AD372" s="3">
        <f t="shared" si="158"/>
        <v>0</v>
      </c>
      <c r="AE372" s="3">
        <f t="shared" si="153"/>
        <v>0</v>
      </c>
      <c r="AF372" s="3">
        <f t="shared" si="159"/>
        <v>0</v>
      </c>
      <c r="AG372" s="3" t="e">
        <f>AF372 / SUM(F$2:F372)</f>
        <v>#DIV/0!</v>
      </c>
      <c r="AH372" s="3" t="e">
        <f t="shared" si="160"/>
        <v>#DIV/0!</v>
      </c>
      <c r="AI372" s="3">
        <f t="shared" si="161"/>
        <v>0</v>
      </c>
      <c r="AJ372" s="3" t="e">
        <f t="shared" si="162"/>
        <v>#DIV/0!</v>
      </c>
      <c r="AK372" s="3" t="e">
        <f t="shared" si="177"/>
        <v>#DIV/0!</v>
      </c>
    </row>
    <row r="373" spans="1:37" x14ac:dyDescent="0.3">
      <c r="A373" s="24">
        <v>0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f t="shared" si="150"/>
        <v>0</v>
      </c>
      <c r="H373" s="3">
        <f t="shared" si="167"/>
        <v>0</v>
      </c>
      <c r="I373" s="3">
        <f t="shared" si="172"/>
        <v>0</v>
      </c>
      <c r="J373" s="3">
        <f t="shared" si="173"/>
        <v>0</v>
      </c>
      <c r="K373" s="3">
        <f t="shared" si="174"/>
        <v>0</v>
      </c>
      <c r="L373" s="3">
        <f t="shared" si="175"/>
        <v>0</v>
      </c>
      <c r="M373" s="3" t="e">
        <f t="shared" si="154"/>
        <v>#DIV/0!</v>
      </c>
      <c r="N373" s="3" t="e">
        <f t="shared" si="163"/>
        <v>#DIV/0!</v>
      </c>
      <c r="O373" s="3" t="e">
        <f t="shared" si="176"/>
        <v>#DIV/0!</v>
      </c>
      <c r="P373" s="3">
        <f t="shared" si="164"/>
        <v>0</v>
      </c>
      <c r="Q373" s="3">
        <f t="shared" si="178"/>
        <v>0</v>
      </c>
      <c r="R373" s="3">
        <f t="shared" si="166"/>
        <v>0</v>
      </c>
      <c r="S373" s="3">
        <f t="shared" si="179"/>
        <v>0</v>
      </c>
      <c r="T373" s="3">
        <f t="shared" si="151"/>
        <v>0</v>
      </c>
      <c r="U373" s="3">
        <f t="shared" si="165"/>
        <v>0</v>
      </c>
      <c r="V373" s="3">
        <f t="shared" si="152"/>
        <v>0</v>
      </c>
      <c r="W373" s="3">
        <f t="shared" si="155"/>
        <v>0</v>
      </c>
      <c r="X373" s="3">
        <f t="shared" si="156"/>
        <v>0</v>
      </c>
      <c r="Y373" s="3">
        <f t="shared" si="157"/>
        <v>0</v>
      </c>
      <c r="Z373" s="3">
        <f t="shared" si="168"/>
        <v>0</v>
      </c>
      <c r="AA373" s="3">
        <f t="shared" si="169"/>
        <v>0</v>
      </c>
      <c r="AB373" s="3" t="e">
        <f t="shared" si="170"/>
        <v>#DIV/0!</v>
      </c>
      <c r="AC373" s="3" t="str">
        <f t="shared" si="171"/>
        <v/>
      </c>
      <c r="AD373" s="3">
        <f t="shared" si="158"/>
        <v>0</v>
      </c>
      <c r="AE373" s="3">
        <f t="shared" si="153"/>
        <v>0</v>
      </c>
      <c r="AF373" s="3">
        <f t="shared" si="159"/>
        <v>0</v>
      </c>
      <c r="AG373" s="3" t="e">
        <f>AF373 / SUM(F$2:F373)</f>
        <v>#DIV/0!</v>
      </c>
      <c r="AH373" s="3" t="e">
        <f t="shared" si="160"/>
        <v>#DIV/0!</v>
      </c>
      <c r="AI373" s="3">
        <f t="shared" si="161"/>
        <v>0</v>
      </c>
      <c r="AJ373" s="3" t="e">
        <f t="shared" si="162"/>
        <v>#DIV/0!</v>
      </c>
      <c r="AK373" s="3" t="e">
        <f t="shared" si="177"/>
        <v>#DIV/0!</v>
      </c>
    </row>
    <row r="374" spans="1:37" x14ac:dyDescent="0.3">
      <c r="A374" s="24">
        <v>0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f t="shared" si="150"/>
        <v>0</v>
      </c>
      <c r="H374" s="3">
        <f t="shared" si="167"/>
        <v>0</v>
      </c>
      <c r="I374" s="3">
        <f t="shared" si="172"/>
        <v>0</v>
      </c>
      <c r="J374" s="3">
        <f t="shared" si="173"/>
        <v>0</v>
      </c>
      <c r="K374" s="3">
        <f t="shared" si="174"/>
        <v>0</v>
      </c>
      <c r="L374" s="3">
        <f t="shared" si="175"/>
        <v>0</v>
      </c>
      <c r="M374" s="3" t="e">
        <f t="shared" si="154"/>
        <v>#DIV/0!</v>
      </c>
      <c r="N374" s="3" t="e">
        <f t="shared" si="163"/>
        <v>#DIV/0!</v>
      </c>
      <c r="O374" s="3" t="e">
        <f t="shared" si="176"/>
        <v>#DIV/0!</v>
      </c>
      <c r="P374" s="3">
        <f t="shared" si="164"/>
        <v>0</v>
      </c>
      <c r="Q374" s="3">
        <f t="shared" si="178"/>
        <v>0</v>
      </c>
      <c r="R374" s="3">
        <f t="shared" si="166"/>
        <v>0</v>
      </c>
      <c r="S374" s="3">
        <f t="shared" si="179"/>
        <v>0</v>
      </c>
      <c r="T374" s="3">
        <f t="shared" si="151"/>
        <v>0</v>
      </c>
      <c r="U374" s="3">
        <f t="shared" si="165"/>
        <v>0</v>
      </c>
      <c r="V374" s="3">
        <f t="shared" si="152"/>
        <v>0</v>
      </c>
      <c r="W374" s="3">
        <f t="shared" si="155"/>
        <v>0</v>
      </c>
      <c r="X374" s="3">
        <f t="shared" si="156"/>
        <v>0</v>
      </c>
      <c r="Y374" s="3">
        <f t="shared" si="157"/>
        <v>0</v>
      </c>
      <c r="Z374" s="3">
        <f t="shared" si="168"/>
        <v>0</v>
      </c>
      <c r="AA374" s="3">
        <f t="shared" si="169"/>
        <v>0</v>
      </c>
      <c r="AB374" s="3" t="e">
        <f t="shared" si="170"/>
        <v>#DIV/0!</v>
      </c>
      <c r="AC374" s="3" t="str">
        <f t="shared" si="171"/>
        <v/>
      </c>
      <c r="AD374" s="3">
        <f t="shared" si="158"/>
        <v>0</v>
      </c>
      <c r="AE374" s="3">
        <f t="shared" si="153"/>
        <v>0</v>
      </c>
      <c r="AF374" s="3">
        <f t="shared" si="159"/>
        <v>0</v>
      </c>
      <c r="AG374" s="3" t="e">
        <f>AF374 / SUM(F$2:F374)</f>
        <v>#DIV/0!</v>
      </c>
      <c r="AH374" s="3" t="e">
        <f t="shared" si="160"/>
        <v>#DIV/0!</v>
      </c>
      <c r="AI374" s="3">
        <f t="shared" si="161"/>
        <v>0</v>
      </c>
      <c r="AJ374" s="3" t="e">
        <f t="shared" si="162"/>
        <v>#DIV/0!</v>
      </c>
      <c r="AK374" s="3" t="e">
        <f t="shared" si="177"/>
        <v>#DIV/0!</v>
      </c>
    </row>
    <row r="375" spans="1:37" x14ac:dyDescent="0.3">
      <c r="A375" s="24">
        <v>0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f t="shared" si="150"/>
        <v>0</v>
      </c>
      <c r="H375" s="3">
        <f t="shared" si="167"/>
        <v>0</v>
      </c>
      <c r="I375" s="3">
        <f t="shared" si="172"/>
        <v>0</v>
      </c>
      <c r="J375" s="3">
        <f t="shared" si="173"/>
        <v>0</v>
      </c>
      <c r="K375" s="3">
        <f t="shared" si="174"/>
        <v>0</v>
      </c>
      <c r="L375" s="3">
        <f t="shared" si="175"/>
        <v>0</v>
      </c>
      <c r="M375" s="3" t="e">
        <f t="shared" si="154"/>
        <v>#DIV/0!</v>
      </c>
      <c r="N375" s="3" t="e">
        <f t="shared" si="163"/>
        <v>#DIV/0!</v>
      </c>
      <c r="O375" s="3" t="e">
        <f t="shared" si="176"/>
        <v>#DIV/0!</v>
      </c>
      <c r="P375" s="3">
        <f t="shared" si="164"/>
        <v>0</v>
      </c>
      <c r="Q375" s="3">
        <f t="shared" si="178"/>
        <v>0</v>
      </c>
      <c r="R375" s="3">
        <f t="shared" si="166"/>
        <v>0</v>
      </c>
      <c r="S375" s="3">
        <f t="shared" si="179"/>
        <v>0</v>
      </c>
      <c r="T375" s="3">
        <f t="shared" si="151"/>
        <v>0</v>
      </c>
      <c r="U375" s="3">
        <f t="shared" si="165"/>
        <v>0</v>
      </c>
      <c r="V375" s="3">
        <f t="shared" si="152"/>
        <v>0</v>
      </c>
      <c r="W375" s="3">
        <f t="shared" si="155"/>
        <v>0</v>
      </c>
      <c r="X375" s="3">
        <f t="shared" si="156"/>
        <v>0</v>
      </c>
      <c r="Y375" s="3">
        <f t="shared" si="157"/>
        <v>0</v>
      </c>
      <c r="Z375" s="3">
        <f t="shared" si="168"/>
        <v>0</v>
      </c>
      <c r="AA375" s="3">
        <f t="shared" si="169"/>
        <v>0</v>
      </c>
      <c r="AB375" s="3" t="e">
        <f t="shared" si="170"/>
        <v>#DIV/0!</v>
      </c>
      <c r="AC375" s="3" t="str">
        <f t="shared" si="171"/>
        <v/>
      </c>
      <c r="AD375" s="3">
        <f t="shared" si="158"/>
        <v>0</v>
      </c>
      <c r="AE375" s="3">
        <f t="shared" si="153"/>
        <v>0</v>
      </c>
      <c r="AF375" s="3">
        <f t="shared" si="159"/>
        <v>0</v>
      </c>
      <c r="AG375" s="3" t="e">
        <f>AF375 / SUM(F$2:F375)</f>
        <v>#DIV/0!</v>
      </c>
      <c r="AH375" s="3" t="e">
        <f t="shared" si="160"/>
        <v>#DIV/0!</v>
      </c>
      <c r="AI375" s="3">
        <f t="shared" si="161"/>
        <v>0</v>
      </c>
      <c r="AJ375" s="3" t="e">
        <f t="shared" si="162"/>
        <v>#DIV/0!</v>
      </c>
      <c r="AK375" s="3" t="e">
        <f t="shared" si="177"/>
        <v>#DIV/0!</v>
      </c>
    </row>
    <row r="376" spans="1:37" x14ac:dyDescent="0.3">
      <c r="A376" s="24">
        <v>0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f t="shared" si="150"/>
        <v>0</v>
      </c>
      <c r="H376" s="3">
        <f t="shared" si="167"/>
        <v>0</v>
      </c>
      <c r="I376" s="3">
        <f t="shared" si="172"/>
        <v>0</v>
      </c>
      <c r="J376" s="3">
        <f t="shared" si="173"/>
        <v>0</v>
      </c>
      <c r="K376" s="3">
        <f t="shared" si="174"/>
        <v>0</v>
      </c>
      <c r="L376" s="3">
        <f t="shared" si="175"/>
        <v>0</v>
      </c>
      <c r="M376" s="3" t="e">
        <f t="shared" si="154"/>
        <v>#DIV/0!</v>
      </c>
      <c r="N376" s="3" t="e">
        <f t="shared" si="163"/>
        <v>#DIV/0!</v>
      </c>
      <c r="O376" s="3" t="e">
        <f t="shared" si="176"/>
        <v>#DIV/0!</v>
      </c>
      <c r="P376" s="3">
        <f t="shared" si="164"/>
        <v>0</v>
      </c>
      <c r="Q376" s="3">
        <f t="shared" si="178"/>
        <v>0</v>
      </c>
      <c r="R376" s="3">
        <f t="shared" si="166"/>
        <v>0</v>
      </c>
      <c r="S376" s="3">
        <f t="shared" si="179"/>
        <v>0</v>
      </c>
      <c r="T376" s="3">
        <f t="shared" si="151"/>
        <v>0</v>
      </c>
      <c r="U376" s="3">
        <f t="shared" si="165"/>
        <v>0</v>
      </c>
      <c r="V376" s="3">
        <f t="shared" si="152"/>
        <v>0</v>
      </c>
      <c r="W376" s="3">
        <f t="shared" si="155"/>
        <v>0</v>
      </c>
      <c r="X376" s="3">
        <f t="shared" si="156"/>
        <v>0</v>
      </c>
      <c r="Y376" s="3">
        <f t="shared" si="157"/>
        <v>0</v>
      </c>
      <c r="Z376" s="3">
        <f t="shared" si="168"/>
        <v>0</v>
      </c>
      <c r="AA376" s="3">
        <f t="shared" si="169"/>
        <v>0</v>
      </c>
      <c r="AB376" s="3" t="e">
        <f t="shared" si="170"/>
        <v>#DIV/0!</v>
      </c>
      <c r="AC376" s="3" t="str">
        <f t="shared" si="171"/>
        <v/>
      </c>
      <c r="AD376" s="3">
        <f t="shared" si="158"/>
        <v>0</v>
      </c>
      <c r="AE376" s="3">
        <f t="shared" si="153"/>
        <v>0</v>
      </c>
      <c r="AF376" s="3">
        <f t="shared" si="159"/>
        <v>0</v>
      </c>
      <c r="AG376" s="3" t="e">
        <f>AF376 / SUM(F$2:F376)</f>
        <v>#DIV/0!</v>
      </c>
      <c r="AH376" s="3" t="e">
        <f t="shared" si="160"/>
        <v>#DIV/0!</v>
      </c>
      <c r="AI376" s="3">
        <f t="shared" si="161"/>
        <v>0</v>
      </c>
      <c r="AJ376" s="3" t="e">
        <f t="shared" si="162"/>
        <v>#DIV/0!</v>
      </c>
      <c r="AK376" s="3" t="e">
        <f t="shared" si="177"/>
        <v>#DIV/0!</v>
      </c>
    </row>
    <row r="377" spans="1:37" x14ac:dyDescent="0.3">
      <c r="A377" s="24">
        <v>0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f t="shared" si="150"/>
        <v>0</v>
      </c>
      <c r="H377" s="3">
        <f t="shared" si="167"/>
        <v>0</v>
      </c>
      <c r="I377" s="3">
        <f t="shared" si="172"/>
        <v>0</v>
      </c>
      <c r="J377" s="3">
        <f t="shared" si="173"/>
        <v>0</v>
      </c>
      <c r="K377" s="3">
        <f t="shared" si="174"/>
        <v>0</v>
      </c>
      <c r="L377" s="3">
        <f t="shared" si="175"/>
        <v>0</v>
      </c>
      <c r="M377" s="3" t="e">
        <f t="shared" si="154"/>
        <v>#DIV/0!</v>
      </c>
      <c r="N377" s="3" t="e">
        <f t="shared" si="163"/>
        <v>#DIV/0!</v>
      </c>
      <c r="O377" s="3" t="e">
        <f t="shared" si="176"/>
        <v>#DIV/0!</v>
      </c>
      <c r="P377" s="3">
        <f t="shared" si="164"/>
        <v>0</v>
      </c>
      <c r="Q377" s="3">
        <f t="shared" si="178"/>
        <v>0</v>
      </c>
      <c r="R377" s="3">
        <f t="shared" si="166"/>
        <v>0</v>
      </c>
      <c r="S377" s="3">
        <f t="shared" si="179"/>
        <v>0</v>
      </c>
      <c r="T377" s="3">
        <f t="shared" si="151"/>
        <v>0</v>
      </c>
      <c r="U377" s="3">
        <f t="shared" si="165"/>
        <v>0</v>
      </c>
      <c r="V377" s="3">
        <f t="shared" si="152"/>
        <v>0</v>
      </c>
      <c r="W377" s="3">
        <f t="shared" si="155"/>
        <v>0</v>
      </c>
      <c r="X377" s="3">
        <f t="shared" si="156"/>
        <v>0</v>
      </c>
      <c r="Y377" s="3">
        <f t="shared" si="157"/>
        <v>0</v>
      </c>
      <c r="Z377" s="3">
        <f t="shared" si="168"/>
        <v>0</v>
      </c>
      <c r="AA377" s="3">
        <f t="shared" si="169"/>
        <v>0</v>
      </c>
      <c r="AB377" s="3" t="e">
        <f t="shared" si="170"/>
        <v>#DIV/0!</v>
      </c>
      <c r="AC377" s="3" t="str">
        <f t="shared" si="171"/>
        <v/>
      </c>
      <c r="AD377" s="3">
        <f t="shared" si="158"/>
        <v>0</v>
      </c>
      <c r="AE377" s="3">
        <f t="shared" si="153"/>
        <v>0</v>
      </c>
      <c r="AF377" s="3">
        <f t="shared" si="159"/>
        <v>0</v>
      </c>
      <c r="AG377" s="3" t="e">
        <f>AF377 / SUM(F$2:F377)</f>
        <v>#DIV/0!</v>
      </c>
      <c r="AH377" s="3" t="e">
        <f t="shared" si="160"/>
        <v>#DIV/0!</v>
      </c>
      <c r="AI377" s="3">
        <f t="shared" si="161"/>
        <v>0</v>
      </c>
      <c r="AJ377" s="3" t="e">
        <f t="shared" si="162"/>
        <v>#DIV/0!</v>
      </c>
      <c r="AK377" s="3" t="e">
        <f t="shared" si="177"/>
        <v>#DIV/0!</v>
      </c>
    </row>
    <row r="378" spans="1:37" x14ac:dyDescent="0.3">
      <c r="A378" s="24">
        <v>0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f t="shared" si="150"/>
        <v>0</v>
      </c>
      <c r="H378" s="3">
        <f t="shared" si="167"/>
        <v>0</v>
      </c>
      <c r="I378" s="3">
        <f t="shared" si="172"/>
        <v>0</v>
      </c>
      <c r="J378" s="3">
        <f t="shared" si="173"/>
        <v>0</v>
      </c>
      <c r="K378" s="3">
        <f t="shared" si="174"/>
        <v>0</v>
      </c>
      <c r="L378" s="3">
        <f t="shared" si="175"/>
        <v>0</v>
      </c>
      <c r="M378" s="3" t="e">
        <f t="shared" si="154"/>
        <v>#DIV/0!</v>
      </c>
      <c r="N378" s="3" t="e">
        <f t="shared" si="163"/>
        <v>#DIV/0!</v>
      </c>
      <c r="O378" s="3" t="e">
        <f t="shared" si="176"/>
        <v>#DIV/0!</v>
      </c>
      <c r="P378" s="3">
        <f t="shared" si="164"/>
        <v>0</v>
      </c>
      <c r="Q378" s="3">
        <f t="shared" si="178"/>
        <v>0</v>
      </c>
      <c r="R378" s="3">
        <f t="shared" si="166"/>
        <v>0</v>
      </c>
      <c r="S378" s="3">
        <f t="shared" si="179"/>
        <v>0</v>
      </c>
      <c r="T378" s="3">
        <f t="shared" si="151"/>
        <v>0</v>
      </c>
      <c r="U378" s="3">
        <f t="shared" si="165"/>
        <v>0</v>
      </c>
      <c r="V378" s="3">
        <f t="shared" si="152"/>
        <v>0</v>
      </c>
      <c r="W378" s="3">
        <f t="shared" si="155"/>
        <v>0</v>
      </c>
      <c r="X378" s="3">
        <f t="shared" si="156"/>
        <v>0</v>
      </c>
      <c r="Y378" s="3">
        <f t="shared" si="157"/>
        <v>0</v>
      </c>
      <c r="Z378" s="3">
        <f t="shared" si="168"/>
        <v>0</v>
      </c>
      <c r="AA378" s="3">
        <f t="shared" si="169"/>
        <v>0</v>
      </c>
      <c r="AB378" s="3" t="e">
        <f t="shared" si="170"/>
        <v>#DIV/0!</v>
      </c>
      <c r="AC378" s="3" t="str">
        <f t="shared" si="171"/>
        <v/>
      </c>
      <c r="AD378" s="3">
        <f t="shared" si="158"/>
        <v>0</v>
      </c>
      <c r="AE378" s="3">
        <f t="shared" si="153"/>
        <v>0</v>
      </c>
      <c r="AF378" s="3">
        <f t="shared" si="159"/>
        <v>0</v>
      </c>
      <c r="AG378" s="3" t="e">
        <f>AF378 / SUM(F$2:F378)</f>
        <v>#DIV/0!</v>
      </c>
      <c r="AH378" s="3" t="e">
        <f t="shared" si="160"/>
        <v>#DIV/0!</v>
      </c>
      <c r="AI378" s="3">
        <f t="shared" si="161"/>
        <v>0</v>
      </c>
      <c r="AJ378" s="3" t="e">
        <f t="shared" si="162"/>
        <v>#DIV/0!</v>
      </c>
      <c r="AK378" s="3" t="e">
        <f t="shared" si="177"/>
        <v>#DIV/0!</v>
      </c>
    </row>
    <row r="379" spans="1:37" x14ac:dyDescent="0.3">
      <c r="A379" s="24">
        <v>0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f t="shared" si="150"/>
        <v>0</v>
      </c>
      <c r="H379" s="3">
        <f t="shared" si="167"/>
        <v>0</v>
      </c>
      <c r="I379" s="3">
        <f t="shared" si="172"/>
        <v>0</v>
      </c>
      <c r="J379" s="3">
        <f t="shared" si="173"/>
        <v>0</v>
      </c>
      <c r="K379" s="3">
        <f t="shared" si="174"/>
        <v>0</v>
      </c>
      <c r="L379" s="3">
        <f t="shared" si="175"/>
        <v>0</v>
      </c>
      <c r="M379" s="3" t="e">
        <f t="shared" si="154"/>
        <v>#DIV/0!</v>
      </c>
      <c r="N379" s="3" t="e">
        <f t="shared" si="163"/>
        <v>#DIV/0!</v>
      </c>
      <c r="O379" s="3" t="e">
        <f t="shared" si="176"/>
        <v>#DIV/0!</v>
      </c>
      <c r="P379" s="3">
        <f t="shared" si="164"/>
        <v>0</v>
      </c>
      <c r="Q379" s="3">
        <f t="shared" si="178"/>
        <v>0</v>
      </c>
      <c r="R379" s="3">
        <f t="shared" si="166"/>
        <v>0</v>
      </c>
      <c r="S379" s="3">
        <f t="shared" si="179"/>
        <v>0</v>
      </c>
      <c r="T379" s="3">
        <f t="shared" si="151"/>
        <v>0</v>
      </c>
      <c r="U379" s="3">
        <f t="shared" si="165"/>
        <v>0</v>
      </c>
      <c r="V379" s="3">
        <f t="shared" si="152"/>
        <v>0</v>
      </c>
      <c r="W379" s="3">
        <f t="shared" si="155"/>
        <v>0</v>
      </c>
      <c r="X379" s="3">
        <f t="shared" si="156"/>
        <v>0</v>
      </c>
      <c r="Y379" s="3">
        <f t="shared" si="157"/>
        <v>0</v>
      </c>
      <c r="Z379" s="3">
        <f t="shared" si="168"/>
        <v>0</v>
      </c>
      <c r="AA379" s="3">
        <f t="shared" si="169"/>
        <v>0</v>
      </c>
      <c r="AB379" s="3" t="e">
        <f t="shared" si="170"/>
        <v>#DIV/0!</v>
      </c>
      <c r="AC379" s="3" t="str">
        <f t="shared" si="171"/>
        <v/>
      </c>
      <c r="AD379" s="3">
        <f t="shared" si="158"/>
        <v>0</v>
      </c>
      <c r="AE379" s="3">
        <f t="shared" si="153"/>
        <v>0</v>
      </c>
      <c r="AF379" s="3">
        <f t="shared" si="159"/>
        <v>0</v>
      </c>
      <c r="AG379" s="3" t="e">
        <f>AF379 / SUM(F$2:F379)</f>
        <v>#DIV/0!</v>
      </c>
      <c r="AH379" s="3" t="e">
        <f t="shared" si="160"/>
        <v>#DIV/0!</v>
      </c>
      <c r="AI379" s="3">
        <f t="shared" si="161"/>
        <v>0</v>
      </c>
      <c r="AJ379" s="3" t="e">
        <f t="shared" si="162"/>
        <v>#DIV/0!</v>
      </c>
      <c r="AK379" s="3" t="e">
        <f t="shared" si="177"/>
        <v>#DIV/0!</v>
      </c>
    </row>
    <row r="380" spans="1:37" x14ac:dyDescent="0.3">
      <c r="A380" s="24">
        <v>0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f t="shared" si="150"/>
        <v>0</v>
      </c>
      <c r="H380" s="3">
        <f t="shared" si="167"/>
        <v>0</v>
      </c>
      <c r="I380" s="3">
        <f t="shared" si="172"/>
        <v>0</v>
      </c>
      <c r="J380" s="3">
        <f t="shared" si="173"/>
        <v>0</v>
      </c>
      <c r="K380" s="3">
        <f t="shared" si="174"/>
        <v>0</v>
      </c>
      <c r="L380" s="3">
        <f t="shared" si="175"/>
        <v>0</v>
      </c>
      <c r="M380" s="3" t="e">
        <f t="shared" si="154"/>
        <v>#DIV/0!</v>
      </c>
      <c r="N380" s="3" t="e">
        <f t="shared" si="163"/>
        <v>#DIV/0!</v>
      </c>
      <c r="O380" s="3" t="e">
        <f t="shared" si="176"/>
        <v>#DIV/0!</v>
      </c>
      <c r="P380" s="3">
        <f t="shared" si="164"/>
        <v>0</v>
      </c>
      <c r="Q380" s="3">
        <f t="shared" si="178"/>
        <v>0</v>
      </c>
      <c r="R380" s="3">
        <f t="shared" si="166"/>
        <v>0</v>
      </c>
      <c r="S380" s="3">
        <f t="shared" si="179"/>
        <v>0</v>
      </c>
      <c r="T380" s="3">
        <f t="shared" si="151"/>
        <v>0</v>
      </c>
      <c r="U380" s="3">
        <f t="shared" si="165"/>
        <v>0</v>
      </c>
      <c r="V380" s="3">
        <f t="shared" si="152"/>
        <v>0</v>
      </c>
      <c r="W380" s="3">
        <f t="shared" si="155"/>
        <v>0</v>
      </c>
      <c r="X380" s="3">
        <f t="shared" si="156"/>
        <v>0</v>
      </c>
      <c r="Y380" s="3">
        <f t="shared" si="157"/>
        <v>0</v>
      </c>
      <c r="Z380" s="3">
        <f t="shared" si="168"/>
        <v>0</v>
      </c>
      <c r="AA380" s="3">
        <f t="shared" si="169"/>
        <v>0</v>
      </c>
      <c r="AB380" s="3" t="e">
        <f t="shared" si="170"/>
        <v>#DIV/0!</v>
      </c>
      <c r="AC380" s="3" t="str">
        <f t="shared" si="171"/>
        <v/>
      </c>
      <c r="AD380" s="3">
        <f t="shared" si="158"/>
        <v>0</v>
      </c>
      <c r="AE380" s="3">
        <f t="shared" si="153"/>
        <v>0</v>
      </c>
      <c r="AF380" s="3">
        <f t="shared" si="159"/>
        <v>0</v>
      </c>
      <c r="AG380" s="3" t="e">
        <f>AF380 / SUM(F$2:F380)</f>
        <v>#DIV/0!</v>
      </c>
      <c r="AH380" s="3" t="e">
        <f t="shared" si="160"/>
        <v>#DIV/0!</v>
      </c>
      <c r="AI380" s="3">
        <f t="shared" si="161"/>
        <v>0</v>
      </c>
      <c r="AJ380" s="3" t="e">
        <f t="shared" si="162"/>
        <v>#DIV/0!</v>
      </c>
      <c r="AK380" s="3" t="e">
        <f t="shared" si="177"/>
        <v>#DIV/0!</v>
      </c>
    </row>
    <row r="381" spans="1:37" x14ac:dyDescent="0.3">
      <c r="A381" s="24">
        <v>0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f t="shared" si="150"/>
        <v>0</v>
      </c>
      <c r="H381" s="3">
        <f t="shared" si="167"/>
        <v>0</v>
      </c>
      <c r="I381" s="3">
        <f t="shared" si="172"/>
        <v>0</v>
      </c>
      <c r="J381" s="3">
        <f t="shared" si="173"/>
        <v>0</v>
      </c>
      <c r="K381" s="3">
        <f t="shared" si="174"/>
        <v>0</v>
      </c>
      <c r="L381" s="3">
        <f t="shared" si="175"/>
        <v>0</v>
      </c>
      <c r="M381" s="3" t="e">
        <f t="shared" si="154"/>
        <v>#DIV/0!</v>
      </c>
      <c r="N381" s="3" t="e">
        <f t="shared" si="163"/>
        <v>#DIV/0!</v>
      </c>
      <c r="O381" s="3" t="e">
        <f t="shared" si="176"/>
        <v>#DIV/0!</v>
      </c>
      <c r="P381" s="3">
        <f t="shared" si="164"/>
        <v>0</v>
      </c>
      <c r="Q381" s="3">
        <f t="shared" si="178"/>
        <v>0</v>
      </c>
      <c r="R381" s="3">
        <f t="shared" si="166"/>
        <v>0</v>
      </c>
      <c r="S381" s="3">
        <f t="shared" si="179"/>
        <v>0</v>
      </c>
      <c r="T381" s="3">
        <f t="shared" si="151"/>
        <v>0</v>
      </c>
      <c r="U381" s="3">
        <f t="shared" si="165"/>
        <v>0</v>
      </c>
      <c r="V381" s="3">
        <f t="shared" si="152"/>
        <v>0</v>
      </c>
      <c r="W381" s="3">
        <f t="shared" si="155"/>
        <v>0</v>
      </c>
      <c r="X381" s="3">
        <f t="shared" si="156"/>
        <v>0</v>
      </c>
      <c r="Y381" s="3">
        <f t="shared" si="157"/>
        <v>0</v>
      </c>
      <c r="Z381" s="3">
        <f t="shared" si="168"/>
        <v>0</v>
      </c>
      <c r="AA381" s="3">
        <f t="shared" si="169"/>
        <v>0</v>
      </c>
      <c r="AB381" s="3" t="e">
        <f t="shared" si="170"/>
        <v>#DIV/0!</v>
      </c>
      <c r="AC381" s="3" t="str">
        <f t="shared" si="171"/>
        <v/>
      </c>
      <c r="AD381" s="3">
        <f t="shared" si="158"/>
        <v>0</v>
      </c>
      <c r="AE381" s="3">
        <f t="shared" si="153"/>
        <v>0</v>
      </c>
      <c r="AF381" s="3">
        <f t="shared" si="159"/>
        <v>0</v>
      </c>
      <c r="AG381" s="3" t="e">
        <f>AF381 / SUM(F$2:F381)</f>
        <v>#DIV/0!</v>
      </c>
      <c r="AH381" s="3" t="e">
        <f t="shared" si="160"/>
        <v>#DIV/0!</v>
      </c>
      <c r="AI381" s="3">
        <f t="shared" si="161"/>
        <v>0</v>
      </c>
      <c r="AJ381" s="3" t="e">
        <f t="shared" si="162"/>
        <v>#DIV/0!</v>
      </c>
      <c r="AK381" s="3" t="e">
        <f t="shared" si="177"/>
        <v>#DIV/0!</v>
      </c>
    </row>
    <row r="382" spans="1:37" x14ac:dyDescent="0.3">
      <c r="A382" s="24">
        <v>0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f t="shared" si="150"/>
        <v>0</v>
      </c>
      <c r="H382" s="3">
        <f t="shared" si="167"/>
        <v>0</v>
      </c>
      <c r="I382" s="3">
        <f t="shared" si="172"/>
        <v>0</v>
      </c>
      <c r="J382" s="3">
        <f t="shared" si="173"/>
        <v>0</v>
      </c>
      <c r="K382" s="3">
        <f t="shared" si="174"/>
        <v>0</v>
      </c>
      <c r="L382" s="3">
        <f t="shared" si="175"/>
        <v>0</v>
      </c>
      <c r="M382" s="3" t="e">
        <f t="shared" si="154"/>
        <v>#DIV/0!</v>
      </c>
      <c r="N382" s="3" t="e">
        <f t="shared" si="163"/>
        <v>#DIV/0!</v>
      </c>
      <c r="O382" s="3" t="e">
        <f t="shared" si="176"/>
        <v>#DIV/0!</v>
      </c>
      <c r="P382" s="3">
        <f t="shared" si="164"/>
        <v>0</v>
      </c>
      <c r="Q382" s="3">
        <f t="shared" si="178"/>
        <v>0</v>
      </c>
      <c r="R382" s="3">
        <f t="shared" si="166"/>
        <v>0</v>
      </c>
      <c r="S382" s="3">
        <f t="shared" si="179"/>
        <v>0</v>
      </c>
      <c r="T382" s="3">
        <f t="shared" si="151"/>
        <v>0</v>
      </c>
      <c r="U382" s="3">
        <f t="shared" si="165"/>
        <v>0</v>
      </c>
      <c r="V382" s="3">
        <f t="shared" si="152"/>
        <v>0</v>
      </c>
      <c r="W382" s="3">
        <f t="shared" si="155"/>
        <v>0</v>
      </c>
      <c r="X382" s="3">
        <f t="shared" si="156"/>
        <v>0</v>
      </c>
      <c r="Y382" s="3">
        <f t="shared" si="157"/>
        <v>0</v>
      </c>
      <c r="Z382" s="3">
        <f t="shared" si="168"/>
        <v>0</v>
      </c>
      <c r="AA382" s="3">
        <f t="shared" si="169"/>
        <v>0</v>
      </c>
      <c r="AB382" s="3" t="e">
        <f t="shared" si="170"/>
        <v>#DIV/0!</v>
      </c>
      <c r="AC382" s="3" t="str">
        <f t="shared" si="171"/>
        <v/>
      </c>
      <c r="AD382" s="3">
        <f t="shared" si="158"/>
        <v>0</v>
      </c>
      <c r="AE382" s="3">
        <f t="shared" si="153"/>
        <v>0</v>
      </c>
      <c r="AF382" s="3">
        <f t="shared" si="159"/>
        <v>0</v>
      </c>
      <c r="AG382" s="3" t="e">
        <f>AF382 / SUM(F$2:F382)</f>
        <v>#DIV/0!</v>
      </c>
      <c r="AH382" s="3" t="e">
        <f t="shared" si="160"/>
        <v>#DIV/0!</v>
      </c>
      <c r="AI382" s="3">
        <f t="shared" si="161"/>
        <v>0</v>
      </c>
      <c r="AJ382" s="3" t="e">
        <f t="shared" si="162"/>
        <v>#DIV/0!</v>
      </c>
      <c r="AK382" s="3" t="e">
        <f t="shared" si="177"/>
        <v>#DIV/0!</v>
      </c>
    </row>
    <row r="383" spans="1:37" x14ac:dyDescent="0.3">
      <c r="A383" s="24">
        <v>0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f t="shared" si="150"/>
        <v>0</v>
      </c>
      <c r="H383" s="3">
        <f t="shared" si="167"/>
        <v>0</v>
      </c>
      <c r="I383" s="3">
        <f t="shared" si="172"/>
        <v>0</v>
      </c>
      <c r="J383" s="3">
        <f t="shared" si="173"/>
        <v>0</v>
      </c>
      <c r="K383" s="3">
        <f t="shared" si="174"/>
        <v>0</v>
      </c>
      <c r="L383" s="3">
        <f t="shared" si="175"/>
        <v>0</v>
      </c>
      <c r="M383" s="3" t="e">
        <f t="shared" si="154"/>
        <v>#DIV/0!</v>
      </c>
      <c r="N383" s="3" t="e">
        <f t="shared" si="163"/>
        <v>#DIV/0!</v>
      </c>
      <c r="O383" s="3" t="e">
        <f t="shared" si="176"/>
        <v>#DIV/0!</v>
      </c>
      <c r="P383" s="3">
        <f t="shared" si="164"/>
        <v>0</v>
      </c>
      <c r="Q383" s="3">
        <f t="shared" si="178"/>
        <v>0</v>
      </c>
      <c r="R383" s="3">
        <f t="shared" si="166"/>
        <v>0</v>
      </c>
      <c r="S383" s="3">
        <f t="shared" si="179"/>
        <v>0</v>
      </c>
      <c r="T383" s="3">
        <f t="shared" si="151"/>
        <v>0</v>
      </c>
      <c r="U383" s="3">
        <f t="shared" si="165"/>
        <v>0</v>
      </c>
      <c r="V383" s="3">
        <f t="shared" si="152"/>
        <v>0</v>
      </c>
      <c r="W383" s="3">
        <f t="shared" si="155"/>
        <v>0</v>
      </c>
      <c r="X383" s="3">
        <f t="shared" si="156"/>
        <v>0</v>
      </c>
      <c r="Y383" s="3">
        <f t="shared" si="157"/>
        <v>0</v>
      </c>
      <c r="Z383" s="3">
        <f t="shared" si="168"/>
        <v>0</v>
      </c>
      <c r="AA383" s="3">
        <f t="shared" si="169"/>
        <v>0</v>
      </c>
      <c r="AB383" s="3" t="e">
        <f t="shared" si="170"/>
        <v>#DIV/0!</v>
      </c>
      <c r="AC383" s="3" t="str">
        <f t="shared" si="171"/>
        <v/>
      </c>
      <c r="AD383" s="3">
        <f t="shared" si="158"/>
        <v>0</v>
      </c>
      <c r="AE383" s="3">
        <f t="shared" si="153"/>
        <v>0</v>
      </c>
      <c r="AF383" s="3">
        <f t="shared" si="159"/>
        <v>0</v>
      </c>
      <c r="AG383" s="3" t="e">
        <f>AF383 / SUM(F$2:F383)</f>
        <v>#DIV/0!</v>
      </c>
      <c r="AH383" s="3" t="e">
        <f t="shared" si="160"/>
        <v>#DIV/0!</v>
      </c>
      <c r="AI383" s="3">
        <f t="shared" si="161"/>
        <v>0</v>
      </c>
      <c r="AJ383" s="3" t="e">
        <f t="shared" si="162"/>
        <v>#DIV/0!</v>
      </c>
      <c r="AK383" s="3" t="e">
        <f t="shared" si="177"/>
        <v>#DIV/0!</v>
      </c>
    </row>
    <row r="384" spans="1:37" x14ac:dyDescent="0.3">
      <c r="A384" s="24">
        <v>0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f t="shared" si="150"/>
        <v>0</v>
      </c>
      <c r="H384" s="3">
        <f t="shared" si="167"/>
        <v>0</v>
      </c>
      <c r="I384" s="3">
        <f t="shared" si="172"/>
        <v>0</v>
      </c>
      <c r="J384" s="3">
        <f t="shared" si="173"/>
        <v>0</v>
      </c>
      <c r="K384" s="3">
        <f t="shared" si="174"/>
        <v>0</v>
      </c>
      <c r="L384" s="3">
        <f t="shared" si="175"/>
        <v>0</v>
      </c>
      <c r="M384" s="3" t="e">
        <f t="shared" si="154"/>
        <v>#DIV/0!</v>
      </c>
      <c r="N384" s="3" t="e">
        <f t="shared" si="163"/>
        <v>#DIV/0!</v>
      </c>
      <c r="O384" s="3" t="e">
        <f t="shared" si="176"/>
        <v>#DIV/0!</v>
      </c>
      <c r="P384" s="3">
        <f t="shared" si="164"/>
        <v>0</v>
      </c>
      <c r="Q384" s="3">
        <f t="shared" si="178"/>
        <v>0</v>
      </c>
      <c r="R384" s="3">
        <f t="shared" si="166"/>
        <v>0</v>
      </c>
      <c r="S384" s="3">
        <f t="shared" si="179"/>
        <v>0</v>
      </c>
      <c r="T384" s="3">
        <f t="shared" si="151"/>
        <v>0</v>
      </c>
      <c r="U384" s="3">
        <f t="shared" si="165"/>
        <v>0</v>
      </c>
      <c r="V384" s="3">
        <f t="shared" si="152"/>
        <v>0</v>
      </c>
      <c r="W384" s="3">
        <f t="shared" si="155"/>
        <v>0</v>
      </c>
      <c r="X384" s="3">
        <f t="shared" si="156"/>
        <v>0</v>
      </c>
      <c r="Y384" s="3">
        <f t="shared" si="157"/>
        <v>0</v>
      </c>
      <c r="Z384" s="3">
        <f t="shared" si="168"/>
        <v>0</v>
      </c>
      <c r="AA384" s="3">
        <f t="shared" si="169"/>
        <v>0</v>
      </c>
      <c r="AB384" s="3" t="e">
        <f t="shared" si="170"/>
        <v>#DIV/0!</v>
      </c>
      <c r="AC384" s="3" t="str">
        <f t="shared" si="171"/>
        <v/>
      </c>
      <c r="AD384" s="3">
        <f t="shared" si="158"/>
        <v>0</v>
      </c>
      <c r="AE384" s="3">
        <f t="shared" si="153"/>
        <v>0</v>
      </c>
      <c r="AF384" s="3">
        <f t="shared" si="159"/>
        <v>0</v>
      </c>
      <c r="AG384" s="3" t="e">
        <f>AF384 / SUM(F$2:F384)</f>
        <v>#DIV/0!</v>
      </c>
      <c r="AH384" s="3" t="e">
        <f t="shared" si="160"/>
        <v>#DIV/0!</v>
      </c>
      <c r="AI384" s="3">
        <f t="shared" si="161"/>
        <v>0</v>
      </c>
      <c r="AJ384" s="3" t="e">
        <f t="shared" si="162"/>
        <v>#DIV/0!</v>
      </c>
      <c r="AK384" s="3" t="e">
        <f t="shared" si="177"/>
        <v>#DIV/0!</v>
      </c>
    </row>
    <row r="385" spans="1:37" x14ac:dyDescent="0.3">
      <c r="A385" s="24">
        <v>0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f t="shared" si="150"/>
        <v>0</v>
      </c>
      <c r="H385" s="3">
        <f t="shared" si="167"/>
        <v>0</v>
      </c>
      <c r="I385" s="3">
        <f t="shared" si="172"/>
        <v>0</v>
      </c>
      <c r="J385" s="3">
        <f t="shared" si="173"/>
        <v>0</v>
      </c>
      <c r="K385" s="3">
        <f t="shared" si="174"/>
        <v>0</v>
      </c>
      <c r="L385" s="3">
        <f t="shared" si="175"/>
        <v>0</v>
      </c>
      <c r="M385" s="3" t="e">
        <f t="shared" si="154"/>
        <v>#DIV/0!</v>
      </c>
      <c r="N385" s="3" t="e">
        <f t="shared" si="163"/>
        <v>#DIV/0!</v>
      </c>
      <c r="O385" s="3" t="e">
        <f t="shared" si="176"/>
        <v>#DIV/0!</v>
      </c>
      <c r="P385" s="3">
        <f t="shared" si="164"/>
        <v>0</v>
      </c>
      <c r="Q385" s="3">
        <f t="shared" si="178"/>
        <v>0</v>
      </c>
      <c r="R385" s="3">
        <f t="shared" si="166"/>
        <v>0</v>
      </c>
      <c r="S385" s="3">
        <f t="shared" si="179"/>
        <v>0</v>
      </c>
      <c r="T385" s="3">
        <f t="shared" si="151"/>
        <v>0</v>
      </c>
      <c r="U385" s="3">
        <f t="shared" si="165"/>
        <v>0</v>
      </c>
      <c r="V385" s="3">
        <f t="shared" si="152"/>
        <v>0</v>
      </c>
      <c r="W385" s="3">
        <f t="shared" si="155"/>
        <v>0</v>
      </c>
      <c r="X385" s="3">
        <f t="shared" si="156"/>
        <v>0</v>
      </c>
      <c r="Y385" s="3">
        <f t="shared" si="157"/>
        <v>0</v>
      </c>
      <c r="Z385" s="3">
        <f t="shared" si="168"/>
        <v>0</v>
      </c>
      <c r="AA385" s="3">
        <f t="shared" si="169"/>
        <v>0</v>
      </c>
      <c r="AB385" s="3" t="e">
        <f t="shared" si="170"/>
        <v>#DIV/0!</v>
      </c>
      <c r="AC385" s="3" t="str">
        <f t="shared" si="171"/>
        <v/>
      </c>
      <c r="AD385" s="3">
        <f t="shared" si="158"/>
        <v>0</v>
      </c>
      <c r="AE385" s="3">
        <f t="shared" si="153"/>
        <v>0</v>
      </c>
      <c r="AF385" s="3">
        <f t="shared" si="159"/>
        <v>0</v>
      </c>
      <c r="AG385" s="3" t="e">
        <f>AF385 / SUM(F$2:F385)</f>
        <v>#DIV/0!</v>
      </c>
      <c r="AH385" s="3" t="e">
        <f t="shared" si="160"/>
        <v>#DIV/0!</v>
      </c>
      <c r="AI385" s="3">
        <f t="shared" si="161"/>
        <v>0</v>
      </c>
      <c r="AJ385" s="3" t="e">
        <f t="shared" si="162"/>
        <v>#DIV/0!</v>
      </c>
      <c r="AK385" s="3" t="e">
        <f t="shared" si="177"/>
        <v>#DIV/0!</v>
      </c>
    </row>
    <row r="386" spans="1:37" x14ac:dyDescent="0.3">
      <c r="A386" s="24">
        <v>0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f t="shared" si="150"/>
        <v>0</v>
      </c>
      <c r="H386" s="3">
        <f t="shared" si="167"/>
        <v>0</v>
      </c>
      <c r="I386" s="3">
        <f t="shared" si="172"/>
        <v>0</v>
      </c>
      <c r="J386" s="3">
        <f t="shared" si="173"/>
        <v>0</v>
      </c>
      <c r="K386" s="3">
        <f t="shared" si="174"/>
        <v>0</v>
      </c>
      <c r="L386" s="3">
        <f t="shared" si="175"/>
        <v>0</v>
      </c>
      <c r="M386" s="3" t="e">
        <f t="shared" si="154"/>
        <v>#DIV/0!</v>
      </c>
      <c r="N386" s="3" t="e">
        <f t="shared" si="163"/>
        <v>#DIV/0!</v>
      </c>
      <c r="O386" s="3" t="e">
        <f t="shared" si="176"/>
        <v>#DIV/0!</v>
      </c>
      <c r="P386" s="3">
        <f t="shared" si="164"/>
        <v>0</v>
      </c>
      <c r="Q386" s="3">
        <f t="shared" si="178"/>
        <v>0</v>
      </c>
      <c r="R386" s="3">
        <f t="shared" si="166"/>
        <v>0</v>
      </c>
      <c r="S386" s="3">
        <f t="shared" si="179"/>
        <v>0</v>
      </c>
      <c r="T386" s="3">
        <f t="shared" si="151"/>
        <v>0</v>
      </c>
      <c r="U386" s="3">
        <f t="shared" si="165"/>
        <v>0</v>
      </c>
      <c r="V386" s="3">
        <f t="shared" si="152"/>
        <v>0</v>
      </c>
      <c r="W386" s="3">
        <f t="shared" si="155"/>
        <v>0</v>
      </c>
      <c r="X386" s="3">
        <f t="shared" si="156"/>
        <v>0</v>
      </c>
      <c r="Y386" s="3">
        <f t="shared" si="157"/>
        <v>0</v>
      </c>
      <c r="Z386" s="3">
        <f t="shared" si="168"/>
        <v>0</v>
      </c>
      <c r="AA386" s="3">
        <f t="shared" si="169"/>
        <v>0</v>
      </c>
      <c r="AB386" s="3" t="e">
        <f t="shared" si="170"/>
        <v>#DIV/0!</v>
      </c>
      <c r="AC386" s="3" t="str">
        <f t="shared" si="171"/>
        <v/>
      </c>
      <c r="AD386" s="3">
        <f t="shared" si="158"/>
        <v>0</v>
      </c>
      <c r="AE386" s="3">
        <f t="shared" si="153"/>
        <v>0</v>
      </c>
      <c r="AF386" s="3">
        <f t="shared" si="159"/>
        <v>0</v>
      </c>
      <c r="AG386" s="3" t="e">
        <f>AF386 / SUM(F$2:F386)</f>
        <v>#DIV/0!</v>
      </c>
      <c r="AH386" s="3" t="e">
        <f t="shared" si="160"/>
        <v>#DIV/0!</v>
      </c>
      <c r="AI386" s="3">
        <f t="shared" si="161"/>
        <v>0</v>
      </c>
      <c r="AJ386" s="3" t="e">
        <f t="shared" si="162"/>
        <v>#DIV/0!</v>
      </c>
      <c r="AK386" s="3" t="e">
        <f t="shared" si="177"/>
        <v>#DIV/0!</v>
      </c>
    </row>
    <row r="387" spans="1:37" x14ac:dyDescent="0.3">
      <c r="A387" s="24">
        <v>0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f t="shared" ref="G387:G450" si="180">MAX(C387-D387, ABS(C387-E388), ABS(D387-E388))</f>
        <v>0</v>
      </c>
      <c r="H387" s="3">
        <f t="shared" si="167"/>
        <v>0</v>
      </c>
      <c r="I387" s="3">
        <f t="shared" si="172"/>
        <v>0</v>
      </c>
      <c r="J387" s="3">
        <f t="shared" si="173"/>
        <v>0</v>
      </c>
      <c r="K387" s="3">
        <f t="shared" si="174"/>
        <v>0</v>
      </c>
      <c r="L387" s="3">
        <f t="shared" si="175"/>
        <v>0</v>
      </c>
      <c r="M387" s="3" t="e">
        <f t="shared" si="154"/>
        <v>#DIV/0!</v>
      </c>
      <c r="N387" s="3" t="e">
        <f t="shared" si="163"/>
        <v>#DIV/0!</v>
      </c>
      <c r="O387" s="3" t="e">
        <f t="shared" si="176"/>
        <v>#DIV/0!</v>
      </c>
      <c r="P387" s="3">
        <f t="shared" si="164"/>
        <v>0</v>
      </c>
      <c r="Q387" s="3">
        <f t="shared" si="178"/>
        <v>0</v>
      </c>
      <c r="R387" s="3">
        <f t="shared" si="166"/>
        <v>0</v>
      </c>
      <c r="S387" s="3">
        <f t="shared" si="179"/>
        <v>0</v>
      </c>
      <c r="T387" s="3">
        <f t="shared" ref="T387:T450" si="181">R387 - S387</f>
        <v>0</v>
      </c>
      <c r="U387" s="3">
        <f t="shared" si="165"/>
        <v>0</v>
      </c>
      <c r="V387" s="3">
        <f t="shared" ref="V387:V450" si="182">T387 - U387</f>
        <v>0</v>
      </c>
      <c r="W387" s="3">
        <f t="shared" si="155"/>
        <v>0</v>
      </c>
      <c r="X387" s="3">
        <f t="shared" si="156"/>
        <v>0</v>
      </c>
      <c r="Y387" s="3">
        <f t="shared" si="157"/>
        <v>0</v>
      </c>
      <c r="Z387" s="3">
        <f t="shared" si="168"/>
        <v>0</v>
      </c>
      <c r="AA387" s="3">
        <f t="shared" si="169"/>
        <v>0</v>
      </c>
      <c r="AB387" s="3" t="e">
        <f t="shared" si="170"/>
        <v>#DIV/0!</v>
      </c>
      <c r="AC387" s="3" t="str">
        <f t="shared" si="171"/>
        <v/>
      </c>
      <c r="AD387" s="3">
        <f t="shared" si="158"/>
        <v>0</v>
      </c>
      <c r="AE387" s="3">
        <f t="shared" ref="AE387:AE450" si="183">(C387+D387+E387)/3</f>
        <v>0</v>
      </c>
      <c r="AF387" s="3">
        <f t="shared" si="159"/>
        <v>0</v>
      </c>
      <c r="AG387" s="3" t="e">
        <f>AF387 / SUM(F$2:F387)</f>
        <v>#DIV/0!</v>
      </c>
      <c r="AH387" s="3" t="e">
        <f t="shared" si="160"/>
        <v>#DIV/0!</v>
      </c>
      <c r="AI387" s="3">
        <f t="shared" si="161"/>
        <v>0</v>
      </c>
      <c r="AJ387" s="3" t="e">
        <f t="shared" si="162"/>
        <v>#DIV/0!</v>
      </c>
      <c r="AK387" s="3" t="e">
        <f t="shared" si="177"/>
        <v>#DIV/0!</v>
      </c>
    </row>
    <row r="388" spans="1:37" x14ac:dyDescent="0.3">
      <c r="A388" s="24">
        <v>0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f t="shared" si="180"/>
        <v>0</v>
      </c>
      <c r="H388" s="3">
        <f t="shared" si="167"/>
        <v>0</v>
      </c>
      <c r="I388" s="3">
        <f t="shared" si="172"/>
        <v>0</v>
      </c>
      <c r="J388" s="3">
        <f t="shared" si="173"/>
        <v>0</v>
      </c>
      <c r="K388" s="3">
        <f t="shared" si="174"/>
        <v>0</v>
      </c>
      <c r="L388" s="3">
        <f t="shared" si="175"/>
        <v>0</v>
      </c>
      <c r="M388" s="3" t="e">
        <f t="shared" ref="M388:M451" si="184">LN(E387/E388)</f>
        <v>#DIV/0!</v>
      </c>
      <c r="N388" s="3" t="e">
        <f t="shared" si="163"/>
        <v>#DIV/0!</v>
      </c>
      <c r="O388" s="3" t="e">
        <f t="shared" si="176"/>
        <v>#DIV/0!</v>
      </c>
      <c r="P388" s="3">
        <f t="shared" si="164"/>
        <v>0</v>
      </c>
      <c r="Q388" s="3">
        <f t="shared" si="178"/>
        <v>0</v>
      </c>
      <c r="R388" s="3">
        <f t="shared" si="166"/>
        <v>0</v>
      </c>
      <c r="S388" s="3">
        <f t="shared" si="179"/>
        <v>0</v>
      </c>
      <c r="T388" s="3">
        <f t="shared" si="181"/>
        <v>0</v>
      </c>
      <c r="U388" s="3">
        <f t="shared" si="165"/>
        <v>0</v>
      </c>
      <c r="V388" s="3">
        <f t="shared" si="182"/>
        <v>0</v>
      </c>
      <c r="W388" s="3">
        <f t="shared" ref="W388:W451" si="185">E387-E388</f>
        <v>0</v>
      </c>
      <c r="X388" s="3">
        <f t="shared" ref="X388:X451" si="186">MAX(W388,0)</f>
        <v>0</v>
      </c>
      <c r="Y388" s="3">
        <f t="shared" ref="Y388:Y451" si="187">MAX(-W388,0)</f>
        <v>0</v>
      </c>
      <c r="Z388" s="3">
        <f t="shared" si="168"/>
        <v>0</v>
      </c>
      <c r="AA388" s="3">
        <f t="shared" si="169"/>
        <v>0</v>
      </c>
      <c r="AB388" s="3" t="e">
        <f t="shared" si="170"/>
        <v>#DIV/0!</v>
      </c>
      <c r="AC388" s="3" t="str">
        <f t="shared" si="171"/>
        <v/>
      </c>
      <c r="AD388" s="3">
        <f t="shared" ref="AD388:AD451" si="188">IF(E387&gt;E388,AD387+F387,IF(E387&lt;E388,AD387-F387,AD387))</f>
        <v>0</v>
      </c>
      <c r="AE388" s="3">
        <f t="shared" si="183"/>
        <v>0</v>
      </c>
      <c r="AF388" s="3">
        <f t="shared" ref="AF388:AF451" si="189">AF387 + AE388*F388</f>
        <v>0</v>
      </c>
      <c r="AG388" s="3" t="e">
        <f>AF388 / SUM(F$2:F388)</f>
        <v>#DIV/0!</v>
      </c>
      <c r="AH388" s="3" t="e">
        <f t="shared" ref="AH388:AH451" si="190">(E387-E388)/E388</f>
        <v>#DIV/0!</v>
      </c>
      <c r="AI388" s="3">
        <f t="shared" ref="AI388:AI451" si="191">MAX(AI387,E388)</f>
        <v>0</v>
      </c>
      <c r="AJ388" s="3" t="e">
        <f t="shared" ref="AJ388:AJ451" si="192">(E388-AI388)/AI388</f>
        <v>#DIV/0!</v>
      </c>
      <c r="AK388" s="3" t="e">
        <f t="shared" si="177"/>
        <v>#DIV/0!</v>
      </c>
    </row>
    <row r="389" spans="1:37" x14ac:dyDescent="0.3">
      <c r="A389" s="24">
        <v>0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f t="shared" si="180"/>
        <v>0</v>
      </c>
      <c r="H389" s="3">
        <f t="shared" si="167"/>
        <v>0</v>
      </c>
      <c r="I389" s="3">
        <f t="shared" si="172"/>
        <v>0</v>
      </c>
      <c r="J389" s="3">
        <f t="shared" si="173"/>
        <v>0</v>
      </c>
      <c r="K389" s="3">
        <f t="shared" si="174"/>
        <v>0</v>
      </c>
      <c r="L389" s="3">
        <f t="shared" si="175"/>
        <v>0</v>
      </c>
      <c r="M389" s="3" t="e">
        <f t="shared" si="184"/>
        <v>#DIV/0!</v>
      </c>
      <c r="N389" s="3" t="e">
        <f t="shared" si="163"/>
        <v>#DIV/0!</v>
      </c>
      <c r="O389" s="3" t="e">
        <f t="shared" si="176"/>
        <v>#DIV/0!</v>
      </c>
      <c r="P389" s="3">
        <f t="shared" si="164"/>
        <v>0</v>
      </c>
      <c r="Q389" s="3">
        <f t="shared" si="178"/>
        <v>0</v>
      </c>
      <c r="R389" s="3">
        <f t="shared" si="166"/>
        <v>0</v>
      </c>
      <c r="S389" s="3">
        <f t="shared" si="179"/>
        <v>0</v>
      </c>
      <c r="T389" s="3">
        <f t="shared" si="181"/>
        <v>0</v>
      </c>
      <c r="U389" s="3">
        <f t="shared" si="165"/>
        <v>0</v>
      </c>
      <c r="V389" s="3">
        <f t="shared" si="182"/>
        <v>0</v>
      </c>
      <c r="W389" s="3">
        <f t="shared" si="185"/>
        <v>0</v>
      </c>
      <c r="X389" s="3">
        <f t="shared" si="186"/>
        <v>0</v>
      </c>
      <c r="Y389" s="3">
        <f t="shared" si="187"/>
        <v>0</v>
      </c>
      <c r="Z389" s="3">
        <f t="shared" si="168"/>
        <v>0</v>
      </c>
      <c r="AA389" s="3">
        <f t="shared" si="169"/>
        <v>0</v>
      </c>
      <c r="AB389" s="3" t="e">
        <f t="shared" si="170"/>
        <v>#DIV/0!</v>
      </c>
      <c r="AC389" s="3" t="str">
        <f t="shared" si="171"/>
        <v/>
      </c>
      <c r="AD389" s="3">
        <f t="shared" si="188"/>
        <v>0</v>
      </c>
      <c r="AE389" s="3">
        <f t="shared" si="183"/>
        <v>0</v>
      </c>
      <c r="AF389" s="3">
        <f t="shared" si="189"/>
        <v>0</v>
      </c>
      <c r="AG389" s="3" t="e">
        <f>AF389 / SUM(F$2:F389)</f>
        <v>#DIV/0!</v>
      </c>
      <c r="AH389" s="3" t="e">
        <f t="shared" si="190"/>
        <v>#DIV/0!</v>
      </c>
      <c r="AI389" s="3">
        <f t="shared" si="191"/>
        <v>0</v>
      </c>
      <c r="AJ389" s="3" t="e">
        <f t="shared" si="192"/>
        <v>#DIV/0!</v>
      </c>
      <c r="AK389" s="3" t="e">
        <f t="shared" si="177"/>
        <v>#DIV/0!</v>
      </c>
    </row>
    <row r="390" spans="1:37" x14ac:dyDescent="0.3">
      <c r="A390" s="24">
        <v>0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f t="shared" si="180"/>
        <v>0</v>
      </c>
      <c r="H390" s="3">
        <f t="shared" si="167"/>
        <v>0</v>
      </c>
      <c r="I390" s="3">
        <f t="shared" si="172"/>
        <v>0</v>
      </c>
      <c r="J390" s="3">
        <f t="shared" si="173"/>
        <v>0</v>
      </c>
      <c r="K390" s="3">
        <f t="shared" si="174"/>
        <v>0</v>
      </c>
      <c r="L390" s="3">
        <f t="shared" si="175"/>
        <v>0</v>
      </c>
      <c r="M390" s="3" t="e">
        <f t="shared" si="184"/>
        <v>#DIV/0!</v>
      </c>
      <c r="N390" s="3" t="e">
        <f t="shared" si="163"/>
        <v>#DIV/0!</v>
      </c>
      <c r="O390" s="3" t="e">
        <f t="shared" si="176"/>
        <v>#DIV/0!</v>
      </c>
      <c r="P390" s="3">
        <f t="shared" si="164"/>
        <v>0</v>
      </c>
      <c r="Q390" s="3">
        <f t="shared" si="178"/>
        <v>0</v>
      </c>
      <c r="R390" s="3">
        <f t="shared" si="166"/>
        <v>0</v>
      </c>
      <c r="S390" s="3">
        <f t="shared" si="179"/>
        <v>0</v>
      </c>
      <c r="T390" s="3">
        <f t="shared" si="181"/>
        <v>0</v>
      </c>
      <c r="U390" s="3">
        <f t="shared" si="165"/>
        <v>0</v>
      </c>
      <c r="V390" s="3">
        <f t="shared" si="182"/>
        <v>0</v>
      </c>
      <c r="W390" s="3">
        <f t="shared" si="185"/>
        <v>0</v>
      </c>
      <c r="X390" s="3">
        <f t="shared" si="186"/>
        <v>0</v>
      </c>
      <c r="Y390" s="3">
        <f t="shared" si="187"/>
        <v>0</v>
      </c>
      <c r="Z390" s="3">
        <f t="shared" si="168"/>
        <v>0</v>
      </c>
      <c r="AA390" s="3">
        <f t="shared" si="169"/>
        <v>0</v>
      </c>
      <c r="AB390" s="3" t="e">
        <f t="shared" si="170"/>
        <v>#DIV/0!</v>
      </c>
      <c r="AC390" s="3" t="str">
        <f t="shared" si="171"/>
        <v/>
      </c>
      <c r="AD390" s="3">
        <f t="shared" si="188"/>
        <v>0</v>
      </c>
      <c r="AE390" s="3">
        <f t="shared" si="183"/>
        <v>0</v>
      </c>
      <c r="AF390" s="3">
        <f t="shared" si="189"/>
        <v>0</v>
      </c>
      <c r="AG390" s="3" t="e">
        <f>AF390 / SUM(F$2:F390)</f>
        <v>#DIV/0!</v>
      </c>
      <c r="AH390" s="3" t="e">
        <f t="shared" si="190"/>
        <v>#DIV/0!</v>
      </c>
      <c r="AI390" s="3">
        <f t="shared" si="191"/>
        <v>0</v>
      </c>
      <c r="AJ390" s="3" t="e">
        <f t="shared" si="192"/>
        <v>#DIV/0!</v>
      </c>
      <c r="AK390" s="3" t="e">
        <f t="shared" si="177"/>
        <v>#DIV/0!</v>
      </c>
    </row>
    <row r="391" spans="1:37" x14ac:dyDescent="0.3">
      <c r="A391" s="24">
        <v>0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f t="shared" si="180"/>
        <v>0</v>
      </c>
      <c r="H391" s="3">
        <f t="shared" si="167"/>
        <v>0</v>
      </c>
      <c r="I391" s="3">
        <f t="shared" si="172"/>
        <v>0</v>
      </c>
      <c r="J391" s="3">
        <f t="shared" si="173"/>
        <v>0</v>
      </c>
      <c r="K391" s="3">
        <f t="shared" si="174"/>
        <v>0</v>
      </c>
      <c r="L391" s="3">
        <f t="shared" si="175"/>
        <v>0</v>
      </c>
      <c r="M391" s="3" t="e">
        <f t="shared" si="184"/>
        <v>#DIV/0!</v>
      </c>
      <c r="N391" s="3" t="e">
        <f t="shared" si="163"/>
        <v>#DIV/0!</v>
      </c>
      <c r="O391" s="3" t="e">
        <f t="shared" si="176"/>
        <v>#DIV/0!</v>
      </c>
      <c r="P391" s="3">
        <f t="shared" si="164"/>
        <v>0</v>
      </c>
      <c r="Q391" s="3">
        <f t="shared" si="178"/>
        <v>0</v>
      </c>
      <c r="R391" s="3">
        <f t="shared" si="166"/>
        <v>0</v>
      </c>
      <c r="S391" s="3">
        <f t="shared" si="179"/>
        <v>0</v>
      </c>
      <c r="T391" s="3">
        <f t="shared" si="181"/>
        <v>0</v>
      </c>
      <c r="U391" s="3">
        <f t="shared" si="165"/>
        <v>0</v>
      </c>
      <c r="V391" s="3">
        <f t="shared" si="182"/>
        <v>0</v>
      </c>
      <c r="W391" s="3">
        <f t="shared" si="185"/>
        <v>0</v>
      </c>
      <c r="X391" s="3">
        <f t="shared" si="186"/>
        <v>0</v>
      </c>
      <c r="Y391" s="3">
        <f t="shared" si="187"/>
        <v>0</v>
      </c>
      <c r="Z391" s="3">
        <f t="shared" si="168"/>
        <v>0</v>
      </c>
      <c r="AA391" s="3">
        <f t="shared" si="169"/>
        <v>0</v>
      </c>
      <c r="AB391" s="3" t="e">
        <f t="shared" si="170"/>
        <v>#DIV/0!</v>
      </c>
      <c r="AC391" s="3" t="str">
        <f t="shared" si="171"/>
        <v/>
      </c>
      <c r="AD391" s="3">
        <f t="shared" si="188"/>
        <v>0</v>
      </c>
      <c r="AE391" s="3">
        <f t="shared" si="183"/>
        <v>0</v>
      </c>
      <c r="AF391" s="3">
        <f t="shared" si="189"/>
        <v>0</v>
      </c>
      <c r="AG391" s="3" t="e">
        <f>AF391 / SUM(F$2:F391)</f>
        <v>#DIV/0!</v>
      </c>
      <c r="AH391" s="3" t="e">
        <f t="shared" si="190"/>
        <v>#DIV/0!</v>
      </c>
      <c r="AI391" s="3">
        <f t="shared" si="191"/>
        <v>0</v>
      </c>
      <c r="AJ391" s="3" t="e">
        <f t="shared" si="192"/>
        <v>#DIV/0!</v>
      </c>
      <c r="AK391" s="3" t="e">
        <f t="shared" si="177"/>
        <v>#DIV/0!</v>
      </c>
    </row>
    <row r="392" spans="1:37" x14ac:dyDescent="0.3">
      <c r="A392" s="24">
        <v>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f t="shared" si="180"/>
        <v>0</v>
      </c>
      <c r="H392" s="3">
        <f t="shared" si="167"/>
        <v>0</v>
      </c>
      <c r="I392" s="3">
        <f t="shared" si="172"/>
        <v>0</v>
      </c>
      <c r="J392" s="3">
        <f t="shared" si="173"/>
        <v>0</v>
      </c>
      <c r="K392" s="3">
        <f t="shared" si="174"/>
        <v>0</v>
      </c>
      <c r="L392" s="3">
        <f t="shared" si="175"/>
        <v>0</v>
      </c>
      <c r="M392" s="3" t="e">
        <f t="shared" si="184"/>
        <v>#DIV/0!</v>
      </c>
      <c r="N392" s="3" t="e">
        <f t="shared" si="163"/>
        <v>#DIV/0!</v>
      </c>
      <c r="O392" s="3" t="e">
        <f t="shared" si="176"/>
        <v>#DIV/0!</v>
      </c>
      <c r="P392" s="3">
        <f t="shared" si="164"/>
        <v>0</v>
      </c>
      <c r="Q392" s="3">
        <f t="shared" si="178"/>
        <v>0</v>
      </c>
      <c r="R392" s="3">
        <f t="shared" si="166"/>
        <v>0</v>
      </c>
      <c r="S392" s="3">
        <f t="shared" si="179"/>
        <v>0</v>
      </c>
      <c r="T392" s="3">
        <f t="shared" si="181"/>
        <v>0</v>
      </c>
      <c r="U392" s="3">
        <f t="shared" si="165"/>
        <v>0</v>
      </c>
      <c r="V392" s="3">
        <f t="shared" si="182"/>
        <v>0</v>
      </c>
      <c r="W392" s="3">
        <f t="shared" si="185"/>
        <v>0</v>
      </c>
      <c r="X392" s="3">
        <f t="shared" si="186"/>
        <v>0</v>
      </c>
      <c r="Y392" s="3">
        <f t="shared" si="187"/>
        <v>0</v>
      </c>
      <c r="Z392" s="3">
        <f t="shared" si="168"/>
        <v>0</v>
      </c>
      <c r="AA392" s="3">
        <f t="shared" si="169"/>
        <v>0</v>
      </c>
      <c r="AB392" s="3" t="e">
        <f t="shared" si="170"/>
        <v>#DIV/0!</v>
      </c>
      <c r="AC392" s="3" t="str">
        <f t="shared" si="171"/>
        <v/>
      </c>
      <c r="AD392" s="3">
        <f t="shared" si="188"/>
        <v>0</v>
      </c>
      <c r="AE392" s="3">
        <f t="shared" si="183"/>
        <v>0</v>
      </c>
      <c r="AF392" s="3">
        <f t="shared" si="189"/>
        <v>0</v>
      </c>
      <c r="AG392" s="3" t="e">
        <f>AF392 / SUM(F$2:F392)</f>
        <v>#DIV/0!</v>
      </c>
      <c r="AH392" s="3" t="e">
        <f t="shared" si="190"/>
        <v>#DIV/0!</v>
      </c>
      <c r="AI392" s="3">
        <f t="shared" si="191"/>
        <v>0</v>
      </c>
      <c r="AJ392" s="3" t="e">
        <f t="shared" si="192"/>
        <v>#DIV/0!</v>
      </c>
      <c r="AK392" s="3" t="e">
        <f t="shared" si="177"/>
        <v>#DIV/0!</v>
      </c>
    </row>
    <row r="393" spans="1:37" x14ac:dyDescent="0.3">
      <c r="A393" s="24">
        <v>0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f t="shared" si="180"/>
        <v>0</v>
      </c>
      <c r="H393" s="3">
        <f t="shared" si="167"/>
        <v>0</v>
      </c>
      <c r="I393" s="3">
        <f t="shared" si="172"/>
        <v>0</v>
      </c>
      <c r="J393" s="3">
        <f t="shared" si="173"/>
        <v>0</v>
      </c>
      <c r="K393" s="3">
        <f t="shared" si="174"/>
        <v>0</v>
      </c>
      <c r="L393" s="3">
        <f t="shared" si="175"/>
        <v>0</v>
      </c>
      <c r="M393" s="3" t="e">
        <f t="shared" si="184"/>
        <v>#DIV/0!</v>
      </c>
      <c r="N393" s="3" t="e">
        <f t="shared" si="163"/>
        <v>#DIV/0!</v>
      </c>
      <c r="O393" s="3" t="e">
        <f t="shared" si="176"/>
        <v>#DIV/0!</v>
      </c>
      <c r="P393" s="3">
        <f t="shared" si="164"/>
        <v>0</v>
      </c>
      <c r="Q393" s="3">
        <f t="shared" si="178"/>
        <v>0</v>
      </c>
      <c r="R393" s="3">
        <f t="shared" si="166"/>
        <v>0</v>
      </c>
      <c r="S393" s="3">
        <f t="shared" si="179"/>
        <v>0</v>
      </c>
      <c r="T393" s="3">
        <f t="shared" si="181"/>
        <v>0</v>
      </c>
      <c r="U393" s="3">
        <f t="shared" si="165"/>
        <v>0</v>
      </c>
      <c r="V393" s="3">
        <f t="shared" si="182"/>
        <v>0</v>
      </c>
      <c r="W393" s="3">
        <f t="shared" si="185"/>
        <v>0</v>
      </c>
      <c r="X393" s="3">
        <f t="shared" si="186"/>
        <v>0</v>
      </c>
      <c r="Y393" s="3">
        <f t="shared" si="187"/>
        <v>0</v>
      </c>
      <c r="Z393" s="3">
        <f t="shared" si="168"/>
        <v>0</v>
      </c>
      <c r="AA393" s="3">
        <f t="shared" si="169"/>
        <v>0</v>
      </c>
      <c r="AB393" s="3" t="e">
        <f t="shared" si="170"/>
        <v>#DIV/0!</v>
      </c>
      <c r="AC393" s="3" t="str">
        <f t="shared" si="171"/>
        <v/>
      </c>
      <c r="AD393" s="3">
        <f t="shared" si="188"/>
        <v>0</v>
      </c>
      <c r="AE393" s="3">
        <f t="shared" si="183"/>
        <v>0</v>
      </c>
      <c r="AF393" s="3">
        <f t="shared" si="189"/>
        <v>0</v>
      </c>
      <c r="AG393" s="3" t="e">
        <f>AF393 / SUM(F$2:F393)</f>
        <v>#DIV/0!</v>
      </c>
      <c r="AH393" s="3" t="e">
        <f t="shared" si="190"/>
        <v>#DIV/0!</v>
      </c>
      <c r="AI393" s="3">
        <f t="shared" si="191"/>
        <v>0</v>
      </c>
      <c r="AJ393" s="3" t="e">
        <f t="shared" si="192"/>
        <v>#DIV/0!</v>
      </c>
      <c r="AK393" s="3" t="e">
        <f t="shared" si="177"/>
        <v>#DIV/0!</v>
      </c>
    </row>
    <row r="394" spans="1:37" x14ac:dyDescent="0.3">
      <c r="A394" s="24">
        <v>0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f t="shared" si="180"/>
        <v>0</v>
      </c>
      <c r="H394" s="3">
        <f t="shared" si="167"/>
        <v>0</v>
      </c>
      <c r="I394" s="3">
        <f t="shared" si="172"/>
        <v>0</v>
      </c>
      <c r="J394" s="3">
        <f t="shared" si="173"/>
        <v>0</v>
      </c>
      <c r="K394" s="3">
        <f t="shared" si="174"/>
        <v>0</v>
      </c>
      <c r="L394" s="3">
        <f t="shared" si="175"/>
        <v>0</v>
      </c>
      <c r="M394" s="3" t="e">
        <f t="shared" si="184"/>
        <v>#DIV/0!</v>
      </c>
      <c r="N394" s="3" t="e">
        <f t="shared" si="163"/>
        <v>#DIV/0!</v>
      </c>
      <c r="O394" s="3" t="e">
        <f t="shared" si="176"/>
        <v>#DIV/0!</v>
      </c>
      <c r="P394" s="3">
        <f t="shared" si="164"/>
        <v>0</v>
      </c>
      <c r="Q394" s="3">
        <f t="shared" si="178"/>
        <v>0</v>
      </c>
      <c r="R394" s="3">
        <f t="shared" si="166"/>
        <v>0</v>
      </c>
      <c r="S394" s="3">
        <f t="shared" si="179"/>
        <v>0</v>
      </c>
      <c r="T394" s="3">
        <f t="shared" si="181"/>
        <v>0</v>
      </c>
      <c r="U394" s="3">
        <f t="shared" si="165"/>
        <v>0</v>
      </c>
      <c r="V394" s="3">
        <f t="shared" si="182"/>
        <v>0</v>
      </c>
      <c r="W394" s="3">
        <f t="shared" si="185"/>
        <v>0</v>
      </c>
      <c r="X394" s="3">
        <f t="shared" si="186"/>
        <v>0</v>
      </c>
      <c r="Y394" s="3">
        <f t="shared" si="187"/>
        <v>0</v>
      </c>
      <c r="Z394" s="3">
        <f t="shared" si="168"/>
        <v>0</v>
      </c>
      <c r="AA394" s="3">
        <f t="shared" si="169"/>
        <v>0</v>
      </c>
      <c r="AB394" s="3" t="e">
        <f t="shared" si="170"/>
        <v>#DIV/0!</v>
      </c>
      <c r="AC394" s="3" t="str">
        <f t="shared" si="171"/>
        <v/>
      </c>
      <c r="AD394" s="3">
        <f t="shared" si="188"/>
        <v>0</v>
      </c>
      <c r="AE394" s="3">
        <f t="shared" si="183"/>
        <v>0</v>
      </c>
      <c r="AF394" s="3">
        <f t="shared" si="189"/>
        <v>0</v>
      </c>
      <c r="AG394" s="3" t="e">
        <f>AF394 / SUM(F$2:F394)</f>
        <v>#DIV/0!</v>
      </c>
      <c r="AH394" s="3" t="e">
        <f t="shared" si="190"/>
        <v>#DIV/0!</v>
      </c>
      <c r="AI394" s="3">
        <f t="shared" si="191"/>
        <v>0</v>
      </c>
      <c r="AJ394" s="3" t="e">
        <f t="shared" si="192"/>
        <v>#DIV/0!</v>
      </c>
      <c r="AK394" s="3" t="e">
        <f t="shared" si="177"/>
        <v>#DIV/0!</v>
      </c>
    </row>
    <row r="395" spans="1:37" x14ac:dyDescent="0.3">
      <c r="A395" s="24">
        <v>0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f t="shared" si="180"/>
        <v>0</v>
      </c>
      <c r="H395" s="3">
        <f t="shared" si="167"/>
        <v>0</v>
      </c>
      <c r="I395" s="3">
        <f t="shared" si="172"/>
        <v>0</v>
      </c>
      <c r="J395" s="3">
        <f t="shared" si="173"/>
        <v>0</v>
      </c>
      <c r="K395" s="3">
        <f t="shared" si="174"/>
        <v>0</v>
      </c>
      <c r="L395" s="3">
        <f t="shared" si="175"/>
        <v>0</v>
      </c>
      <c r="M395" s="3" t="e">
        <f t="shared" si="184"/>
        <v>#DIV/0!</v>
      </c>
      <c r="N395" s="3" t="e">
        <f t="shared" si="163"/>
        <v>#DIV/0!</v>
      </c>
      <c r="O395" s="3" t="e">
        <f t="shared" si="176"/>
        <v>#DIV/0!</v>
      </c>
      <c r="P395" s="3">
        <f t="shared" si="164"/>
        <v>0</v>
      </c>
      <c r="Q395" s="3">
        <f t="shared" si="178"/>
        <v>0</v>
      </c>
      <c r="R395" s="3">
        <f t="shared" si="166"/>
        <v>0</v>
      </c>
      <c r="S395" s="3">
        <f t="shared" si="179"/>
        <v>0</v>
      </c>
      <c r="T395" s="3">
        <f t="shared" si="181"/>
        <v>0</v>
      </c>
      <c r="U395" s="3">
        <f t="shared" si="165"/>
        <v>0</v>
      </c>
      <c r="V395" s="3">
        <f t="shared" si="182"/>
        <v>0</v>
      </c>
      <c r="W395" s="3">
        <f t="shared" si="185"/>
        <v>0</v>
      </c>
      <c r="X395" s="3">
        <f t="shared" si="186"/>
        <v>0</v>
      </c>
      <c r="Y395" s="3">
        <f t="shared" si="187"/>
        <v>0</v>
      </c>
      <c r="Z395" s="3">
        <f t="shared" si="168"/>
        <v>0</v>
      </c>
      <c r="AA395" s="3">
        <f t="shared" si="169"/>
        <v>0</v>
      </c>
      <c r="AB395" s="3" t="e">
        <f t="shared" si="170"/>
        <v>#DIV/0!</v>
      </c>
      <c r="AC395" s="3" t="str">
        <f t="shared" si="171"/>
        <v/>
      </c>
      <c r="AD395" s="3">
        <f t="shared" si="188"/>
        <v>0</v>
      </c>
      <c r="AE395" s="3">
        <f t="shared" si="183"/>
        <v>0</v>
      </c>
      <c r="AF395" s="3">
        <f t="shared" si="189"/>
        <v>0</v>
      </c>
      <c r="AG395" s="3" t="e">
        <f>AF395 / SUM(F$2:F395)</f>
        <v>#DIV/0!</v>
      </c>
      <c r="AH395" s="3" t="e">
        <f t="shared" si="190"/>
        <v>#DIV/0!</v>
      </c>
      <c r="AI395" s="3">
        <f t="shared" si="191"/>
        <v>0</v>
      </c>
      <c r="AJ395" s="3" t="e">
        <f t="shared" si="192"/>
        <v>#DIV/0!</v>
      </c>
      <c r="AK395" s="3" t="e">
        <f t="shared" si="177"/>
        <v>#DIV/0!</v>
      </c>
    </row>
    <row r="396" spans="1:37" x14ac:dyDescent="0.3">
      <c r="A396" s="24">
        <v>0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f t="shared" si="180"/>
        <v>0</v>
      </c>
      <c r="H396" s="3">
        <f t="shared" si="167"/>
        <v>0</v>
      </c>
      <c r="I396" s="3">
        <f t="shared" si="172"/>
        <v>0</v>
      </c>
      <c r="J396" s="3">
        <f t="shared" si="173"/>
        <v>0</v>
      </c>
      <c r="K396" s="3">
        <f t="shared" si="174"/>
        <v>0</v>
      </c>
      <c r="L396" s="3">
        <f t="shared" si="175"/>
        <v>0</v>
      </c>
      <c r="M396" s="3" t="e">
        <f t="shared" si="184"/>
        <v>#DIV/0!</v>
      </c>
      <c r="N396" s="3" t="e">
        <f t="shared" ref="N396:N459" si="193">_xlfn.STDEV.S(M387:M396)*SQRT(10)</f>
        <v>#DIV/0!</v>
      </c>
      <c r="O396" s="3" t="e">
        <f t="shared" si="176"/>
        <v>#DIV/0!</v>
      </c>
      <c r="P396" s="3">
        <f t="shared" ref="P396:P459" si="194">E396*(2/(9+1)) + P395*(1-(2/(9+1)))</f>
        <v>0</v>
      </c>
      <c r="Q396" s="3">
        <f t="shared" si="178"/>
        <v>0</v>
      </c>
      <c r="R396" s="3">
        <f t="shared" si="166"/>
        <v>0</v>
      </c>
      <c r="S396" s="3">
        <f t="shared" si="179"/>
        <v>0</v>
      </c>
      <c r="T396" s="3">
        <f t="shared" si="181"/>
        <v>0</v>
      </c>
      <c r="U396" s="3">
        <f t="shared" ref="U396:U459" si="195">T396*0.2 + U395*0.8</f>
        <v>0</v>
      </c>
      <c r="V396" s="3">
        <f t="shared" si="182"/>
        <v>0</v>
      </c>
      <c r="W396" s="3">
        <f t="shared" si="185"/>
        <v>0</v>
      </c>
      <c r="X396" s="3">
        <f t="shared" si="186"/>
        <v>0</v>
      </c>
      <c r="Y396" s="3">
        <f t="shared" si="187"/>
        <v>0</v>
      </c>
      <c r="Z396" s="3">
        <f t="shared" si="168"/>
        <v>0</v>
      </c>
      <c r="AA396" s="3">
        <f t="shared" si="169"/>
        <v>0</v>
      </c>
      <c r="AB396" s="3" t="e">
        <f t="shared" si="170"/>
        <v>#DIV/0!</v>
      </c>
      <c r="AC396" s="3" t="str">
        <f t="shared" si="171"/>
        <v/>
      </c>
      <c r="AD396" s="3">
        <f t="shared" si="188"/>
        <v>0</v>
      </c>
      <c r="AE396" s="3">
        <f t="shared" si="183"/>
        <v>0</v>
      </c>
      <c r="AF396" s="3">
        <f t="shared" si="189"/>
        <v>0</v>
      </c>
      <c r="AG396" s="3" t="e">
        <f>AF396 / SUM(F$2:F396)</f>
        <v>#DIV/0!</v>
      </c>
      <c r="AH396" s="3" t="e">
        <f t="shared" si="190"/>
        <v>#DIV/0!</v>
      </c>
      <c r="AI396" s="3">
        <f t="shared" si="191"/>
        <v>0</v>
      </c>
      <c r="AJ396" s="3" t="e">
        <f t="shared" si="192"/>
        <v>#DIV/0!</v>
      </c>
      <c r="AK396" s="3" t="e">
        <f t="shared" si="177"/>
        <v>#DIV/0!</v>
      </c>
    </row>
    <row r="397" spans="1:37" x14ac:dyDescent="0.3">
      <c r="A397" s="24">
        <v>0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f t="shared" si="180"/>
        <v>0</v>
      </c>
      <c r="H397" s="3">
        <f t="shared" si="167"/>
        <v>0</v>
      </c>
      <c r="I397" s="3">
        <f t="shared" si="172"/>
        <v>0</v>
      </c>
      <c r="J397" s="3">
        <f t="shared" si="173"/>
        <v>0</v>
      </c>
      <c r="K397" s="3">
        <f t="shared" si="174"/>
        <v>0</v>
      </c>
      <c r="L397" s="3">
        <f t="shared" si="175"/>
        <v>0</v>
      </c>
      <c r="M397" s="3" t="e">
        <f t="shared" si="184"/>
        <v>#DIV/0!</v>
      </c>
      <c r="N397" s="3" t="e">
        <f t="shared" si="193"/>
        <v>#DIV/0!</v>
      </c>
      <c r="O397" s="3" t="e">
        <f t="shared" si="176"/>
        <v>#DIV/0!</v>
      </c>
      <c r="P397" s="3">
        <f t="shared" si="194"/>
        <v>0</v>
      </c>
      <c r="Q397" s="3">
        <f t="shared" si="178"/>
        <v>0</v>
      </c>
      <c r="R397" s="3">
        <f t="shared" si="166"/>
        <v>0</v>
      </c>
      <c r="S397" s="3">
        <f t="shared" si="179"/>
        <v>0</v>
      </c>
      <c r="T397" s="3">
        <f t="shared" si="181"/>
        <v>0</v>
      </c>
      <c r="U397" s="3">
        <f t="shared" si="195"/>
        <v>0</v>
      </c>
      <c r="V397" s="3">
        <f t="shared" si="182"/>
        <v>0</v>
      </c>
      <c r="W397" s="3">
        <f t="shared" si="185"/>
        <v>0</v>
      </c>
      <c r="X397" s="3">
        <f t="shared" si="186"/>
        <v>0</v>
      </c>
      <c r="Y397" s="3">
        <f t="shared" si="187"/>
        <v>0</v>
      </c>
      <c r="Z397" s="3">
        <f t="shared" si="168"/>
        <v>0</v>
      </c>
      <c r="AA397" s="3">
        <f t="shared" si="169"/>
        <v>0</v>
      </c>
      <c r="AB397" s="3" t="e">
        <f t="shared" si="170"/>
        <v>#DIV/0!</v>
      </c>
      <c r="AC397" s="3" t="str">
        <f t="shared" si="171"/>
        <v/>
      </c>
      <c r="AD397" s="3">
        <f t="shared" si="188"/>
        <v>0</v>
      </c>
      <c r="AE397" s="3">
        <f t="shared" si="183"/>
        <v>0</v>
      </c>
      <c r="AF397" s="3">
        <f t="shared" si="189"/>
        <v>0</v>
      </c>
      <c r="AG397" s="3" t="e">
        <f>AF397 / SUM(F$2:F397)</f>
        <v>#DIV/0!</v>
      </c>
      <c r="AH397" s="3" t="e">
        <f t="shared" si="190"/>
        <v>#DIV/0!</v>
      </c>
      <c r="AI397" s="3">
        <f t="shared" si="191"/>
        <v>0</v>
      </c>
      <c r="AJ397" s="3" t="e">
        <f t="shared" si="192"/>
        <v>#DIV/0!</v>
      </c>
      <c r="AK397" s="3" t="e">
        <f t="shared" si="177"/>
        <v>#DIV/0!</v>
      </c>
    </row>
    <row r="398" spans="1:37" x14ac:dyDescent="0.3">
      <c r="A398" s="24">
        <v>0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f t="shared" si="180"/>
        <v>0</v>
      </c>
      <c r="H398" s="3">
        <f t="shared" si="167"/>
        <v>0</v>
      </c>
      <c r="I398" s="3">
        <f t="shared" si="172"/>
        <v>0</v>
      </c>
      <c r="J398" s="3">
        <f t="shared" si="173"/>
        <v>0</v>
      </c>
      <c r="K398" s="3">
        <f t="shared" si="174"/>
        <v>0</v>
      </c>
      <c r="L398" s="3">
        <f t="shared" si="175"/>
        <v>0</v>
      </c>
      <c r="M398" s="3" t="e">
        <f t="shared" si="184"/>
        <v>#DIV/0!</v>
      </c>
      <c r="N398" s="3" t="e">
        <f t="shared" si="193"/>
        <v>#DIV/0!</v>
      </c>
      <c r="O398" s="3" t="e">
        <f t="shared" si="176"/>
        <v>#DIV/0!</v>
      </c>
      <c r="P398" s="3">
        <f t="shared" si="194"/>
        <v>0</v>
      </c>
      <c r="Q398" s="3">
        <f t="shared" si="178"/>
        <v>0</v>
      </c>
      <c r="R398" s="3">
        <f t="shared" si="166"/>
        <v>0</v>
      </c>
      <c r="S398" s="3">
        <f t="shared" si="179"/>
        <v>0</v>
      </c>
      <c r="T398" s="3">
        <f t="shared" si="181"/>
        <v>0</v>
      </c>
      <c r="U398" s="3">
        <f t="shared" si="195"/>
        <v>0</v>
      </c>
      <c r="V398" s="3">
        <f t="shared" si="182"/>
        <v>0</v>
      </c>
      <c r="W398" s="3">
        <f t="shared" si="185"/>
        <v>0</v>
      </c>
      <c r="X398" s="3">
        <f t="shared" si="186"/>
        <v>0</v>
      </c>
      <c r="Y398" s="3">
        <f t="shared" si="187"/>
        <v>0</v>
      </c>
      <c r="Z398" s="3">
        <f t="shared" si="168"/>
        <v>0</v>
      </c>
      <c r="AA398" s="3">
        <f t="shared" si="169"/>
        <v>0</v>
      </c>
      <c r="AB398" s="3" t="e">
        <f t="shared" si="170"/>
        <v>#DIV/0!</v>
      </c>
      <c r="AC398" s="3" t="str">
        <f t="shared" si="171"/>
        <v/>
      </c>
      <c r="AD398" s="3">
        <f t="shared" si="188"/>
        <v>0</v>
      </c>
      <c r="AE398" s="3">
        <f t="shared" si="183"/>
        <v>0</v>
      </c>
      <c r="AF398" s="3">
        <f t="shared" si="189"/>
        <v>0</v>
      </c>
      <c r="AG398" s="3" t="e">
        <f>AF398 / SUM(F$2:F398)</f>
        <v>#DIV/0!</v>
      </c>
      <c r="AH398" s="3" t="e">
        <f t="shared" si="190"/>
        <v>#DIV/0!</v>
      </c>
      <c r="AI398" s="3">
        <f t="shared" si="191"/>
        <v>0</v>
      </c>
      <c r="AJ398" s="3" t="e">
        <f t="shared" si="192"/>
        <v>#DIV/0!</v>
      </c>
      <c r="AK398" s="3" t="e">
        <f t="shared" si="177"/>
        <v>#DIV/0!</v>
      </c>
    </row>
    <row r="399" spans="1:37" x14ac:dyDescent="0.3">
      <c r="A399" s="24">
        <v>0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f t="shared" si="180"/>
        <v>0</v>
      </c>
      <c r="H399" s="3">
        <f t="shared" si="167"/>
        <v>0</v>
      </c>
      <c r="I399" s="3">
        <f t="shared" si="172"/>
        <v>0</v>
      </c>
      <c r="J399" s="3">
        <f t="shared" si="173"/>
        <v>0</v>
      </c>
      <c r="K399" s="3">
        <f t="shared" si="174"/>
        <v>0</v>
      </c>
      <c r="L399" s="3">
        <f t="shared" si="175"/>
        <v>0</v>
      </c>
      <c r="M399" s="3" t="e">
        <f t="shared" si="184"/>
        <v>#DIV/0!</v>
      </c>
      <c r="N399" s="3" t="e">
        <f t="shared" si="193"/>
        <v>#DIV/0!</v>
      </c>
      <c r="O399" s="3" t="e">
        <f t="shared" si="176"/>
        <v>#DIV/0!</v>
      </c>
      <c r="P399" s="3">
        <f t="shared" si="194"/>
        <v>0</v>
      </c>
      <c r="Q399" s="3">
        <f t="shared" si="178"/>
        <v>0</v>
      </c>
      <c r="R399" s="3">
        <f t="shared" ref="R399:R462" si="196">E399*(2/(12+1)) + R398*(1-(2/(12+1)))</f>
        <v>0</v>
      </c>
      <c r="S399" s="3">
        <f t="shared" si="179"/>
        <v>0</v>
      </c>
      <c r="T399" s="3">
        <f t="shared" si="181"/>
        <v>0</v>
      </c>
      <c r="U399" s="3">
        <f t="shared" si="195"/>
        <v>0</v>
      </c>
      <c r="V399" s="3">
        <f t="shared" si="182"/>
        <v>0</v>
      </c>
      <c r="W399" s="3">
        <f t="shared" si="185"/>
        <v>0</v>
      </c>
      <c r="X399" s="3">
        <f t="shared" si="186"/>
        <v>0</v>
      </c>
      <c r="Y399" s="3">
        <f t="shared" si="187"/>
        <v>0</v>
      </c>
      <c r="Z399" s="3">
        <f t="shared" si="168"/>
        <v>0</v>
      </c>
      <c r="AA399" s="3">
        <f t="shared" si="169"/>
        <v>0</v>
      </c>
      <c r="AB399" s="3" t="e">
        <f t="shared" si="170"/>
        <v>#DIV/0!</v>
      </c>
      <c r="AC399" s="3" t="str">
        <f t="shared" si="171"/>
        <v/>
      </c>
      <c r="AD399" s="3">
        <f t="shared" si="188"/>
        <v>0</v>
      </c>
      <c r="AE399" s="3">
        <f t="shared" si="183"/>
        <v>0</v>
      </c>
      <c r="AF399" s="3">
        <f t="shared" si="189"/>
        <v>0</v>
      </c>
      <c r="AG399" s="3" t="e">
        <f>AF399 / SUM(F$2:F399)</f>
        <v>#DIV/0!</v>
      </c>
      <c r="AH399" s="3" t="e">
        <f t="shared" si="190"/>
        <v>#DIV/0!</v>
      </c>
      <c r="AI399" s="3">
        <f t="shared" si="191"/>
        <v>0</v>
      </c>
      <c r="AJ399" s="3" t="e">
        <f t="shared" si="192"/>
        <v>#DIV/0!</v>
      </c>
      <c r="AK399" s="3" t="e">
        <f t="shared" si="177"/>
        <v>#DIV/0!</v>
      </c>
    </row>
    <row r="400" spans="1:37" x14ac:dyDescent="0.3">
      <c r="A400" s="24">
        <v>0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f t="shared" si="180"/>
        <v>0</v>
      </c>
      <c r="H400" s="3">
        <f t="shared" ref="H400:H463" si="197">AVERAGE(G387:G400)</f>
        <v>0</v>
      </c>
      <c r="I400" s="3">
        <f t="shared" si="172"/>
        <v>0</v>
      </c>
      <c r="J400" s="3">
        <f t="shared" si="173"/>
        <v>0</v>
      </c>
      <c r="K400" s="3">
        <f t="shared" si="174"/>
        <v>0</v>
      </c>
      <c r="L400" s="3">
        <f t="shared" si="175"/>
        <v>0</v>
      </c>
      <c r="M400" s="3" t="e">
        <f t="shared" si="184"/>
        <v>#DIV/0!</v>
      </c>
      <c r="N400" s="3" t="e">
        <f t="shared" si="193"/>
        <v>#DIV/0!</v>
      </c>
      <c r="O400" s="3" t="e">
        <f t="shared" si="176"/>
        <v>#DIV/0!</v>
      </c>
      <c r="P400" s="3">
        <f t="shared" si="194"/>
        <v>0</v>
      </c>
      <c r="Q400" s="3">
        <f t="shared" si="178"/>
        <v>0</v>
      </c>
      <c r="R400" s="3">
        <f t="shared" si="196"/>
        <v>0</v>
      </c>
      <c r="S400" s="3">
        <f t="shared" si="179"/>
        <v>0</v>
      </c>
      <c r="T400" s="3">
        <f t="shared" si="181"/>
        <v>0</v>
      </c>
      <c r="U400" s="3">
        <f t="shared" si="195"/>
        <v>0</v>
      </c>
      <c r="V400" s="3">
        <f t="shared" si="182"/>
        <v>0</v>
      </c>
      <c r="W400" s="3">
        <f t="shared" si="185"/>
        <v>0</v>
      </c>
      <c r="X400" s="3">
        <f t="shared" si="186"/>
        <v>0</v>
      </c>
      <c r="Y400" s="3">
        <f t="shared" si="187"/>
        <v>0</v>
      </c>
      <c r="Z400" s="3">
        <f t="shared" ref="Z400:Z463" si="198">AVERAGE(X387:X400)</f>
        <v>0</v>
      </c>
      <c r="AA400" s="3">
        <f t="shared" ref="AA400:AA463" si="199">AVERAGE(Y387:Y400)</f>
        <v>0</v>
      </c>
      <c r="AB400" s="3" t="e">
        <f t="shared" ref="AB400:AB463" si="200">100-(100/(1+(Z400/AA400)))</f>
        <v>#DIV/0!</v>
      </c>
      <c r="AC400" s="3" t="str">
        <f t="shared" ref="AC400:AC463" si="201">IF(
COUNT(AB387:AB400)&lt;14,
"",
IF(
MAX(AB387:AB400)=MIN(AB387:AB400),
0.5,
(AB400-MIN(AB387:AB400)) / (MAX(AB387:AB400)-MIN(AB387:AB400))
)
)</f>
        <v/>
      </c>
      <c r="AD400" s="3">
        <f t="shared" si="188"/>
        <v>0</v>
      </c>
      <c r="AE400" s="3">
        <f t="shared" si="183"/>
        <v>0</v>
      </c>
      <c r="AF400" s="3">
        <f t="shared" si="189"/>
        <v>0</v>
      </c>
      <c r="AG400" s="3" t="e">
        <f>AF400 / SUM(F$2:F400)</f>
        <v>#DIV/0!</v>
      </c>
      <c r="AH400" s="3" t="e">
        <f t="shared" si="190"/>
        <v>#DIV/0!</v>
      </c>
      <c r="AI400" s="3">
        <f t="shared" si="191"/>
        <v>0</v>
      </c>
      <c r="AJ400" s="3" t="e">
        <f t="shared" si="192"/>
        <v>#DIV/0!</v>
      </c>
      <c r="AK400" s="3" t="e">
        <f t="shared" si="177"/>
        <v>#DIV/0!</v>
      </c>
    </row>
    <row r="401" spans="1:37" x14ac:dyDescent="0.3">
      <c r="A401" s="24">
        <v>0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f t="shared" si="180"/>
        <v>0</v>
      </c>
      <c r="H401" s="3">
        <f t="shared" si="197"/>
        <v>0</v>
      </c>
      <c r="I401" s="3">
        <f t="shared" si="172"/>
        <v>0</v>
      </c>
      <c r="J401" s="3">
        <f t="shared" si="173"/>
        <v>0</v>
      </c>
      <c r="K401" s="3">
        <f t="shared" si="174"/>
        <v>0</v>
      </c>
      <c r="L401" s="3">
        <f t="shared" si="175"/>
        <v>0</v>
      </c>
      <c r="M401" s="3" t="e">
        <f t="shared" si="184"/>
        <v>#DIV/0!</v>
      </c>
      <c r="N401" s="3" t="e">
        <f t="shared" si="193"/>
        <v>#DIV/0!</v>
      </c>
      <c r="O401" s="3" t="e">
        <f t="shared" si="176"/>
        <v>#DIV/0!</v>
      </c>
      <c r="P401" s="3">
        <f t="shared" si="194"/>
        <v>0</v>
      </c>
      <c r="Q401" s="3">
        <f t="shared" si="178"/>
        <v>0</v>
      </c>
      <c r="R401" s="3">
        <f t="shared" si="196"/>
        <v>0</v>
      </c>
      <c r="S401" s="3">
        <f t="shared" si="179"/>
        <v>0</v>
      </c>
      <c r="T401" s="3">
        <f t="shared" si="181"/>
        <v>0</v>
      </c>
      <c r="U401" s="3">
        <f t="shared" si="195"/>
        <v>0</v>
      </c>
      <c r="V401" s="3">
        <f t="shared" si="182"/>
        <v>0</v>
      </c>
      <c r="W401" s="3">
        <f t="shared" si="185"/>
        <v>0</v>
      </c>
      <c r="X401" s="3">
        <f t="shared" si="186"/>
        <v>0</v>
      </c>
      <c r="Y401" s="3">
        <f t="shared" si="187"/>
        <v>0</v>
      </c>
      <c r="Z401" s="3">
        <f t="shared" si="198"/>
        <v>0</v>
      </c>
      <c r="AA401" s="3">
        <f t="shared" si="199"/>
        <v>0</v>
      </c>
      <c r="AB401" s="3" t="e">
        <f t="shared" si="200"/>
        <v>#DIV/0!</v>
      </c>
      <c r="AC401" s="3" t="str">
        <f t="shared" si="201"/>
        <v/>
      </c>
      <c r="AD401" s="3">
        <f t="shared" si="188"/>
        <v>0</v>
      </c>
      <c r="AE401" s="3">
        <f t="shared" si="183"/>
        <v>0</v>
      </c>
      <c r="AF401" s="3">
        <f t="shared" si="189"/>
        <v>0</v>
      </c>
      <c r="AG401" s="3" t="e">
        <f>AF401 / SUM(F$2:F401)</f>
        <v>#DIV/0!</v>
      </c>
      <c r="AH401" s="3" t="e">
        <f t="shared" si="190"/>
        <v>#DIV/0!</v>
      </c>
      <c r="AI401" s="3">
        <f t="shared" si="191"/>
        <v>0</v>
      </c>
      <c r="AJ401" s="3" t="e">
        <f t="shared" si="192"/>
        <v>#DIV/0!</v>
      </c>
      <c r="AK401" s="3" t="e">
        <f t="shared" si="177"/>
        <v>#DIV/0!</v>
      </c>
    </row>
    <row r="402" spans="1:37" x14ac:dyDescent="0.3">
      <c r="A402" s="24">
        <v>0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f t="shared" si="180"/>
        <v>0</v>
      </c>
      <c r="H402" s="3">
        <f t="shared" si="197"/>
        <v>0</v>
      </c>
      <c r="I402" s="3">
        <f t="shared" si="172"/>
        <v>0</v>
      </c>
      <c r="J402" s="3">
        <f t="shared" si="173"/>
        <v>0</v>
      </c>
      <c r="K402" s="3">
        <f t="shared" si="174"/>
        <v>0</v>
      </c>
      <c r="L402" s="3">
        <f t="shared" si="175"/>
        <v>0</v>
      </c>
      <c r="M402" s="3" t="e">
        <f t="shared" si="184"/>
        <v>#DIV/0!</v>
      </c>
      <c r="N402" s="3" t="e">
        <f t="shared" si="193"/>
        <v>#DIV/0!</v>
      </c>
      <c r="O402" s="3" t="e">
        <f t="shared" si="176"/>
        <v>#DIV/0!</v>
      </c>
      <c r="P402" s="3">
        <f t="shared" si="194"/>
        <v>0</v>
      </c>
      <c r="Q402" s="3">
        <f t="shared" si="178"/>
        <v>0</v>
      </c>
      <c r="R402" s="3">
        <f t="shared" si="196"/>
        <v>0</v>
      </c>
      <c r="S402" s="3">
        <f t="shared" si="179"/>
        <v>0</v>
      </c>
      <c r="T402" s="3">
        <f t="shared" si="181"/>
        <v>0</v>
      </c>
      <c r="U402" s="3">
        <f t="shared" si="195"/>
        <v>0</v>
      </c>
      <c r="V402" s="3">
        <f t="shared" si="182"/>
        <v>0</v>
      </c>
      <c r="W402" s="3">
        <f t="shared" si="185"/>
        <v>0</v>
      </c>
      <c r="X402" s="3">
        <f t="shared" si="186"/>
        <v>0</v>
      </c>
      <c r="Y402" s="3">
        <f t="shared" si="187"/>
        <v>0</v>
      </c>
      <c r="Z402" s="3">
        <f t="shared" si="198"/>
        <v>0</v>
      </c>
      <c r="AA402" s="3">
        <f t="shared" si="199"/>
        <v>0</v>
      </c>
      <c r="AB402" s="3" t="e">
        <f t="shared" si="200"/>
        <v>#DIV/0!</v>
      </c>
      <c r="AC402" s="3" t="str">
        <f t="shared" si="201"/>
        <v/>
      </c>
      <c r="AD402" s="3">
        <f t="shared" si="188"/>
        <v>0</v>
      </c>
      <c r="AE402" s="3">
        <f t="shared" si="183"/>
        <v>0</v>
      </c>
      <c r="AF402" s="3">
        <f t="shared" si="189"/>
        <v>0</v>
      </c>
      <c r="AG402" s="3" t="e">
        <f>AF402 / SUM(F$2:F402)</f>
        <v>#DIV/0!</v>
      </c>
      <c r="AH402" s="3" t="e">
        <f t="shared" si="190"/>
        <v>#DIV/0!</v>
      </c>
      <c r="AI402" s="3">
        <f t="shared" si="191"/>
        <v>0</v>
      </c>
      <c r="AJ402" s="3" t="e">
        <f t="shared" si="192"/>
        <v>#DIV/0!</v>
      </c>
      <c r="AK402" s="3" t="e">
        <f t="shared" si="177"/>
        <v>#DIV/0!</v>
      </c>
    </row>
    <row r="403" spans="1:37" x14ac:dyDescent="0.3">
      <c r="A403" s="24">
        <v>0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f t="shared" si="180"/>
        <v>0</v>
      </c>
      <c r="H403" s="3">
        <f t="shared" si="197"/>
        <v>0</v>
      </c>
      <c r="I403" s="3">
        <f t="shared" si="172"/>
        <v>0</v>
      </c>
      <c r="J403" s="3">
        <f t="shared" si="173"/>
        <v>0</v>
      </c>
      <c r="K403" s="3">
        <f t="shared" si="174"/>
        <v>0</v>
      </c>
      <c r="L403" s="3">
        <f t="shared" si="175"/>
        <v>0</v>
      </c>
      <c r="M403" s="3" t="e">
        <f t="shared" si="184"/>
        <v>#DIV/0!</v>
      </c>
      <c r="N403" s="3" t="e">
        <f t="shared" si="193"/>
        <v>#DIV/0!</v>
      </c>
      <c r="O403" s="3" t="e">
        <f t="shared" si="176"/>
        <v>#DIV/0!</v>
      </c>
      <c r="P403" s="3">
        <f t="shared" si="194"/>
        <v>0</v>
      </c>
      <c r="Q403" s="3">
        <f t="shared" si="178"/>
        <v>0</v>
      </c>
      <c r="R403" s="3">
        <f t="shared" si="196"/>
        <v>0</v>
      </c>
      <c r="S403" s="3">
        <f t="shared" si="179"/>
        <v>0</v>
      </c>
      <c r="T403" s="3">
        <f t="shared" si="181"/>
        <v>0</v>
      </c>
      <c r="U403" s="3">
        <f t="shared" si="195"/>
        <v>0</v>
      </c>
      <c r="V403" s="3">
        <f t="shared" si="182"/>
        <v>0</v>
      </c>
      <c r="W403" s="3">
        <f t="shared" si="185"/>
        <v>0</v>
      </c>
      <c r="X403" s="3">
        <f t="shared" si="186"/>
        <v>0</v>
      </c>
      <c r="Y403" s="3">
        <f t="shared" si="187"/>
        <v>0</v>
      </c>
      <c r="Z403" s="3">
        <f t="shared" si="198"/>
        <v>0</v>
      </c>
      <c r="AA403" s="3">
        <f t="shared" si="199"/>
        <v>0</v>
      </c>
      <c r="AB403" s="3" t="e">
        <f t="shared" si="200"/>
        <v>#DIV/0!</v>
      </c>
      <c r="AC403" s="3" t="str">
        <f t="shared" si="201"/>
        <v/>
      </c>
      <c r="AD403" s="3">
        <f t="shared" si="188"/>
        <v>0</v>
      </c>
      <c r="AE403" s="3">
        <f t="shared" si="183"/>
        <v>0</v>
      </c>
      <c r="AF403" s="3">
        <f t="shared" si="189"/>
        <v>0</v>
      </c>
      <c r="AG403" s="3" t="e">
        <f>AF403 / SUM(F$2:F403)</f>
        <v>#DIV/0!</v>
      </c>
      <c r="AH403" s="3" t="e">
        <f t="shared" si="190"/>
        <v>#DIV/0!</v>
      </c>
      <c r="AI403" s="3">
        <f t="shared" si="191"/>
        <v>0</v>
      </c>
      <c r="AJ403" s="3" t="e">
        <f t="shared" si="192"/>
        <v>#DIV/0!</v>
      </c>
      <c r="AK403" s="3" t="e">
        <f t="shared" si="177"/>
        <v>#DIV/0!</v>
      </c>
    </row>
    <row r="404" spans="1:37" x14ac:dyDescent="0.3">
      <c r="A404" s="24">
        <v>0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f t="shared" si="180"/>
        <v>0</v>
      </c>
      <c r="H404" s="3">
        <f t="shared" si="197"/>
        <v>0</v>
      </c>
      <c r="I404" s="3">
        <f t="shared" si="172"/>
        <v>0</v>
      </c>
      <c r="J404" s="3">
        <f t="shared" si="173"/>
        <v>0</v>
      </c>
      <c r="K404" s="3">
        <f t="shared" si="174"/>
        <v>0</v>
      </c>
      <c r="L404" s="3">
        <f t="shared" si="175"/>
        <v>0</v>
      </c>
      <c r="M404" s="3" t="e">
        <f t="shared" si="184"/>
        <v>#DIV/0!</v>
      </c>
      <c r="N404" s="3" t="e">
        <f t="shared" si="193"/>
        <v>#DIV/0!</v>
      </c>
      <c r="O404" s="3" t="e">
        <f t="shared" si="176"/>
        <v>#DIV/0!</v>
      </c>
      <c r="P404" s="3">
        <f t="shared" si="194"/>
        <v>0</v>
      </c>
      <c r="Q404" s="3">
        <f t="shared" si="178"/>
        <v>0</v>
      </c>
      <c r="R404" s="3">
        <f t="shared" si="196"/>
        <v>0</v>
      </c>
      <c r="S404" s="3">
        <f t="shared" si="179"/>
        <v>0</v>
      </c>
      <c r="T404" s="3">
        <f t="shared" si="181"/>
        <v>0</v>
      </c>
      <c r="U404" s="3">
        <f t="shared" si="195"/>
        <v>0</v>
      </c>
      <c r="V404" s="3">
        <f t="shared" si="182"/>
        <v>0</v>
      </c>
      <c r="W404" s="3">
        <f t="shared" si="185"/>
        <v>0</v>
      </c>
      <c r="X404" s="3">
        <f t="shared" si="186"/>
        <v>0</v>
      </c>
      <c r="Y404" s="3">
        <f t="shared" si="187"/>
        <v>0</v>
      </c>
      <c r="Z404" s="3">
        <f t="shared" si="198"/>
        <v>0</v>
      </c>
      <c r="AA404" s="3">
        <f t="shared" si="199"/>
        <v>0</v>
      </c>
      <c r="AB404" s="3" t="e">
        <f t="shared" si="200"/>
        <v>#DIV/0!</v>
      </c>
      <c r="AC404" s="3" t="str">
        <f t="shared" si="201"/>
        <v/>
      </c>
      <c r="AD404" s="3">
        <f t="shared" si="188"/>
        <v>0</v>
      </c>
      <c r="AE404" s="3">
        <f t="shared" si="183"/>
        <v>0</v>
      </c>
      <c r="AF404" s="3">
        <f t="shared" si="189"/>
        <v>0</v>
      </c>
      <c r="AG404" s="3" t="e">
        <f>AF404 / SUM(F$2:F404)</f>
        <v>#DIV/0!</v>
      </c>
      <c r="AH404" s="3" t="e">
        <f t="shared" si="190"/>
        <v>#DIV/0!</v>
      </c>
      <c r="AI404" s="3">
        <f t="shared" si="191"/>
        <v>0</v>
      </c>
      <c r="AJ404" s="3" t="e">
        <f t="shared" si="192"/>
        <v>#DIV/0!</v>
      </c>
      <c r="AK404" s="3" t="e">
        <f t="shared" si="177"/>
        <v>#DIV/0!</v>
      </c>
    </row>
    <row r="405" spans="1:37" x14ac:dyDescent="0.3">
      <c r="A405" s="24">
        <v>0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f t="shared" si="180"/>
        <v>0</v>
      </c>
      <c r="H405" s="3">
        <f t="shared" si="197"/>
        <v>0</v>
      </c>
      <c r="I405" s="3">
        <f t="shared" si="172"/>
        <v>0</v>
      </c>
      <c r="J405" s="3">
        <f t="shared" si="173"/>
        <v>0</v>
      </c>
      <c r="K405" s="3">
        <f t="shared" si="174"/>
        <v>0</v>
      </c>
      <c r="L405" s="3">
        <f t="shared" si="175"/>
        <v>0</v>
      </c>
      <c r="M405" s="3" t="e">
        <f t="shared" si="184"/>
        <v>#DIV/0!</v>
      </c>
      <c r="N405" s="3" t="e">
        <f t="shared" si="193"/>
        <v>#DIV/0!</v>
      </c>
      <c r="O405" s="3" t="e">
        <f t="shared" si="176"/>
        <v>#DIV/0!</v>
      </c>
      <c r="P405" s="3">
        <f t="shared" si="194"/>
        <v>0</v>
      </c>
      <c r="Q405" s="3">
        <f t="shared" si="178"/>
        <v>0</v>
      </c>
      <c r="R405" s="3">
        <f t="shared" si="196"/>
        <v>0</v>
      </c>
      <c r="S405" s="3">
        <f t="shared" si="179"/>
        <v>0</v>
      </c>
      <c r="T405" s="3">
        <f t="shared" si="181"/>
        <v>0</v>
      </c>
      <c r="U405" s="3">
        <f t="shared" si="195"/>
        <v>0</v>
      </c>
      <c r="V405" s="3">
        <f t="shared" si="182"/>
        <v>0</v>
      </c>
      <c r="W405" s="3">
        <f t="shared" si="185"/>
        <v>0</v>
      </c>
      <c r="X405" s="3">
        <f t="shared" si="186"/>
        <v>0</v>
      </c>
      <c r="Y405" s="3">
        <f t="shared" si="187"/>
        <v>0</v>
      </c>
      <c r="Z405" s="3">
        <f t="shared" si="198"/>
        <v>0</v>
      </c>
      <c r="AA405" s="3">
        <f t="shared" si="199"/>
        <v>0</v>
      </c>
      <c r="AB405" s="3" t="e">
        <f t="shared" si="200"/>
        <v>#DIV/0!</v>
      </c>
      <c r="AC405" s="3" t="str">
        <f t="shared" si="201"/>
        <v/>
      </c>
      <c r="AD405" s="3">
        <f t="shared" si="188"/>
        <v>0</v>
      </c>
      <c r="AE405" s="3">
        <f t="shared" si="183"/>
        <v>0</v>
      </c>
      <c r="AF405" s="3">
        <f t="shared" si="189"/>
        <v>0</v>
      </c>
      <c r="AG405" s="3" t="e">
        <f>AF405 / SUM(F$2:F405)</f>
        <v>#DIV/0!</v>
      </c>
      <c r="AH405" s="3" t="e">
        <f t="shared" si="190"/>
        <v>#DIV/0!</v>
      </c>
      <c r="AI405" s="3">
        <f t="shared" si="191"/>
        <v>0</v>
      </c>
      <c r="AJ405" s="3" t="e">
        <f t="shared" si="192"/>
        <v>#DIV/0!</v>
      </c>
      <c r="AK405" s="3" t="e">
        <f t="shared" si="177"/>
        <v>#DIV/0!</v>
      </c>
    </row>
    <row r="406" spans="1:37" x14ac:dyDescent="0.3">
      <c r="A406" s="24">
        <v>0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f t="shared" si="180"/>
        <v>0</v>
      </c>
      <c r="H406" s="3">
        <f t="shared" si="197"/>
        <v>0</v>
      </c>
      <c r="I406" s="3">
        <f t="shared" ref="I406:I469" si="202">AVERAGE(E387:E406)</f>
        <v>0</v>
      </c>
      <c r="J406" s="3">
        <f t="shared" ref="J406:J469" si="203">_xlfn.STDEV.S(E387:E406)</f>
        <v>0</v>
      </c>
      <c r="K406" s="3">
        <f t="shared" ref="K406:K469" si="204">I406 + 2*J406</f>
        <v>0</v>
      </c>
      <c r="L406" s="3">
        <f t="shared" ref="L406:L469" si="205">I406 - 2*J406</f>
        <v>0</v>
      </c>
      <c r="M406" s="3" t="e">
        <f t="shared" si="184"/>
        <v>#DIV/0!</v>
      </c>
      <c r="N406" s="3" t="e">
        <f t="shared" si="193"/>
        <v>#DIV/0!</v>
      </c>
      <c r="O406" s="3" t="e">
        <f t="shared" ref="O406:O469" si="206">_xlfn.STDEV.S(M387:M406)*SQRT(20)</f>
        <v>#DIV/0!</v>
      </c>
      <c r="P406" s="3">
        <f t="shared" si="194"/>
        <v>0</v>
      </c>
      <c r="Q406" s="3">
        <f t="shared" si="178"/>
        <v>0</v>
      </c>
      <c r="R406" s="3">
        <f t="shared" si="196"/>
        <v>0</v>
      </c>
      <c r="S406" s="3">
        <f t="shared" si="179"/>
        <v>0</v>
      </c>
      <c r="T406" s="3">
        <f t="shared" si="181"/>
        <v>0</v>
      </c>
      <c r="U406" s="3">
        <f t="shared" si="195"/>
        <v>0</v>
      </c>
      <c r="V406" s="3">
        <f t="shared" si="182"/>
        <v>0</v>
      </c>
      <c r="W406" s="3">
        <f t="shared" si="185"/>
        <v>0</v>
      </c>
      <c r="X406" s="3">
        <f t="shared" si="186"/>
        <v>0</v>
      </c>
      <c r="Y406" s="3">
        <f t="shared" si="187"/>
        <v>0</v>
      </c>
      <c r="Z406" s="3">
        <f t="shared" si="198"/>
        <v>0</v>
      </c>
      <c r="AA406" s="3">
        <f t="shared" si="199"/>
        <v>0</v>
      </c>
      <c r="AB406" s="3" t="e">
        <f t="shared" si="200"/>
        <v>#DIV/0!</v>
      </c>
      <c r="AC406" s="3" t="str">
        <f t="shared" si="201"/>
        <v/>
      </c>
      <c r="AD406" s="3">
        <f t="shared" si="188"/>
        <v>0</v>
      </c>
      <c r="AE406" s="3">
        <f t="shared" si="183"/>
        <v>0</v>
      </c>
      <c r="AF406" s="3">
        <f t="shared" si="189"/>
        <v>0</v>
      </c>
      <c r="AG406" s="3" t="e">
        <f>AF406 / SUM(F$2:F406)</f>
        <v>#DIV/0!</v>
      </c>
      <c r="AH406" s="3" t="e">
        <f t="shared" si="190"/>
        <v>#DIV/0!</v>
      </c>
      <c r="AI406" s="3">
        <f t="shared" si="191"/>
        <v>0</v>
      </c>
      <c r="AJ406" s="3" t="e">
        <f t="shared" si="192"/>
        <v>#DIV/0!</v>
      </c>
      <c r="AK406" s="3" t="e">
        <f t="shared" ref="AK406:AK469" si="207">F387 / AVERAGE(F387:F406)</f>
        <v>#DIV/0!</v>
      </c>
    </row>
    <row r="407" spans="1:37" x14ac:dyDescent="0.3">
      <c r="A407" s="24">
        <v>0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f t="shared" si="180"/>
        <v>0</v>
      </c>
      <c r="H407" s="3">
        <f t="shared" si="197"/>
        <v>0</v>
      </c>
      <c r="I407" s="3">
        <f t="shared" si="202"/>
        <v>0</v>
      </c>
      <c r="J407" s="3">
        <f t="shared" si="203"/>
        <v>0</v>
      </c>
      <c r="K407" s="3">
        <f t="shared" si="204"/>
        <v>0</v>
      </c>
      <c r="L407" s="3">
        <f t="shared" si="205"/>
        <v>0</v>
      </c>
      <c r="M407" s="3" t="e">
        <f t="shared" si="184"/>
        <v>#DIV/0!</v>
      </c>
      <c r="N407" s="3" t="e">
        <f t="shared" si="193"/>
        <v>#DIV/0!</v>
      </c>
      <c r="O407" s="3" t="e">
        <f t="shared" si="206"/>
        <v>#DIV/0!</v>
      </c>
      <c r="P407" s="3">
        <f t="shared" si="194"/>
        <v>0</v>
      </c>
      <c r="Q407" s="3">
        <f t="shared" si="178"/>
        <v>0</v>
      </c>
      <c r="R407" s="3">
        <f t="shared" si="196"/>
        <v>0</v>
      </c>
      <c r="S407" s="3">
        <f t="shared" si="179"/>
        <v>0</v>
      </c>
      <c r="T407" s="3">
        <f t="shared" si="181"/>
        <v>0</v>
      </c>
      <c r="U407" s="3">
        <f t="shared" si="195"/>
        <v>0</v>
      </c>
      <c r="V407" s="3">
        <f t="shared" si="182"/>
        <v>0</v>
      </c>
      <c r="W407" s="3">
        <f t="shared" si="185"/>
        <v>0</v>
      </c>
      <c r="X407" s="3">
        <f t="shared" si="186"/>
        <v>0</v>
      </c>
      <c r="Y407" s="3">
        <f t="shared" si="187"/>
        <v>0</v>
      </c>
      <c r="Z407" s="3">
        <f t="shared" si="198"/>
        <v>0</v>
      </c>
      <c r="AA407" s="3">
        <f t="shared" si="199"/>
        <v>0</v>
      </c>
      <c r="AB407" s="3" t="e">
        <f t="shared" si="200"/>
        <v>#DIV/0!</v>
      </c>
      <c r="AC407" s="3" t="str">
        <f t="shared" si="201"/>
        <v/>
      </c>
      <c r="AD407" s="3">
        <f t="shared" si="188"/>
        <v>0</v>
      </c>
      <c r="AE407" s="3">
        <f t="shared" si="183"/>
        <v>0</v>
      </c>
      <c r="AF407" s="3">
        <f t="shared" si="189"/>
        <v>0</v>
      </c>
      <c r="AG407" s="3" t="e">
        <f>AF407 / SUM(F$2:F407)</f>
        <v>#DIV/0!</v>
      </c>
      <c r="AH407" s="3" t="e">
        <f t="shared" si="190"/>
        <v>#DIV/0!</v>
      </c>
      <c r="AI407" s="3">
        <f t="shared" si="191"/>
        <v>0</v>
      </c>
      <c r="AJ407" s="3" t="e">
        <f t="shared" si="192"/>
        <v>#DIV/0!</v>
      </c>
      <c r="AK407" s="3" t="e">
        <f t="shared" si="207"/>
        <v>#DIV/0!</v>
      </c>
    </row>
    <row r="408" spans="1:37" x14ac:dyDescent="0.3">
      <c r="A408" s="24">
        <v>0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f t="shared" si="180"/>
        <v>0</v>
      </c>
      <c r="H408" s="3">
        <f t="shared" si="197"/>
        <v>0</v>
      </c>
      <c r="I408" s="3">
        <f t="shared" si="202"/>
        <v>0</v>
      </c>
      <c r="J408" s="3">
        <f t="shared" si="203"/>
        <v>0</v>
      </c>
      <c r="K408" s="3">
        <f t="shared" si="204"/>
        <v>0</v>
      </c>
      <c r="L408" s="3">
        <f t="shared" si="205"/>
        <v>0</v>
      </c>
      <c r="M408" s="3" t="e">
        <f t="shared" si="184"/>
        <v>#DIV/0!</v>
      </c>
      <c r="N408" s="3" t="e">
        <f t="shared" si="193"/>
        <v>#DIV/0!</v>
      </c>
      <c r="O408" s="3" t="e">
        <f t="shared" si="206"/>
        <v>#DIV/0!</v>
      </c>
      <c r="P408" s="3">
        <f t="shared" si="194"/>
        <v>0</v>
      </c>
      <c r="Q408" s="3">
        <f t="shared" ref="Q408:Q471" si="208">E408*(2/(21+1)) + Q407*(1-(2/(21+1)))</f>
        <v>0</v>
      </c>
      <c r="R408" s="3">
        <f t="shared" si="196"/>
        <v>0</v>
      </c>
      <c r="S408" s="3">
        <f t="shared" si="179"/>
        <v>0</v>
      </c>
      <c r="T408" s="3">
        <f t="shared" si="181"/>
        <v>0</v>
      </c>
      <c r="U408" s="3">
        <f t="shared" si="195"/>
        <v>0</v>
      </c>
      <c r="V408" s="3">
        <f t="shared" si="182"/>
        <v>0</v>
      </c>
      <c r="W408" s="3">
        <f t="shared" si="185"/>
        <v>0</v>
      </c>
      <c r="X408" s="3">
        <f t="shared" si="186"/>
        <v>0</v>
      </c>
      <c r="Y408" s="3">
        <f t="shared" si="187"/>
        <v>0</v>
      </c>
      <c r="Z408" s="3">
        <f t="shared" si="198"/>
        <v>0</v>
      </c>
      <c r="AA408" s="3">
        <f t="shared" si="199"/>
        <v>0</v>
      </c>
      <c r="AB408" s="3" t="e">
        <f t="shared" si="200"/>
        <v>#DIV/0!</v>
      </c>
      <c r="AC408" s="3" t="str">
        <f t="shared" si="201"/>
        <v/>
      </c>
      <c r="AD408" s="3">
        <f t="shared" si="188"/>
        <v>0</v>
      </c>
      <c r="AE408" s="3">
        <f t="shared" si="183"/>
        <v>0</v>
      </c>
      <c r="AF408" s="3">
        <f t="shared" si="189"/>
        <v>0</v>
      </c>
      <c r="AG408" s="3" t="e">
        <f>AF408 / SUM(F$2:F408)</f>
        <v>#DIV/0!</v>
      </c>
      <c r="AH408" s="3" t="e">
        <f t="shared" si="190"/>
        <v>#DIV/0!</v>
      </c>
      <c r="AI408" s="3">
        <f t="shared" si="191"/>
        <v>0</v>
      </c>
      <c r="AJ408" s="3" t="e">
        <f t="shared" si="192"/>
        <v>#DIV/0!</v>
      </c>
      <c r="AK408" s="3" t="e">
        <f t="shared" si="207"/>
        <v>#DIV/0!</v>
      </c>
    </row>
    <row r="409" spans="1:37" x14ac:dyDescent="0.3">
      <c r="A409" s="24">
        <v>0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f t="shared" si="180"/>
        <v>0</v>
      </c>
      <c r="H409" s="3">
        <f t="shared" si="197"/>
        <v>0</v>
      </c>
      <c r="I409" s="3">
        <f t="shared" si="202"/>
        <v>0</v>
      </c>
      <c r="J409" s="3">
        <f t="shared" si="203"/>
        <v>0</v>
      </c>
      <c r="K409" s="3">
        <f t="shared" si="204"/>
        <v>0</v>
      </c>
      <c r="L409" s="3">
        <f t="shared" si="205"/>
        <v>0</v>
      </c>
      <c r="M409" s="3" t="e">
        <f t="shared" si="184"/>
        <v>#DIV/0!</v>
      </c>
      <c r="N409" s="3" t="e">
        <f t="shared" si="193"/>
        <v>#DIV/0!</v>
      </c>
      <c r="O409" s="3" t="e">
        <f t="shared" si="206"/>
        <v>#DIV/0!</v>
      </c>
      <c r="P409" s="3">
        <f t="shared" si="194"/>
        <v>0</v>
      </c>
      <c r="Q409" s="3">
        <f t="shared" si="208"/>
        <v>0</v>
      </c>
      <c r="R409" s="3">
        <f t="shared" si="196"/>
        <v>0</v>
      </c>
      <c r="S409" s="3">
        <f t="shared" si="179"/>
        <v>0</v>
      </c>
      <c r="T409" s="3">
        <f t="shared" si="181"/>
        <v>0</v>
      </c>
      <c r="U409" s="3">
        <f t="shared" si="195"/>
        <v>0</v>
      </c>
      <c r="V409" s="3">
        <f t="shared" si="182"/>
        <v>0</v>
      </c>
      <c r="W409" s="3">
        <f t="shared" si="185"/>
        <v>0</v>
      </c>
      <c r="X409" s="3">
        <f t="shared" si="186"/>
        <v>0</v>
      </c>
      <c r="Y409" s="3">
        <f t="shared" si="187"/>
        <v>0</v>
      </c>
      <c r="Z409" s="3">
        <f t="shared" si="198"/>
        <v>0</v>
      </c>
      <c r="AA409" s="3">
        <f t="shared" si="199"/>
        <v>0</v>
      </c>
      <c r="AB409" s="3" t="e">
        <f t="shared" si="200"/>
        <v>#DIV/0!</v>
      </c>
      <c r="AC409" s="3" t="str">
        <f t="shared" si="201"/>
        <v/>
      </c>
      <c r="AD409" s="3">
        <f t="shared" si="188"/>
        <v>0</v>
      </c>
      <c r="AE409" s="3">
        <f t="shared" si="183"/>
        <v>0</v>
      </c>
      <c r="AF409" s="3">
        <f t="shared" si="189"/>
        <v>0</v>
      </c>
      <c r="AG409" s="3" t="e">
        <f>AF409 / SUM(F$2:F409)</f>
        <v>#DIV/0!</v>
      </c>
      <c r="AH409" s="3" t="e">
        <f t="shared" si="190"/>
        <v>#DIV/0!</v>
      </c>
      <c r="AI409" s="3">
        <f t="shared" si="191"/>
        <v>0</v>
      </c>
      <c r="AJ409" s="3" t="e">
        <f t="shared" si="192"/>
        <v>#DIV/0!</v>
      </c>
      <c r="AK409" s="3" t="e">
        <f t="shared" si="207"/>
        <v>#DIV/0!</v>
      </c>
    </row>
    <row r="410" spans="1:37" x14ac:dyDescent="0.3">
      <c r="A410" s="24">
        <v>0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f t="shared" si="180"/>
        <v>0</v>
      </c>
      <c r="H410" s="3">
        <f t="shared" si="197"/>
        <v>0</v>
      </c>
      <c r="I410" s="3">
        <f t="shared" si="202"/>
        <v>0</v>
      </c>
      <c r="J410" s="3">
        <f t="shared" si="203"/>
        <v>0</v>
      </c>
      <c r="K410" s="3">
        <f t="shared" si="204"/>
        <v>0</v>
      </c>
      <c r="L410" s="3">
        <f t="shared" si="205"/>
        <v>0</v>
      </c>
      <c r="M410" s="3" t="e">
        <f t="shared" si="184"/>
        <v>#DIV/0!</v>
      </c>
      <c r="N410" s="3" t="e">
        <f t="shared" si="193"/>
        <v>#DIV/0!</v>
      </c>
      <c r="O410" s="3" t="e">
        <f t="shared" si="206"/>
        <v>#DIV/0!</v>
      </c>
      <c r="P410" s="3">
        <f t="shared" si="194"/>
        <v>0</v>
      </c>
      <c r="Q410" s="3">
        <f t="shared" si="208"/>
        <v>0</v>
      </c>
      <c r="R410" s="3">
        <f t="shared" si="196"/>
        <v>0</v>
      </c>
      <c r="S410" s="3">
        <f t="shared" si="179"/>
        <v>0</v>
      </c>
      <c r="T410" s="3">
        <f t="shared" si="181"/>
        <v>0</v>
      </c>
      <c r="U410" s="3">
        <f t="shared" si="195"/>
        <v>0</v>
      </c>
      <c r="V410" s="3">
        <f t="shared" si="182"/>
        <v>0</v>
      </c>
      <c r="W410" s="3">
        <f t="shared" si="185"/>
        <v>0</v>
      </c>
      <c r="X410" s="3">
        <f t="shared" si="186"/>
        <v>0</v>
      </c>
      <c r="Y410" s="3">
        <f t="shared" si="187"/>
        <v>0</v>
      </c>
      <c r="Z410" s="3">
        <f t="shared" si="198"/>
        <v>0</v>
      </c>
      <c r="AA410" s="3">
        <f t="shared" si="199"/>
        <v>0</v>
      </c>
      <c r="AB410" s="3" t="e">
        <f t="shared" si="200"/>
        <v>#DIV/0!</v>
      </c>
      <c r="AC410" s="3" t="str">
        <f t="shared" si="201"/>
        <v/>
      </c>
      <c r="AD410" s="3">
        <f t="shared" si="188"/>
        <v>0</v>
      </c>
      <c r="AE410" s="3">
        <f t="shared" si="183"/>
        <v>0</v>
      </c>
      <c r="AF410" s="3">
        <f t="shared" si="189"/>
        <v>0</v>
      </c>
      <c r="AG410" s="3" t="e">
        <f>AF410 / SUM(F$2:F410)</f>
        <v>#DIV/0!</v>
      </c>
      <c r="AH410" s="3" t="e">
        <f t="shared" si="190"/>
        <v>#DIV/0!</v>
      </c>
      <c r="AI410" s="3">
        <f t="shared" si="191"/>
        <v>0</v>
      </c>
      <c r="AJ410" s="3" t="e">
        <f t="shared" si="192"/>
        <v>#DIV/0!</v>
      </c>
      <c r="AK410" s="3" t="e">
        <f t="shared" si="207"/>
        <v>#DIV/0!</v>
      </c>
    </row>
    <row r="411" spans="1:37" x14ac:dyDescent="0.3">
      <c r="A411" s="24">
        <v>0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f t="shared" si="180"/>
        <v>0</v>
      </c>
      <c r="H411" s="3">
        <f t="shared" si="197"/>
        <v>0</v>
      </c>
      <c r="I411" s="3">
        <f t="shared" si="202"/>
        <v>0</v>
      </c>
      <c r="J411" s="3">
        <f t="shared" si="203"/>
        <v>0</v>
      </c>
      <c r="K411" s="3">
        <f t="shared" si="204"/>
        <v>0</v>
      </c>
      <c r="L411" s="3">
        <f t="shared" si="205"/>
        <v>0</v>
      </c>
      <c r="M411" s="3" t="e">
        <f t="shared" si="184"/>
        <v>#DIV/0!</v>
      </c>
      <c r="N411" s="3" t="e">
        <f t="shared" si="193"/>
        <v>#DIV/0!</v>
      </c>
      <c r="O411" s="3" t="e">
        <f t="shared" si="206"/>
        <v>#DIV/0!</v>
      </c>
      <c r="P411" s="3">
        <f t="shared" si="194"/>
        <v>0</v>
      </c>
      <c r="Q411" s="3">
        <f t="shared" si="208"/>
        <v>0</v>
      </c>
      <c r="R411" s="3">
        <f t="shared" si="196"/>
        <v>0</v>
      </c>
      <c r="S411" s="3">
        <f t="shared" si="179"/>
        <v>0</v>
      </c>
      <c r="T411" s="3">
        <f t="shared" si="181"/>
        <v>0</v>
      </c>
      <c r="U411" s="3">
        <f t="shared" si="195"/>
        <v>0</v>
      </c>
      <c r="V411" s="3">
        <f t="shared" si="182"/>
        <v>0</v>
      </c>
      <c r="W411" s="3">
        <f t="shared" si="185"/>
        <v>0</v>
      </c>
      <c r="X411" s="3">
        <f t="shared" si="186"/>
        <v>0</v>
      </c>
      <c r="Y411" s="3">
        <f t="shared" si="187"/>
        <v>0</v>
      </c>
      <c r="Z411" s="3">
        <f t="shared" si="198"/>
        <v>0</v>
      </c>
      <c r="AA411" s="3">
        <f t="shared" si="199"/>
        <v>0</v>
      </c>
      <c r="AB411" s="3" t="e">
        <f t="shared" si="200"/>
        <v>#DIV/0!</v>
      </c>
      <c r="AC411" s="3" t="str">
        <f t="shared" si="201"/>
        <v/>
      </c>
      <c r="AD411" s="3">
        <f t="shared" si="188"/>
        <v>0</v>
      </c>
      <c r="AE411" s="3">
        <f t="shared" si="183"/>
        <v>0</v>
      </c>
      <c r="AF411" s="3">
        <f t="shared" si="189"/>
        <v>0</v>
      </c>
      <c r="AG411" s="3" t="e">
        <f>AF411 / SUM(F$2:F411)</f>
        <v>#DIV/0!</v>
      </c>
      <c r="AH411" s="3" t="e">
        <f t="shared" si="190"/>
        <v>#DIV/0!</v>
      </c>
      <c r="AI411" s="3">
        <f t="shared" si="191"/>
        <v>0</v>
      </c>
      <c r="AJ411" s="3" t="e">
        <f t="shared" si="192"/>
        <v>#DIV/0!</v>
      </c>
      <c r="AK411" s="3" t="e">
        <f t="shared" si="207"/>
        <v>#DIV/0!</v>
      </c>
    </row>
    <row r="412" spans="1:37" x14ac:dyDescent="0.3">
      <c r="A412" s="24">
        <v>0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f t="shared" si="180"/>
        <v>0</v>
      </c>
      <c r="H412" s="3">
        <f t="shared" si="197"/>
        <v>0</v>
      </c>
      <c r="I412" s="3">
        <f t="shared" si="202"/>
        <v>0</v>
      </c>
      <c r="J412" s="3">
        <f t="shared" si="203"/>
        <v>0</v>
      </c>
      <c r="K412" s="3">
        <f t="shared" si="204"/>
        <v>0</v>
      </c>
      <c r="L412" s="3">
        <f t="shared" si="205"/>
        <v>0</v>
      </c>
      <c r="M412" s="3" t="e">
        <f t="shared" si="184"/>
        <v>#DIV/0!</v>
      </c>
      <c r="N412" s="3" t="e">
        <f t="shared" si="193"/>
        <v>#DIV/0!</v>
      </c>
      <c r="O412" s="3" t="e">
        <f t="shared" si="206"/>
        <v>#DIV/0!</v>
      </c>
      <c r="P412" s="3">
        <f t="shared" si="194"/>
        <v>0</v>
      </c>
      <c r="Q412" s="3">
        <f t="shared" si="208"/>
        <v>0</v>
      </c>
      <c r="R412" s="3">
        <f t="shared" si="196"/>
        <v>0</v>
      </c>
      <c r="S412" s="3">
        <f t="shared" si="179"/>
        <v>0</v>
      </c>
      <c r="T412" s="3">
        <f t="shared" si="181"/>
        <v>0</v>
      </c>
      <c r="U412" s="3">
        <f t="shared" si="195"/>
        <v>0</v>
      </c>
      <c r="V412" s="3">
        <f t="shared" si="182"/>
        <v>0</v>
      </c>
      <c r="W412" s="3">
        <f t="shared" si="185"/>
        <v>0</v>
      </c>
      <c r="X412" s="3">
        <f t="shared" si="186"/>
        <v>0</v>
      </c>
      <c r="Y412" s="3">
        <f t="shared" si="187"/>
        <v>0</v>
      </c>
      <c r="Z412" s="3">
        <f t="shared" si="198"/>
        <v>0</v>
      </c>
      <c r="AA412" s="3">
        <f t="shared" si="199"/>
        <v>0</v>
      </c>
      <c r="AB412" s="3" t="e">
        <f t="shared" si="200"/>
        <v>#DIV/0!</v>
      </c>
      <c r="AC412" s="3" t="str">
        <f t="shared" si="201"/>
        <v/>
      </c>
      <c r="AD412" s="3">
        <f t="shared" si="188"/>
        <v>0</v>
      </c>
      <c r="AE412" s="3">
        <f t="shared" si="183"/>
        <v>0</v>
      </c>
      <c r="AF412" s="3">
        <f t="shared" si="189"/>
        <v>0</v>
      </c>
      <c r="AG412" s="3" t="e">
        <f>AF412 / SUM(F$2:F412)</f>
        <v>#DIV/0!</v>
      </c>
      <c r="AH412" s="3" t="e">
        <f t="shared" si="190"/>
        <v>#DIV/0!</v>
      </c>
      <c r="AI412" s="3">
        <f t="shared" si="191"/>
        <v>0</v>
      </c>
      <c r="AJ412" s="3" t="e">
        <f t="shared" si="192"/>
        <v>#DIV/0!</v>
      </c>
      <c r="AK412" s="3" t="e">
        <f t="shared" si="207"/>
        <v>#DIV/0!</v>
      </c>
    </row>
    <row r="413" spans="1:37" x14ac:dyDescent="0.3">
      <c r="A413" s="24">
        <v>0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f t="shared" si="180"/>
        <v>0</v>
      </c>
      <c r="H413" s="3">
        <f t="shared" si="197"/>
        <v>0</v>
      </c>
      <c r="I413" s="3">
        <f t="shared" si="202"/>
        <v>0</v>
      </c>
      <c r="J413" s="3">
        <f t="shared" si="203"/>
        <v>0</v>
      </c>
      <c r="K413" s="3">
        <f t="shared" si="204"/>
        <v>0</v>
      </c>
      <c r="L413" s="3">
        <f t="shared" si="205"/>
        <v>0</v>
      </c>
      <c r="M413" s="3" t="e">
        <f t="shared" si="184"/>
        <v>#DIV/0!</v>
      </c>
      <c r="N413" s="3" t="e">
        <f t="shared" si="193"/>
        <v>#DIV/0!</v>
      </c>
      <c r="O413" s="3" t="e">
        <f t="shared" si="206"/>
        <v>#DIV/0!</v>
      </c>
      <c r="P413" s="3">
        <f t="shared" si="194"/>
        <v>0</v>
      </c>
      <c r="Q413" s="3">
        <f t="shared" si="208"/>
        <v>0</v>
      </c>
      <c r="R413" s="3">
        <f t="shared" si="196"/>
        <v>0</v>
      </c>
      <c r="S413" s="3">
        <f t="shared" ref="S413:S476" si="209">E413*(2/(26+1)) + S412*(1-(2/(26+1)))</f>
        <v>0</v>
      </c>
      <c r="T413" s="3">
        <f t="shared" si="181"/>
        <v>0</v>
      </c>
      <c r="U413" s="3">
        <f t="shared" si="195"/>
        <v>0</v>
      </c>
      <c r="V413" s="3">
        <f t="shared" si="182"/>
        <v>0</v>
      </c>
      <c r="W413" s="3">
        <f t="shared" si="185"/>
        <v>0</v>
      </c>
      <c r="X413" s="3">
        <f t="shared" si="186"/>
        <v>0</v>
      </c>
      <c r="Y413" s="3">
        <f t="shared" si="187"/>
        <v>0</v>
      </c>
      <c r="Z413" s="3">
        <f t="shared" si="198"/>
        <v>0</v>
      </c>
      <c r="AA413" s="3">
        <f t="shared" si="199"/>
        <v>0</v>
      </c>
      <c r="AB413" s="3" t="e">
        <f t="shared" si="200"/>
        <v>#DIV/0!</v>
      </c>
      <c r="AC413" s="3" t="str">
        <f t="shared" si="201"/>
        <v/>
      </c>
      <c r="AD413" s="3">
        <f t="shared" si="188"/>
        <v>0</v>
      </c>
      <c r="AE413" s="3">
        <f t="shared" si="183"/>
        <v>0</v>
      </c>
      <c r="AF413" s="3">
        <f t="shared" si="189"/>
        <v>0</v>
      </c>
      <c r="AG413" s="3" t="e">
        <f>AF413 / SUM(F$2:F413)</f>
        <v>#DIV/0!</v>
      </c>
      <c r="AH413" s="3" t="e">
        <f t="shared" si="190"/>
        <v>#DIV/0!</v>
      </c>
      <c r="AI413" s="3">
        <f t="shared" si="191"/>
        <v>0</v>
      </c>
      <c r="AJ413" s="3" t="e">
        <f t="shared" si="192"/>
        <v>#DIV/0!</v>
      </c>
      <c r="AK413" s="3" t="e">
        <f t="shared" si="207"/>
        <v>#DIV/0!</v>
      </c>
    </row>
    <row r="414" spans="1:37" x14ac:dyDescent="0.3">
      <c r="A414" s="24">
        <v>0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f t="shared" si="180"/>
        <v>0</v>
      </c>
      <c r="H414" s="3">
        <f t="shared" si="197"/>
        <v>0</v>
      </c>
      <c r="I414" s="3">
        <f t="shared" si="202"/>
        <v>0</v>
      </c>
      <c r="J414" s="3">
        <f t="shared" si="203"/>
        <v>0</v>
      </c>
      <c r="K414" s="3">
        <f t="shared" si="204"/>
        <v>0</v>
      </c>
      <c r="L414" s="3">
        <f t="shared" si="205"/>
        <v>0</v>
      </c>
      <c r="M414" s="3" t="e">
        <f t="shared" si="184"/>
        <v>#DIV/0!</v>
      </c>
      <c r="N414" s="3" t="e">
        <f t="shared" si="193"/>
        <v>#DIV/0!</v>
      </c>
      <c r="O414" s="3" t="e">
        <f t="shared" si="206"/>
        <v>#DIV/0!</v>
      </c>
      <c r="P414" s="3">
        <f t="shared" si="194"/>
        <v>0</v>
      </c>
      <c r="Q414" s="3">
        <f t="shared" si="208"/>
        <v>0</v>
      </c>
      <c r="R414" s="3">
        <f t="shared" si="196"/>
        <v>0</v>
      </c>
      <c r="S414" s="3">
        <f t="shared" si="209"/>
        <v>0</v>
      </c>
      <c r="T414" s="3">
        <f t="shared" si="181"/>
        <v>0</v>
      </c>
      <c r="U414" s="3">
        <f t="shared" si="195"/>
        <v>0</v>
      </c>
      <c r="V414" s="3">
        <f t="shared" si="182"/>
        <v>0</v>
      </c>
      <c r="W414" s="3">
        <f t="shared" si="185"/>
        <v>0</v>
      </c>
      <c r="X414" s="3">
        <f t="shared" si="186"/>
        <v>0</v>
      </c>
      <c r="Y414" s="3">
        <f t="shared" si="187"/>
        <v>0</v>
      </c>
      <c r="Z414" s="3">
        <f t="shared" si="198"/>
        <v>0</v>
      </c>
      <c r="AA414" s="3">
        <f t="shared" si="199"/>
        <v>0</v>
      </c>
      <c r="AB414" s="3" t="e">
        <f t="shared" si="200"/>
        <v>#DIV/0!</v>
      </c>
      <c r="AC414" s="3" t="str">
        <f t="shared" si="201"/>
        <v/>
      </c>
      <c r="AD414" s="3">
        <f t="shared" si="188"/>
        <v>0</v>
      </c>
      <c r="AE414" s="3">
        <f t="shared" si="183"/>
        <v>0</v>
      </c>
      <c r="AF414" s="3">
        <f t="shared" si="189"/>
        <v>0</v>
      </c>
      <c r="AG414" s="3" t="e">
        <f>AF414 / SUM(F$2:F414)</f>
        <v>#DIV/0!</v>
      </c>
      <c r="AH414" s="3" t="e">
        <f t="shared" si="190"/>
        <v>#DIV/0!</v>
      </c>
      <c r="AI414" s="3">
        <f t="shared" si="191"/>
        <v>0</v>
      </c>
      <c r="AJ414" s="3" t="e">
        <f t="shared" si="192"/>
        <v>#DIV/0!</v>
      </c>
      <c r="AK414" s="3" t="e">
        <f t="shared" si="207"/>
        <v>#DIV/0!</v>
      </c>
    </row>
    <row r="415" spans="1:37" x14ac:dyDescent="0.3">
      <c r="A415" s="24">
        <v>0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f t="shared" si="180"/>
        <v>0</v>
      </c>
      <c r="H415" s="3">
        <f t="shared" si="197"/>
        <v>0</v>
      </c>
      <c r="I415" s="3">
        <f t="shared" si="202"/>
        <v>0</v>
      </c>
      <c r="J415" s="3">
        <f t="shared" si="203"/>
        <v>0</v>
      </c>
      <c r="K415" s="3">
        <f t="shared" si="204"/>
        <v>0</v>
      </c>
      <c r="L415" s="3">
        <f t="shared" si="205"/>
        <v>0</v>
      </c>
      <c r="M415" s="3" t="e">
        <f t="shared" si="184"/>
        <v>#DIV/0!</v>
      </c>
      <c r="N415" s="3" t="e">
        <f t="shared" si="193"/>
        <v>#DIV/0!</v>
      </c>
      <c r="O415" s="3" t="e">
        <f t="shared" si="206"/>
        <v>#DIV/0!</v>
      </c>
      <c r="P415" s="3">
        <f t="shared" si="194"/>
        <v>0</v>
      </c>
      <c r="Q415" s="3">
        <f t="shared" si="208"/>
        <v>0</v>
      </c>
      <c r="R415" s="3">
        <f t="shared" si="196"/>
        <v>0</v>
      </c>
      <c r="S415" s="3">
        <f t="shared" si="209"/>
        <v>0</v>
      </c>
      <c r="T415" s="3">
        <f t="shared" si="181"/>
        <v>0</v>
      </c>
      <c r="U415" s="3">
        <f t="shared" si="195"/>
        <v>0</v>
      </c>
      <c r="V415" s="3">
        <f t="shared" si="182"/>
        <v>0</v>
      </c>
      <c r="W415" s="3">
        <f t="shared" si="185"/>
        <v>0</v>
      </c>
      <c r="X415" s="3">
        <f t="shared" si="186"/>
        <v>0</v>
      </c>
      <c r="Y415" s="3">
        <f t="shared" si="187"/>
        <v>0</v>
      </c>
      <c r="Z415" s="3">
        <f t="shared" si="198"/>
        <v>0</v>
      </c>
      <c r="AA415" s="3">
        <f t="shared" si="199"/>
        <v>0</v>
      </c>
      <c r="AB415" s="3" t="e">
        <f t="shared" si="200"/>
        <v>#DIV/0!</v>
      </c>
      <c r="AC415" s="3" t="str">
        <f t="shared" si="201"/>
        <v/>
      </c>
      <c r="AD415" s="3">
        <f t="shared" si="188"/>
        <v>0</v>
      </c>
      <c r="AE415" s="3">
        <f t="shared" si="183"/>
        <v>0</v>
      </c>
      <c r="AF415" s="3">
        <f t="shared" si="189"/>
        <v>0</v>
      </c>
      <c r="AG415" s="3" t="e">
        <f>AF415 / SUM(F$2:F415)</f>
        <v>#DIV/0!</v>
      </c>
      <c r="AH415" s="3" t="e">
        <f t="shared" si="190"/>
        <v>#DIV/0!</v>
      </c>
      <c r="AI415" s="3">
        <f t="shared" si="191"/>
        <v>0</v>
      </c>
      <c r="AJ415" s="3" t="e">
        <f t="shared" si="192"/>
        <v>#DIV/0!</v>
      </c>
      <c r="AK415" s="3" t="e">
        <f t="shared" si="207"/>
        <v>#DIV/0!</v>
      </c>
    </row>
    <row r="416" spans="1:37" x14ac:dyDescent="0.3">
      <c r="A416" s="24">
        <v>0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f t="shared" si="180"/>
        <v>0</v>
      </c>
      <c r="H416" s="3">
        <f t="shared" si="197"/>
        <v>0</v>
      </c>
      <c r="I416" s="3">
        <f t="shared" si="202"/>
        <v>0</v>
      </c>
      <c r="J416" s="3">
        <f t="shared" si="203"/>
        <v>0</v>
      </c>
      <c r="K416" s="3">
        <f t="shared" si="204"/>
        <v>0</v>
      </c>
      <c r="L416" s="3">
        <f t="shared" si="205"/>
        <v>0</v>
      </c>
      <c r="M416" s="3" t="e">
        <f t="shared" si="184"/>
        <v>#DIV/0!</v>
      </c>
      <c r="N416" s="3" t="e">
        <f t="shared" si="193"/>
        <v>#DIV/0!</v>
      </c>
      <c r="O416" s="3" t="e">
        <f t="shared" si="206"/>
        <v>#DIV/0!</v>
      </c>
      <c r="P416" s="3">
        <f t="shared" si="194"/>
        <v>0</v>
      </c>
      <c r="Q416" s="3">
        <f t="shared" si="208"/>
        <v>0</v>
      </c>
      <c r="R416" s="3">
        <f t="shared" si="196"/>
        <v>0</v>
      </c>
      <c r="S416" s="3">
        <f t="shared" si="209"/>
        <v>0</v>
      </c>
      <c r="T416" s="3">
        <f t="shared" si="181"/>
        <v>0</v>
      </c>
      <c r="U416" s="3">
        <f t="shared" si="195"/>
        <v>0</v>
      </c>
      <c r="V416" s="3">
        <f t="shared" si="182"/>
        <v>0</v>
      </c>
      <c r="W416" s="3">
        <f t="shared" si="185"/>
        <v>0</v>
      </c>
      <c r="X416" s="3">
        <f t="shared" si="186"/>
        <v>0</v>
      </c>
      <c r="Y416" s="3">
        <f t="shared" si="187"/>
        <v>0</v>
      </c>
      <c r="Z416" s="3">
        <f t="shared" si="198"/>
        <v>0</v>
      </c>
      <c r="AA416" s="3">
        <f t="shared" si="199"/>
        <v>0</v>
      </c>
      <c r="AB416" s="3" t="e">
        <f t="shared" si="200"/>
        <v>#DIV/0!</v>
      </c>
      <c r="AC416" s="3" t="str">
        <f t="shared" si="201"/>
        <v/>
      </c>
      <c r="AD416" s="3">
        <f t="shared" si="188"/>
        <v>0</v>
      </c>
      <c r="AE416" s="3">
        <f t="shared" si="183"/>
        <v>0</v>
      </c>
      <c r="AF416" s="3">
        <f t="shared" si="189"/>
        <v>0</v>
      </c>
      <c r="AG416" s="3" t="e">
        <f>AF416 / SUM(F$2:F416)</f>
        <v>#DIV/0!</v>
      </c>
      <c r="AH416" s="3" t="e">
        <f t="shared" si="190"/>
        <v>#DIV/0!</v>
      </c>
      <c r="AI416" s="3">
        <f t="shared" si="191"/>
        <v>0</v>
      </c>
      <c r="AJ416" s="3" t="e">
        <f t="shared" si="192"/>
        <v>#DIV/0!</v>
      </c>
      <c r="AK416" s="3" t="e">
        <f t="shared" si="207"/>
        <v>#DIV/0!</v>
      </c>
    </row>
    <row r="417" spans="1:37" x14ac:dyDescent="0.3">
      <c r="A417" s="24">
        <v>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f t="shared" si="180"/>
        <v>0</v>
      </c>
      <c r="H417" s="3">
        <f t="shared" si="197"/>
        <v>0</v>
      </c>
      <c r="I417" s="3">
        <f t="shared" si="202"/>
        <v>0</v>
      </c>
      <c r="J417" s="3">
        <f t="shared" si="203"/>
        <v>0</v>
      </c>
      <c r="K417" s="3">
        <f t="shared" si="204"/>
        <v>0</v>
      </c>
      <c r="L417" s="3">
        <f t="shared" si="205"/>
        <v>0</v>
      </c>
      <c r="M417" s="3" t="e">
        <f t="shared" si="184"/>
        <v>#DIV/0!</v>
      </c>
      <c r="N417" s="3" t="e">
        <f t="shared" si="193"/>
        <v>#DIV/0!</v>
      </c>
      <c r="O417" s="3" t="e">
        <f t="shared" si="206"/>
        <v>#DIV/0!</v>
      </c>
      <c r="P417" s="3">
        <f t="shared" si="194"/>
        <v>0</v>
      </c>
      <c r="Q417" s="3">
        <f t="shared" si="208"/>
        <v>0</v>
      </c>
      <c r="R417" s="3">
        <f t="shared" si="196"/>
        <v>0</v>
      </c>
      <c r="S417" s="3">
        <f t="shared" si="209"/>
        <v>0</v>
      </c>
      <c r="T417" s="3">
        <f t="shared" si="181"/>
        <v>0</v>
      </c>
      <c r="U417" s="3">
        <f t="shared" si="195"/>
        <v>0</v>
      </c>
      <c r="V417" s="3">
        <f t="shared" si="182"/>
        <v>0</v>
      </c>
      <c r="W417" s="3">
        <f t="shared" si="185"/>
        <v>0</v>
      </c>
      <c r="X417" s="3">
        <f t="shared" si="186"/>
        <v>0</v>
      </c>
      <c r="Y417" s="3">
        <f t="shared" si="187"/>
        <v>0</v>
      </c>
      <c r="Z417" s="3">
        <f t="shared" si="198"/>
        <v>0</v>
      </c>
      <c r="AA417" s="3">
        <f t="shared" si="199"/>
        <v>0</v>
      </c>
      <c r="AB417" s="3" t="e">
        <f t="shared" si="200"/>
        <v>#DIV/0!</v>
      </c>
      <c r="AC417" s="3" t="str">
        <f t="shared" si="201"/>
        <v/>
      </c>
      <c r="AD417" s="3">
        <f t="shared" si="188"/>
        <v>0</v>
      </c>
      <c r="AE417" s="3">
        <f t="shared" si="183"/>
        <v>0</v>
      </c>
      <c r="AF417" s="3">
        <f t="shared" si="189"/>
        <v>0</v>
      </c>
      <c r="AG417" s="3" t="e">
        <f>AF417 / SUM(F$2:F417)</f>
        <v>#DIV/0!</v>
      </c>
      <c r="AH417" s="3" t="e">
        <f t="shared" si="190"/>
        <v>#DIV/0!</v>
      </c>
      <c r="AI417" s="3">
        <f t="shared" si="191"/>
        <v>0</v>
      </c>
      <c r="AJ417" s="3" t="e">
        <f t="shared" si="192"/>
        <v>#DIV/0!</v>
      </c>
      <c r="AK417" s="3" t="e">
        <f t="shared" si="207"/>
        <v>#DIV/0!</v>
      </c>
    </row>
    <row r="418" spans="1:37" x14ac:dyDescent="0.3">
      <c r="A418" s="24">
        <v>0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f t="shared" si="180"/>
        <v>0</v>
      </c>
      <c r="H418" s="3">
        <f t="shared" si="197"/>
        <v>0</v>
      </c>
      <c r="I418" s="3">
        <f t="shared" si="202"/>
        <v>0</v>
      </c>
      <c r="J418" s="3">
        <f t="shared" si="203"/>
        <v>0</v>
      </c>
      <c r="K418" s="3">
        <f t="shared" si="204"/>
        <v>0</v>
      </c>
      <c r="L418" s="3">
        <f t="shared" si="205"/>
        <v>0</v>
      </c>
      <c r="M418" s="3" t="e">
        <f t="shared" si="184"/>
        <v>#DIV/0!</v>
      </c>
      <c r="N418" s="3" t="e">
        <f t="shared" si="193"/>
        <v>#DIV/0!</v>
      </c>
      <c r="O418" s="3" t="e">
        <f t="shared" si="206"/>
        <v>#DIV/0!</v>
      </c>
      <c r="P418" s="3">
        <f t="shared" si="194"/>
        <v>0</v>
      </c>
      <c r="Q418" s="3">
        <f t="shared" si="208"/>
        <v>0</v>
      </c>
      <c r="R418" s="3">
        <f t="shared" si="196"/>
        <v>0</v>
      </c>
      <c r="S418" s="3">
        <f t="shared" si="209"/>
        <v>0</v>
      </c>
      <c r="T418" s="3">
        <f t="shared" si="181"/>
        <v>0</v>
      </c>
      <c r="U418" s="3">
        <f t="shared" si="195"/>
        <v>0</v>
      </c>
      <c r="V418" s="3">
        <f t="shared" si="182"/>
        <v>0</v>
      </c>
      <c r="W418" s="3">
        <f t="shared" si="185"/>
        <v>0</v>
      </c>
      <c r="X418" s="3">
        <f t="shared" si="186"/>
        <v>0</v>
      </c>
      <c r="Y418" s="3">
        <f t="shared" si="187"/>
        <v>0</v>
      </c>
      <c r="Z418" s="3">
        <f t="shared" si="198"/>
        <v>0</v>
      </c>
      <c r="AA418" s="3">
        <f t="shared" si="199"/>
        <v>0</v>
      </c>
      <c r="AB418" s="3" t="e">
        <f t="shared" si="200"/>
        <v>#DIV/0!</v>
      </c>
      <c r="AC418" s="3" t="str">
        <f t="shared" si="201"/>
        <v/>
      </c>
      <c r="AD418" s="3">
        <f t="shared" si="188"/>
        <v>0</v>
      </c>
      <c r="AE418" s="3">
        <f t="shared" si="183"/>
        <v>0</v>
      </c>
      <c r="AF418" s="3">
        <f t="shared" si="189"/>
        <v>0</v>
      </c>
      <c r="AG418" s="3" t="e">
        <f>AF418 / SUM(F$2:F418)</f>
        <v>#DIV/0!</v>
      </c>
      <c r="AH418" s="3" t="e">
        <f t="shared" si="190"/>
        <v>#DIV/0!</v>
      </c>
      <c r="AI418" s="3">
        <f t="shared" si="191"/>
        <v>0</v>
      </c>
      <c r="AJ418" s="3" t="e">
        <f t="shared" si="192"/>
        <v>#DIV/0!</v>
      </c>
      <c r="AK418" s="3" t="e">
        <f t="shared" si="207"/>
        <v>#DIV/0!</v>
      </c>
    </row>
    <row r="419" spans="1:37" x14ac:dyDescent="0.3">
      <c r="A419" s="24">
        <v>0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f t="shared" si="180"/>
        <v>0</v>
      </c>
      <c r="H419" s="3">
        <f t="shared" si="197"/>
        <v>0</v>
      </c>
      <c r="I419" s="3">
        <f t="shared" si="202"/>
        <v>0</v>
      </c>
      <c r="J419" s="3">
        <f t="shared" si="203"/>
        <v>0</v>
      </c>
      <c r="K419" s="3">
        <f t="shared" si="204"/>
        <v>0</v>
      </c>
      <c r="L419" s="3">
        <f t="shared" si="205"/>
        <v>0</v>
      </c>
      <c r="M419" s="3" t="e">
        <f t="shared" si="184"/>
        <v>#DIV/0!</v>
      </c>
      <c r="N419" s="3" t="e">
        <f t="shared" si="193"/>
        <v>#DIV/0!</v>
      </c>
      <c r="O419" s="3" t="e">
        <f t="shared" si="206"/>
        <v>#DIV/0!</v>
      </c>
      <c r="P419" s="3">
        <f t="shared" si="194"/>
        <v>0</v>
      </c>
      <c r="Q419" s="3">
        <f t="shared" si="208"/>
        <v>0</v>
      </c>
      <c r="R419" s="3">
        <f t="shared" si="196"/>
        <v>0</v>
      </c>
      <c r="S419" s="3">
        <f t="shared" si="209"/>
        <v>0</v>
      </c>
      <c r="T419" s="3">
        <f t="shared" si="181"/>
        <v>0</v>
      </c>
      <c r="U419" s="3">
        <f t="shared" si="195"/>
        <v>0</v>
      </c>
      <c r="V419" s="3">
        <f t="shared" si="182"/>
        <v>0</v>
      </c>
      <c r="W419" s="3">
        <f t="shared" si="185"/>
        <v>0</v>
      </c>
      <c r="X419" s="3">
        <f t="shared" si="186"/>
        <v>0</v>
      </c>
      <c r="Y419" s="3">
        <f t="shared" si="187"/>
        <v>0</v>
      </c>
      <c r="Z419" s="3">
        <f t="shared" si="198"/>
        <v>0</v>
      </c>
      <c r="AA419" s="3">
        <f t="shared" si="199"/>
        <v>0</v>
      </c>
      <c r="AB419" s="3" t="e">
        <f t="shared" si="200"/>
        <v>#DIV/0!</v>
      </c>
      <c r="AC419" s="3" t="str">
        <f t="shared" si="201"/>
        <v/>
      </c>
      <c r="AD419" s="3">
        <f t="shared" si="188"/>
        <v>0</v>
      </c>
      <c r="AE419" s="3">
        <f t="shared" si="183"/>
        <v>0</v>
      </c>
      <c r="AF419" s="3">
        <f t="shared" si="189"/>
        <v>0</v>
      </c>
      <c r="AG419" s="3" t="e">
        <f>AF419 / SUM(F$2:F419)</f>
        <v>#DIV/0!</v>
      </c>
      <c r="AH419" s="3" t="e">
        <f t="shared" si="190"/>
        <v>#DIV/0!</v>
      </c>
      <c r="AI419" s="3">
        <f t="shared" si="191"/>
        <v>0</v>
      </c>
      <c r="AJ419" s="3" t="e">
        <f t="shared" si="192"/>
        <v>#DIV/0!</v>
      </c>
      <c r="AK419" s="3" t="e">
        <f t="shared" si="207"/>
        <v>#DIV/0!</v>
      </c>
    </row>
    <row r="420" spans="1:37" x14ac:dyDescent="0.3">
      <c r="A420" s="24">
        <v>0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f t="shared" si="180"/>
        <v>0</v>
      </c>
      <c r="H420" s="3">
        <f t="shared" si="197"/>
        <v>0</v>
      </c>
      <c r="I420" s="3">
        <f t="shared" si="202"/>
        <v>0</v>
      </c>
      <c r="J420" s="3">
        <f t="shared" si="203"/>
        <v>0</v>
      </c>
      <c r="K420" s="3">
        <f t="shared" si="204"/>
        <v>0</v>
      </c>
      <c r="L420" s="3">
        <f t="shared" si="205"/>
        <v>0</v>
      </c>
      <c r="M420" s="3" t="e">
        <f t="shared" si="184"/>
        <v>#DIV/0!</v>
      </c>
      <c r="N420" s="3" t="e">
        <f t="shared" si="193"/>
        <v>#DIV/0!</v>
      </c>
      <c r="O420" s="3" t="e">
        <f t="shared" si="206"/>
        <v>#DIV/0!</v>
      </c>
      <c r="P420" s="3">
        <f t="shared" si="194"/>
        <v>0</v>
      </c>
      <c r="Q420" s="3">
        <f t="shared" si="208"/>
        <v>0</v>
      </c>
      <c r="R420" s="3">
        <f t="shared" si="196"/>
        <v>0</v>
      </c>
      <c r="S420" s="3">
        <f t="shared" si="209"/>
        <v>0</v>
      </c>
      <c r="T420" s="3">
        <f t="shared" si="181"/>
        <v>0</v>
      </c>
      <c r="U420" s="3">
        <f t="shared" si="195"/>
        <v>0</v>
      </c>
      <c r="V420" s="3">
        <f t="shared" si="182"/>
        <v>0</v>
      </c>
      <c r="W420" s="3">
        <f t="shared" si="185"/>
        <v>0</v>
      </c>
      <c r="X420" s="3">
        <f t="shared" si="186"/>
        <v>0</v>
      </c>
      <c r="Y420" s="3">
        <f t="shared" si="187"/>
        <v>0</v>
      </c>
      <c r="Z420" s="3">
        <f t="shared" si="198"/>
        <v>0</v>
      </c>
      <c r="AA420" s="3">
        <f t="shared" si="199"/>
        <v>0</v>
      </c>
      <c r="AB420" s="3" t="e">
        <f t="shared" si="200"/>
        <v>#DIV/0!</v>
      </c>
      <c r="AC420" s="3" t="str">
        <f t="shared" si="201"/>
        <v/>
      </c>
      <c r="AD420" s="3">
        <f t="shared" si="188"/>
        <v>0</v>
      </c>
      <c r="AE420" s="3">
        <f t="shared" si="183"/>
        <v>0</v>
      </c>
      <c r="AF420" s="3">
        <f t="shared" si="189"/>
        <v>0</v>
      </c>
      <c r="AG420" s="3" t="e">
        <f>AF420 / SUM(F$2:F420)</f>
        <v>#DIV/0!</v>
      </c>
      <c r="AH420" s="3" t="e">
        <f t="shared" si="190"/>
        <v>#DIV/0!</v>
      </c>
      <c r="AI420" s="3">
        <f t="shared" si="191"/>
        <v>0</v>
      </c>
      <c r="AJ420" s="3" t="e">
        <f t="shared" si="192"/>
        <v>#DIV/0!</v>
      </c>
      <c r="AK420" s="3" t="e">
        <f t="shared" si="207"/>
        <v>#DIV/0!</v>
      </c>
    </row>
    <row r="421" spans="1:37" x14ac:dyDescent="0.3">
      <c r="A421" s="24">
        <v>0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f t="shared" si="180"/>
        <v>0</v>
      </c>
      <c r="H421" s="3">
        <f t="shared" si="197"/>
        <v>0</v>
      </c>
      <c r="I421" s="3">
        <f t="shared" si="202"/>
        <v>0</v>
      </c>
      <c r="J421" s="3">
        <f t="shared" si="203"/>
        <v>0</v>
      </c>
      <c r="K421" s="3">
        <f t="shared" si="204"/>
        <v>0</v>
      </c>
      <c r="L421" s="3">
        <f t="shared" si="205"/>
        <v>0</v>
      </c>
      <c r="M421" s="3" t="e">
        <f t="shared" si="184"/>
        <v>#DIV/0!</v>
      </c>
      <c r="N421" s="3" t="e">
        <f t="shared" si="193"/>
        <v>#DIV/0!</v>
      </c>
      <c r="O421" s="3" t="e">
        <f t="shared" si="206"/>
        <v>#DIV/0!</v>
      </c>
      <c r="P421" s="3">
        <f t="shared" si="194"/>
        <v>0</v>
      </c>
      <c r="Q421" s="3">
        <f t="shared" si="208"/>
        <v>0</v>
      </c>
      <c r="R421" s="3">
        <f t="shared" si="196"/>
        <v>0</v>
      </c>
      <c r="S421" s="3">
        <f t="shared" si="209"/>
        <v>0</v>
      </c>
      <c r="T421" s="3">
        <f t="shared" si="181"/>
        <v>0</v>
      </c>
      <c r="U421" s="3">
        <f t="shared" si="195"/>
        <v>0</v>
      </c>
      <c r="V421" s="3">
        <f t="shared" si="182"/>
        <v>0</v>
      </c>
      <c r="W421" s="3">
        <f t="shared" si="185"/>
        <v>0</v>
      </c>
      <c r="X421" s="3">
        <f t="shared" si="186"/>
        <v>0</v>
      </c>
      <c r="Y421" s="3">
        <f t="shared" si="187"/>
        <v>0</v>
      </c>
      <c r="Z421" s="3">
        <f t="shared" si="198"/>
        <v>0</v>
      </c>
      <c r="AA421" s="3">
        <f t="shared" si="199"/>
        <v>0</v>
      </c>
      <c r="AB421" s="3" t="e">
        <f t="shared" si="200"/>
        <v>#DIV/0!</v>
      </c>
      <c r="AC421" s="3" t="str">
        <f t="shared" si="201"/>
        <v/>
      </c>
      <c r="AD421" s="3">
        <f t="shared" si="188"/>
        <v>0</v>
      </c>
      <c r="AE421" s="3">
        <f t="shared" si="183"/>
        <v>0</v>
      </c>
      <c r="AF421" s="3">
        <f t="shared" si="189"/>
        <v>0</v>
      </c>
      <c r="AG421" s="3" t="e">
        <f>AF421 / SUM(F$2:F421)</f>
        <v>#DIV/0!</v>
      </c>
      <c r="AH421" s="3" t="e">
        <f t="shared" si="190"/>
        <v>#DIV/0!</v>
      </c>
      <c r="AI421" s="3">
        <f t="shared" si="191"/>
        <v>0</v>
      </c>
      <c r="AJ421" s="3" t="e">
        <f t="shared" si="192"/>
        <v>#DIV/0!</v>
      </c>
      <c r="AK421" s="3" t="e">
        <f t="shared" si="207"/>
        <v>#DIV/0!</v>
      </c>
    </row>
    <row r="422" spans="1:37" x14ac:dyDescent="0.3">
      <c r="A422" s="24">
        <v>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f t="shared" si="180"/>
        <v>0</v>
      </c>
      <c r="H422" s="3">
        <f t="shared" si="197"/>
        <v>0</v>
      </c>
      <c r="I422" s="3">
        <f t="shared" si="202"/>
        <v>0</v>
      </c>
      <c r="J422" s="3">
        <f t="shared" si="203"/>
        <v>0</v>
      </c>
      <c r="K422" s="3">
        <f t="shared" si="204"/>
        <v>0</v>
      </c>
      <c r="L422" s="3">
        <f t="shared" si="205"/>
        <v>0</v>
      </c>
      <c r="M422" s="3" t="e">
        <f t="shared" si="184"/>
        <v>#DIV/0!</v>
      </c>
      <c r="N422" s="3" t="e">
        <f t="shared" si="193"/>
        <v>#DIV/0!</v>
      </c>
      <c r="O422" s="3" t="e">
        <f t="shared" si="206"/>
        <v>#DIV/0!</v>
      </c>
      <c r="P422" s="3">
        <f t="shared" si="194"/>
        <v>0</v>
      </c>
      <c r="Q422" s="3">
        <f t="shared" si="208"/>
        <v>0</v>
      </c>
      <c r="R422" s="3">
        <f t="shared" si="196"/>
        <v>0</v>
      </c>
      <c r="S422" s="3">
        <f t="shared" si="209"/>
        <v>0</v>
      </c>
      <c r="T422" s="3">
        <f t="shared" si="181"/>
        <v>0</v>
      </c>
      <c r="U422" s="3">
        <f t="shared" si="195"/>
        <v>0</v>
      </c>
      <c r="V422" s="3">
        <f t="shared" si="182"/>
        <v>0</v>
      </c>
      <c r="W422" s="3">
        <f t="shared" si="185"/>
        <v>0</v>
      </c>
      <c r="X422" s="3">
        <f t="shared" si="186"/>
        <v>0</v>
      </c>
      <c r="Y422" s="3">
        <f t="shared" si="187"/>
        <v>0</v>
      </c>
      <c r="Z422" s="3">
        <f t="shared" si="198"/>
        <v>0</v>
      </c>
      <c r="AA422" s="3">
        <f t="shared" si="199"/>
        <v>0</v>
      </c>
      <c r="AB422" s="3" t="e">
        <f t="shared" si="200"/>
        <v>#DIV/0!</v>
      </c>
      <c r="AC422" s="3" t="str">
        <f t="shared" si="201"/>
        <v/>
      </c>
      <c r="AD422" s="3">
        <f t="shared" si="188"/>
        <v>0</v>
      </c>
      <c r="AE422" s="3">
        <f t="shared" si="183"/>
        <v>0</v>
      </c>
      <c r="AF422" s="3">
        <f t="shared" si="189"/>
        <v>0</v>
      </c>
      <c r="AG422" s="3" t="e">
        <f>AF422 / SUM(F$2:F422)</f>
        <v>#DIV/0!</v>
      </c>
      <c r="AH422" s="3" t="e">
        <f t="shared" si="190"/>
        <v>#DIV/0!</v>
      </c>
      <c r="AI422" s="3">
        <f t="shared" si="191"/>
        <v>0</v>
      </c>
      <c r="AJ422" s="3" t="e">
        <f t="shared" si="192"/>
        <v>#DIV/0!</v>
      </c>
      <c r="AK422" s="3" t="e">
        <f t="shared" si="207"/>
        <v>#DIV/0!</v>
      </c>
    </row>
    <row r="423" spans="1:37" x14ac:dyDescent="0.3">
      <c r="A423" s="24">
        <v>0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f t="shared" si="180"/>
        <v>0</v>
      </c>
      <c r="H423" s="3">
        <f t="shared" si="197"/>
        <v>0</v>
      </c>
      <c r="I423" s="3">
        <f t="shared" si="202"/>
        <v>0</v>
      </c>
      <c r="J423" s="3">
        <f t="shared" si="203"/>
        <v>0</v>
      </c>
      <c r="K423" s="3">
        <f t="shared" si="204"/>
        <v>0</v>
      </c>
      <c r="L423" s="3">
        <f t="shared" si="205"/>
        <v>0</v>
      </c>
      <c r="M423" s="3" t="e">
        <f t="shared" si="184"/>
        <v>#DIV/0!</v>
      </c>
      <c r="N423" s="3" t="e">
        <f t="shared" si="193"/>
        <v>#DIV/0!</v>
      </c>
      <c r="O423" s="3" t="e">
        <f t="shared" si="206"/>
        <v>#DIV/0!</v>
      </c>
      <c r="P423" s="3">
        <f t="shared" si="194"/>
        <v>0</v>
      </c>
      <c r="Q423" s="3">
        <f t="shared" si="208"/>
        <v>0</v>
      </c>
      <c r="R423" s="3">
        <f t="shared" si="196"/>
        <v>0</v>
      </c>
      <c r="S423" s="3">
        <f t="shared" si="209"/>
        <v>0</v>
      </c>
      <c r="T423" s="3">
        <f t="shared" si="181"/>
        <v>0</v>
      </c>
      <c r="U423" s="3">
        <f t="shared" si="195"/>
        <v>0</v>
      </c>
      <c r="V423" s="3">
        <f t="shared" si="182"/>
        <v>0</v>
      </c>
      <c r="W423" s="3">
        <f t="shared" si="185"/>
        <v>0</v>
      </c>
      <c r="X423" s="3">
        <f t="shared" si="186"/>
        <v>0</v>
      </c>
      <c r="Y423" s="3">
        <f t="shared" si="187"/>
        <v>0</v>
      </c>
      <c r="Z423" s="3">
        <f t="shared" si="198"/>
        <v>0</v>
      </c>
      <c r="AA423" s="3">
        <f t="shared" si="199"/>
        <v>0</v>
      </c>
      <c r="AB423" s="3" t="e">
        <f t="shared" si="200"/>
        <v>#DIV/0!</v>
      </c>
      <c r="AC423" s="3" t="str">
        <f t="shared" si="201"/>
        <v/>
      </c>
      <c r="AD423" s="3">
        <f t="shared" si="188"/>
        <v>0</v>
      </c>
      <c r="AE423" s="3">
        <f t="shared" si="183"/>
        <v>0</v>
      </c>
      <c r="AF423" s="3">
        <f t="shared" si="189"/>
        <v>0</v>
      </c>
      <c r="AG423" s="3" t="e">
        <f>AF423 / SUM(F$2:F423)</f>
        <v>#DIV/0!</v>
      </c>
      <c r="AH423" s="3" t="e">
        <f t="shared" si="190"/>
        <v>#DIV/0!</v>
      </c>
      <c r="AI423" s="3">
        <f t="shared" si="191"/>
        <v>0</v>
      </c>
      <c r="AJ423" s="3" t="e">
        <f t="shared" si="192"/>
        <v>#DIV/0!</v>
      </c>
      <c r="AK423" s="3" t="e">
        <f t="shared" si="207"/>
        <v>#DIV/0!</v>
      </c>
    </row>
    <row r="424" spans="1:37" x14ac:dyDescent="0.3">
      <c r="A424" s="24">
        <v>0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f t="shared" si="180"/>
        <v>0</v>
      </c>
      <c r="H424" s="3">
        <f t="shared" si="197"/>
        <v>0</v>
      </c>
      <c r="I424" s="3">
        <f t="shared" si="202"/>
        <v>0</v>
      </c>
      <c r="J424" s="3">
        <f t="shared" si="203"/>
        <v>0</v>
      </c>
      <c r="K424" s="3">
        <f t="shared" si="204"/>
        <v>0</v>
      </c>
      <c r="L424" s="3">
        <f t="shared" si="205"/>
        <v>0</v>
      </c>
      <c r="M424" s="3" t="e">
        <f t="shared" si="184"/>
        <v>#DIV/0!</v>
      </c>
      <c r="N424" s="3" t="e">
        <f t="shared" si="193"/>
        <v>#DIV/0!</v>
      </c>
      <c r="O424" s="3" t="e">
        <f t="shared" si="206"/>
        <v>#DIV/0!</v>
      </c>
      <c r="P424" s="3">
        <f t="shared" si="194"/>
        <v>0</v>
      </c>
      <c r="Q424" s="3">
        <f t="shared" si="208"/>
        <v>0</v>
      </c>
      <c r="R424" s="3">
        <f t="shared" si="196"/>
        <v>0</v>
      </c>
      <c r="S424" s="3">
        <f t="shared" si="209"/>
        <v>0</v>
      </c>
      <c r="T424" s="3">
        <f t="shared" si="181"/>
        <v>0</v>
      </c>
      <c r="U424" s="3">
        <f t="shared" si="195"/>
        <v>0</v>
      </c>
      <c r="V424" s="3">
        <f t="shared" si="182"/>
        <v>0</v>
      </c>
      <c r="W424" s="3">
        <f t="shared" si="185"/>
        <v>0</v>
      </c>
      <c r="X424" s="3">
        <f t="shared" si="186"/>
        <v>0</v>
      </c>
      <c r="Y424" s="3">
        <f t="shared" si="187"/>
        <v>0</v>
      </c>
      <c r="Z424" s="3">
        <f t="shared" si="198"/>
        <v>0</v>
      </c>
      <c r="AA424" s="3">
        <f t="shared" si="199"/>
        <v>0</v>
      </c>
      <c r="AB424" s="3" t="e">
        <f t="shared" si="200"/>
        <v>#DIV/0!</v>
      </c>
      <c r="AC424" s="3" t="str">
        <f t="shared" si="201"/>
        <v/>
      </c>
      <c r="AD424" s="3">
        <f t="shared" si="188"/>
        <v>0</v>
      </c>
      <c r="AE424" s="3">
        <f t="shared" si="183"/>
        <v>0</v>
      </c>
      <c r="AF424" s="3">
        <f t="shared" si="189"/>
        <v>0</v>
      </c>
      <c r="AG424" s="3" t="e">
        <f>AF424 / SUM(F$2:F424)</f>
        <v>#DIV/0!</v>
      </c>
      <c r="AH424" s="3" t="e">
        <f t="shared" si="190"/>
        <v>#DIV/0!</v>
      </c>
      <c r="AI424" s="3">
        <f t="shared" si="191"/>
        <v>0</v>
      </c>
      <c r="AJ424" s="3" t="e">
        <f t="shared" si="192"/>
        <v>#DIV/0!</v>
      </c>
      <c r="AK424" s="3" t="e">
        <f t="shared" si="207"/>
        <v>#DIV/0!</v>
      </c>
    </row>
    <row r="425" spans="1:37" x14ac:dyDescent="0.3">
      <c r="A425" s="24">
        <v>0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f t="shared" si="180"/>
        <v>0</v>
      </c>
      <c r="H425" s="3">
        <f t="shared" si="197"/>
        <v>0</v>
      </c>
      <c r="I425" s="3">
        <f t="shared" si="202"/>
        <v>0</v>
      </c>
      <c r="J425" s="3">
        <f t="shared" si="203"/>
        <v>0</v>
      </c>
      <c r="K425" s="3">
        <f t="shared" si="204"/>
        <v>0</v>
      </c>
      <c r="L425" s="3">
        <f t="shared" si="205"/>
        <v>0</v>
      </c>
      <c r="M425" s="3" t="e">
        <f t="shared" si="184"/>
        <v>#DIV/0!</v>
      </c>
      <c r="N425" s="3" t="e">
        <f t="shared" si="193"/>
        <v>#DIV/0!</v>
      </c>
      <c r="O425" s="3" t="e">
        <f t="shared" si="206"/>
        <v>#DIV/0!</v>
      </c>
      <c r="P425" s="3">
        <f t="shared" si="194"/>
        <v>0</v>
      </c>
      <c r="Q425" s="3">
        <f t="shared" si="208"/>
        <v>0</v>
      </c>
      <c r="R425" s="3">
        <f t="shared" si="196"/>
        <v>0</v>
      </c>
      <c r="S425" s="3">
        <f t="shared" si="209"/>
        <v>0</v>
      </c>
      <c r="T425" s="3">
        <f t="shared" si="181"/>
        <v>0</v>
      </c>
      <c r="U425" s="3">
        <f t="shared" si="195"/>
        <v>0</v>
      </c>
      <c r="V425" s="3">
        <f t="shared" si="182"/>
        <v>0</v>
      </c>
      <c r="W425" s="3">
        <f t="shared" si="185"/>
        <v>0</v>
      </c>
      <c r="X425" s="3">
        <f t="shared" si="186"/>
        <v>0</v>
      </c>
      <c r="Y425" s="3">
        <f t="shared" si="187"/>
        <v>0</v>
      </c>
      <c r="Z425" s="3">
        <f t="shared" si="198"/>
        <v>0</v>
      </c>
      <c r="AA425" s="3">
        <f t="shared" si="199"/>
        <v>0</v>
      </c>
      <c r="AB425" s="3" t="e">
        <f t="shared" si="200"/>
        <v>#DIV/0!</v>
      </c>
      <c r="AC425" s="3" t="str">
        <f t="shared" si="201"/>
        <v/>
      </c>
      <c r="AD425" s="3">
        <f t="shared" si="188"/>
        <v>0</v>
      </c>
      <c r="AE425" s="3">
        <f t="shared" si="183"/>
        <v>0</v>
      </c>
      <c r="AF425" s="3">
        <f t="shared" si="189"/>
        <v>0</v>
      </c>
      <c r="AG425" s="3" t="e">
        <f>AF425 / SUM(F$2:F425)</f>
        <v>#DIV/0!</v>
      </c>
      <c r="AH425" s="3" t="e">
        <f t="shared" si="190"/>
        <v>#DIV/0!</v>
      </c>
      <c r="AI425" s="3">
        <f t="shared" si="191"/>
        <v>0</v>
      </c>
      <c r="AJ425" s="3" t="e">
        <f t="shared" si="192"/>
        <v>#DIV/0!</v>
      </c>
      <c r="AK425" s="3" t="e">
        <f t="shared" si="207"/>
        <v>#DIV/0!</v>
      </c>
    </row>
    <row r="426" spans="1:37" x14ac:dyDescent="0.3">
      <c r="A426" s="24">
        <v>0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f t="shared" si="180"/>
        <v>0</v>
      </c>
      <c r="H426" s="3">
        <f t="shared" si="197"/>
        <v>0</v>
      </c>
      <c r="I426" s="3">
        <f t="shared" si="202"/>
        <v>0</v>
      </c>
      <c r="J426" s="3">
        <f t="shared" si="203"/>
        <v>0</v>
      </c>
      <c r="K426" s="3">
        <f t="shared" si="204"/>
        <v>0</v>
      </c>
      <c r="L426" s="3">
        <f t="shared" si="205"/>
        <v>0</v>
      </c>
      <c r="M426" s="3" t="e">
        <f t="shared" si="184"/>
        <v>#DIV/0!</v>
      </c>
      <c r="N426" s="3" t="e">
        <f t="shared" si="193"/>
        <v>#DIV/0!</v>
      </c>
      <c r="O426" s="3" t="e">
        <f t="shared" si="206"/>
        <v>#DIV/0!</v>
      </c>
      <c r="P426" s="3">
        <f t="shared" si="194"/>
        <v>0</v>
      </c>
      <c r="Q426" s="3">
        <f t="shared" si="208"/>
        <v>0</v>
      </c>
      <c r="R426" s="3">
        <f t="shared" si="196"/>
        <v>0</v>
      </c>
      <c r="S426" s="3">
        <f t="shared" si="209"/>
        <v>0</v>
      </c>
      <c r="T426" s="3">
        <f t="shared" si="181"/>
        <v>0</v>
      </c>
      <c r="U426" s="3">
        <f t="shared" si="195"/>
        <v>0</v>
      </c>
      <c r="V426" s="3">
        <f t="shared" si="182"/>
        <v>0</v>
      </c>
      <c r="W426" s="3">
        <f t="shared" si="185"/>
        <v>0</v>
      </c>
      <c r="X426" s="3">
        <f t="shared" si="186"/>
        <v>0</v>
      </c>
      <c r="Y426" s="3">
        <f t="shared" si="187"/>
        <v>0</v>
      </c>
      <c r="Z426" s="3">
        <f t="shared" si="198"/>
        <v>0</v>
      </c>
      <c r="AA426" s="3">
        <f t="shared" si="199"/>
        <v>0</v>
      </c>
      <c r="AB426" s="3" t="e">
        <f t="shared" si="200"/>
        <v>#DIV/0!</v>
      </c>
      <c r="AC426" s="3" t="str">
        <f t="shared" si="201"/>
        <v/>
      </c>
      <c r="AD426" s="3">
        <f t="shared" si="188"/>
        <v>0</v>
      </c>
      <c r="AE426" s="3">
        <f t="shared" si="183"/>
        <v>0</v>
      </c>
      <c r="AF426" s="3">
        <f t="shared" si="189"/>
        <v>0</v>
      </c>
      <c r="AG426" s="3" t="e">
        <f>AF426 / SUM(F$2:F426)</f>
        <v>#DIV/0!</v>
      </c>
      <c r="AH426" s="3" t="e">
        <f t="shared" si="190"/>
        <v>#DIV/0!</v>
      </c>
      <c r="AI426" s="3">
        <f t="shared" si="191"/>
        <v>0</v>
      </c>
      <c r="AJ426" s="3" t="e">
        <f t="shared" si="192"/>
        <v>#DIV/0!</v>
      </c>
      <c r="AK426" s="3" t="e">
        <f t="shared" si="207"/>
        <v>#DIV/0!</v>
      </c>
    </row>
    <row r="427" spans="1:37" x14ac:dyDescent="0.3">
      <c r="A427" s="24">
        <v>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f t="shared" si="180"/>
        <v>0</v>
      </c>
      <c r="H427" s="3">
        <f t="shared" si="197"/>
        <v>0</v>
      </c>
      <c r="I427" s="3">
        <f t="shared" si="202"/>
        <v>0</v>
      </c>
      <c r="J427" s="3">
        <f t="shared" si="203"/>
        <v>0</v>
      </c>
      <c r="K427" s="3">
        <f t="shared" si="204"/>
        <v>0</v>
      </c>
      <c r="L427" s="3">
        <f t="shared" si="205"/>
        <v>0</v>
      </c>
      <c r="M427" s="3" t="e">
        <f t="shared" si="184"/>
        <v>#DIV/0!</v>
      </c>
      <c r="N427" s="3" t="e">
        <f t="shared" si="193"/>
        <v>#DIV/0!</v>
      </c>
      <c r="O427" s="3" t="e">
        <f t="shared" si="206"/>
        <v>#DIV/0!</v>
      </c>
      <c r="P427" s="3">
        <f t="shared" si="194"/>
        <v>0</v>
      </c>
      <c r="Q427" s="3">
        <f t="shared" si="208"/>
        <v>0</v>
      </c>
      <c r="R427" s="3">
        <f t="shared" si="196"/>
        <v>0</v>
      </c>
      <c r="S427" s="3">
        <f t="shared" si="209"/>
        <v>0</v>
      </c>
      <c r="T427" s="3">
        <f t="shared" si="181"/>
        <v>0</v>
      </c>
      <c r="U427" s="3">
        <f t="shared" si="195"/>
        <v>0</v>
      </c>
      <c r="V427" s="3">
        <f t="shared" si="182"/>
        <v>0</v>
      </c>
      <c r="W427" s="3">
        <f t="shared" si="185"/>
        <v>0</v>
      </c>
      <c r="X427" s="3">
        <f t="shared" si="186"/>
        <v>0</v>
      </c>
      <c r="Y427" s="3">
        <f t="shared" si="187"/>
        <v>0</v>
      </c>
      <c r="Z427" s="3">
        <f t="shared" si="198"/>
        <v>0</v>
      </c>
      <c r="AA427" s="3">
        <f t="shared" si="199"/>
        <v>0</v>
      </c>
      <c r="AB427" s="3" t="e">
        <f t="shared" si="200"/>
        <v>#DIV/0!</v>
      </c>
      <c r="AC427" s="3" t="str">
        <f t="shared" si="201"/>
        <v/>
      </c>
      <c r="AD427" s="3">
        <f t="shared" si="188"/>
        <v>0</v>
      </c>
      <c r="AE427" s="3">
        <f t="shared" si="183"/>
        <v>0</v>
      </c>
      <c r="AF427" s="3">
        <f t="shared" si="189"/>
        <v>0</v>
      </c>
      <c r="AG427" s="3" t="e">
        <f>AF427 / SUM(F$2:F427)</f>
        <v>#DIV/0!</v>
      </c>
      <c r="AH427" s="3" t="e">
        <f t="shared" si="190"/>
        <v>#DIV/0!</v>
      </c>
      <c r="AI427" s="3">
        <f t="shared" si="191"/>
        <v>0</v>
      </c>
      <c r="AJ427" s="3" t="e">
        <f t="shared" si="192"/>
        <v>#DIV/0!</v>
      </c>
      <c r="AK427" s="3" t="e">
        <f t="shared" si="207"/>
        <v>#DIV/0!</v>
      </c>
    </row>
    <row r="428" spans="1:37" x14ac:dyDescent="0.3">
      <c r="A428" s="24">
        <v>0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f t="shared" si="180"/>
        <v>0</v>
      </c>
      <c r="H428" s="3">
        <f t="shared" si="197"/>
        <v>0</v>
      </c>
      <c r="I428" s="3">
        <f t="shared" si="202"/>
        <v>0</v>
      </c>
      <c r="J428" s="3">
        <f t="shared" si="203"/>
        <v>0</v>
      </c>
      <c r="K428" s="3">
        <f t="shared" si="204"/>
        <v>0</v>
      </c>
      <c r="L428" s="3">
        <f t="shared" si="205"/>
        <v>0</v>
      </c>
      <c r="M428" s="3" t="e">
        <f t="shared" si="184"/>
        <v>#DIV/0!</v>
      </c>
      <c r="N428" s="3" t="e">
        <f t="shared" si="193"/>
        <v>#DIV/0!</v>
      </c>
      <c r="O428" s="3" t="e">
        <f t="shared" si="206"/>
        <v>#DIV/0!</v>
      </c>
      <c r="P428" s="3">
        <f t="shared" si="194"/>
        <v>0</v>
      </c>
      <c r="Q428" s="3">
        <f t="shared" si="208"/>
        <v>0</v>
      </c>
      <c r="R428" s="3">
        <f t="shared" si="196"/>
        <v>0</v>
      </c>
      <c r="S428" s="3">
        <f t="shared" si="209"/>
        <v>0</v>
      </c>
      <c r="T428" s="3">
        <f t="shared" si="181"/>
        <v>0</v>
      </c>
      <c r="U428" s="3">
        <f t="shared" si="195"/>
        <v>0</v>
      </c>
      <c r="V428" s="3">
        <f t="shared" si="182"/>
        <v>0</v>
      </c>
      <c r="W428" s="3">
        <f t="shared" si="185"/>
        <v>0</v>
      </c>
      <c r="X428" s="3">
        <f t="shared" si="186"/>
        <v>0</v>
      </c>
      <c r="Y428" s="3">
        <f t="shared" si="187"/>
        <v>0</v>
      </c>
      <c r="Z428" s="3">
        <f t="shared" si="198"/>
        <v>0</v>
      </c>
      <c r="AA428" s="3">
        <f t="shared" si="199"/>
        <v>0</v>
      </c>
      <c r="AB428" s="3" t="e">
        <f t="shared" si="200"/>
        <v>#DIV/0!</v>
      </c>
      <c r="AC428" s="3" t="str">
        <f t="shared" si="201"/>
        <v/>
      </c>
      <c r="AD428" s="3">
        <f t="shared" si="188"/>
        <v>0</v>
      </c>
      <c r="AE428" s="3">
        <f t="shared" si="183"/>
        <v>0</v>
      </c>
      <c r="AF428" s="3">
        <f t="shared" si="189"/>
        <v>0</v>
      </c>
      <c r="AG428" s="3" t="e">
        <f>AF428 / SUM(F$2:F428)</f>
        <v>#DIV/0!</v>
      </c>
      <c r="AH428" s="3" t="e">
        <f t="shared" si="190"/>
        <v>#DIV/0!</v>
      </c>
      <c r="AI428" s="3">
        <f t="shared" si="191"/>
        <v>0</v>
      </c>
      <c r="AJ428" s="3" t="e">
        <f t="shared" si="192"/>
        <v>#DIV/0!</v>
      </c>
      <c r="AK428" s="3" t="e">
        <f t="shared" si="207"/>
        <v>#DIV/0!</v>
      </c>
    </row>
    <row r="429" spans="1:37" x14ac:dyDescent="0.3">
      <c r="A429" s="24">
        <v>0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f t="shared" si="180"/>
        <v>0</v>
      </c>
      <c r="H429" s="3">
        <f t="shared" si="197"/>
        <v>0</v>
      </c>
      <c r="I429" s="3">
        <f t="shared" si="202"/>
        <v>0</v>
      </c>
      <c r="J429" s="3">
        <f t="shared" si="203"/>
        <v>0</v>
      </c>
      <c r="K429" s="3">
        <f t="shared" si="204"/>
        <v>0</v>
      </c>
      <c r="L429" s="3">
        <f t="shared" si="205"/>
        <v>0</v>
      </c>
      <c r="M429" s="3" t="e">
        <f t="shared" si="184"/>
        <v>#DIV/0!</v>
      </c>
      <c r="N429" s="3" t="e">
        <f t="shared" si="193"/>
        <v>#DIV/0!</v>
      </c>
      <c r="O429" s="3" t="e">
        <f t="shared" si="206"/>
        <v>#DIV/0!</v>
      </c>
      <c r="P429" s="3">
        <f t="shared" si="194"/>
        <v>0</v>
      </c>
      <c r="Q429" s="3">
        <f t="shared" si="208"/>
        <v>0</v>
      </c>
      <c r="R429" s="3">
        <f t="shared" si="196"/>
        <v>0</v>
      </c>
      <c r="S429" s="3">
        <f t="shared" si="209"/>
        <v>0</v>
      </c>
      <c r="T429" s="3">
        <f t="shared" si="181"/>
        <v>0</v>
      </c>
      <c r="U429" s="3">
        <f t="shared" si="195"/>
        <v>0</v>
      </c>
      <c r="V429" s="3">
        <f t="shared" si="182"/>
        <v>0</v>
      </c>
      <c r="W429" s="3">
        <f t="shared" si="185"/>
        <v>0</v>
      </c>
      <c r="X429" s="3">
        <f t="shared" si="186"/>
        <v>0</v>
      </c>
      <c r="Y429" s="3">
        <f t="shared" si="187"/>
        <v>0</v>
      </c>
      <c r="Z429" s="3">
        <f t="shared" si="198"/>
        <v>0</v>
      </c>
      <c r="AA429" s="3">
        <f t="shared" si="199"/>
        <v>0</v>
      </c>
      <c r="AB429" s="3" t="e">
        <f t="shared" si="200"/>
        <v>#DIV/0!</v>
      </c>
      <c r="AC429" s="3" t="str">
        <f t="shared" si="201"/>
        <v/>
      </c>
      <c r="AD429" s="3">
        <f t="shared" si="188"/>
        <v>0</v>
      </c>
      <c r="AE429" s="3">
        <f t="shared" si="183"/>
        <v>0</v>
      </c>
      <c r="AF429" s="3">
        <f t="shared" si="189"/>
        <v>0</v>
      </c>
      <c r="AG429" s="3" t="e">
        <f>AF429 / SUM(F$2:F429)</f>
        <v>#DIV/0!</v>
      </c>
      <c r="AH429" s="3" t="e">
        <f t="shared" si="190"/>
        <v>#DIV/0!</v>
      </c>
      <c r="AI429" s="3">
        <f t="shared" si="191"/>
        <v>0</v>
      </c>
      <c r="AJ429" s="3" t="e">
        <f t="shared" si="192"/>
        <v>#DIV/0!</v>
      </c>
      <c r="AK429" s="3" t="e">
        <f t="shared" si="207"/>
        <v>#DIV/0!</v>
      </c>
    </row>
    <row r="430" spans="1:37" x14ac:dyDescent="0.3">
      <c r="A430" s="24">
        <v>0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f t="shared" si="180"/>
        <v>0</v>
      </c>
      <c r="H430" s="3">
        <f t="shared" si="197"/>
        <v>0</v>
      </c>
      <c r="I430" s="3">
        <f t="shared" si="202"/>
        <v>0</v>
      </c>
      <c r="J430" s="3">
        <f t="shared" si="203"/>
        <v>0</v>
      </c>
      <c r="K430" s="3">
        <f t="shared" si="204"/>
        <v>0</v>
      </c>
      <c r="L430" s="3">
        <f t="shared" si="205"/>
        <v>0</v>
      </c>
      <c r="M430" s="3" t="e">
        <f t="shared" si="184"/>
        <v>#DIV/0!</v>
      </c>
      <c r="N430" s="3" t="e">
        <f t="shared" si="193"/>
        <v>#DIV/0!</v>
      </c>
      <c r="O430" s="3" t="e">
        <f t="shared" si="206"/>
        <v>#DIV/0!</v>
      </c>
      <c r="P430" s="3">
        <f t="shared" si="194"/>
        <v>0</v>
      </c>
      <c r="Q430" s="3">
        <f t="shared" si="208"/>
        <v>0</v>
      </c>
      <c r="R430" s="3">
        <f t="shared" si="196"/>
        <v>0</v>
      </c>
      <c r="S430" s="3">
        <f t="shared" si="209"/>
        <v>0</v>
      </c>
      <c r="T430" s="3">
        <f t="shared" si="181"/>
        <v>0</v>
      </c>
      <c r="U430" s="3">
        <f t="shared" si="195"/>
        <v>0</v>
      </c>
      <c r="V430" s="3">
        <f t="shared" si="182"/>
        <v>0</v>
      </c>
      <c r="W430" s="3">
        <f t="shared" si="185"/>
        <v>0</v>
      </c>
      <c r="X430" s="3">
        <f t="shared" si="186"/>
        <v>0</v>
      </c>
      <c r="Y430" s="3">
        <f t="shared" si="187"/>
        <v>0</v>
      </c>
      <c r="Z430" s="3">
        <f t="shared" si="198"/>
        <v>0</v>
      </c>
      <c r="AA430" s="3">
        <f t="shared" si="199"/>
        <v>0</v>
      </c>
      <c r="AB430" s="3" t="e">
        <f t="shared" si="200"/>
        <v>#DIV/0!</v>
      </c>
      <c r="AC430" s="3" t="str">
        <f t="shared" si="201"/>
        <v/>
      </c>
      <c r="AD430" s="3">
        <f t="shared" si="188"/>
        <v>0</v>
      </c>
      <c r="AE430" s="3">
        <f t="shared" si="183"/>
        <v>0</v>
      </c>
      <c r="AF430" s="3">
        <f t="shared" si="189"/>
        <v>0</v>
      </c>
      <c r="AG430" s="3" t="e">
        <f>AF430 / SUM(F$2:F430)</f>
        <v>#DIV/0!</v>
      </c>
      <c r="AH430" s="3" t="e">
        <f t="shared" si="190"/>
        <v>#DIV/0!</v>
      </c>
      <c r="AI430" s="3">
        <f t="shared" si="191"/>
        <v>0</v>
      </c>
      <c r="AJ430" s="3" t="e">
        <f t="shared" si="192"/>
        <v>#DIV/0!</v>
      </c>
      <c r="AK430" s="3" t="e">
        <f t="shared" si="207"/>
        <v>#DIV/0!</v>
      </c>
    </row>
    <row r="431" spans="1:37" x14ac:dyDescent="0.3">
      <c r="A431" s="24">
        <v>0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f t="shared" si="180"/>
        <v>0</v>
      </c>
      <c r="H431" s="3">
        <f t="shared" si="197"/>
        <v>0</v>
      </c>
      <c r="I431" s="3">
        <f t="shared" si="202"/>
        <v>0</v>
      </c>
      <c r="J431" s="3">
        <f t="shared" si="203"/>
        <v>0</v>
      </c>
      <c r="K431" s="3">
        <f t="shared" si="204"/>
        <v>0</v>
      </c>
      <c r="L431" s="3">
        <f t="shared" si="205"/>
        <v>0</v>
      </c>
      <c r="M431" s="3" t="e">
        <f t="shared" si="184"/>
        <v>#DIV/0!</v>
      </c>
      <c r="N431" s="3" t="e">
        <f t="shared" si="193"/>
        <v>#DIV/0!</v>
      </c>
      <c r="O431" s="3" t="e">
        <f t="shared" si="206"/>
        <v>#DIV/0!</v>
      </c>
      <c r="P431" s="3">
        <f t="shared" si="194"/>
        <v>0</v>
      </c>
      <c r="Q431" s="3">
        <f t="shared" si="208"/>
        <v>0</v>
      </c>
      <c r="R431" s="3">
        <f t="shared" si="196"/>
        <v>0</v>
      </c>
      <c r="S431" s="3">
        <f t="shared" si="209"/>
        <v>0</v>
      </c>
      <c r="T431" s="3">
        <f t="shared" si="181"/>
        <v>0</v>
      </c>
      <c r="U431" s="3">
        <f t="shared" si="195"/>
        <v>0</v>
      </c>
      <c r="V431" s="3">
        <f t="shared" si="182"/>
        <v>0</v>
      </c>
      <c r="W431" s="3">
        <f t="shared" si="185"/>
        <v>0</v>
      </c>
      <c r="X431" s="3">
        <f t="shared" si="186"/>
        <v>0</v>
      </c>
      <c r="Y431" s="3">
        <f t="shared" si="187"/>
        <v>0</v>
      </c>
      <c r="Z431" s="3">
        <f t="shared" si="198"/>
        <v>0</v>
      </c>
      <c r="AA431" s="3">
        <f t="shared" si="199"/>
        <v>0</v>
      </c>
      <c r="AB431" s="3" t="e">
        <f t="shared" si="200"/>
        <v>#DIV/0!</v>
      </c>
      <c r="AC431" s="3" t="str">
        <f t="shared" si="201"/>
        <v/>
      </c>
      <c r="AD431" s="3">
        <f t="shared" si="188"/>
        <v>0</v>
      </c>
      <c r="AE431" s="3">
        <f t="shared" si="183"/>
        <v>0</v>
      </c>
      <c r="AF431" s="3">
        <f t="shared" si="189"/>
        <v>0</v>
      </c>
      <c r="AG431" s="3" t="e">
        <f>AF431 / SUM(F$2:F431)</f>
        <v>#DIV/0!</v>
      </c>
      <c r="AH431" s="3" t="e">
        <f t="shared" si="190"/>
        <v>#DIV/0!</v>
      </c>
      <c r="AI431" s="3">
        <f t="shared" si="191"/>
        <v>0</v>
      </c>
      <c r="AJ431" s="3" t="e">
        <f t="shared" si="192"/>
        <v>#DIV/0!</v>
      </c>
      <c r="AK431" s="3" t="e">
        <f t="shared" si="207"/>
        <v>#DIV/0!</v>
      </c>
    </row>
    <row r="432" spans="1:37" x14ac:dyDescent="0.3">
      <c r="A432" s="24">
        <v>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f t="shared" si="180"/>
        <v>0</v>
      </c>
      <c r="H432" s="3">
        <f t="shared" si="197"/>
        <v>0</v>
      </c>
      <c r="I432" s="3">
        <f t="shared" si="202"/>
        <v>0</v>
      </c>
      <c r="J432" s="3">
        <f t="shared" si="203"/>
        <v>0</v>
      </c>
      <c r="K432" s="3">
        <f t="shared" si="204"/>
        <v>0</v>
      </c>
      <c r="L432" s="3">
        <f t="shared" si="205"/>
        <v>0</v>
      </c>
      <c r="M432" s="3" t="e">
        <f t="shared" si="184"/>
        <v>#DIV/0!</v>
      </c>
      <c r="N432" s="3" t="e">
        <f t="shared" si="193"/>
        <v>#DIV/0!</v>
      </c>
      <c r="O432" s="3" t="e">
        <f t="shared" si="206"/>
        <v>#DIV/0!</v>
      </c>
      <c r="P432" s="3">
        <f t="shared" si="194"/>
        <v>0</v>
      </c>
      <c r="Q432" s="3">
        <f t="shared" si="208"/>
        <v>0</v>
      </c>
      <c r="R432" s="3">
        <f t="shared" si="196"/>
        <v>0</v>
      </c>
      <c r="S432" s="3">
        <f t="shared" si="209"/>
        <v>0</v>
      </c>
      <c r="T432" s="3">
        <f t="shared" si="181"/>
        <v>0</v>
      </c>
      <c r="U432" s="3">
        <f t="shared" si="195"/>
        <v>0</v>
      </c>
      <c r="V432" s="3">
        <f t="shared" si="182"/>
        <v>0</v>
      </c>
      <c r="W432" s="3">
        <f t="shared" si="185"/>
        <v>0</v>
      </c>
      <c r="X432" s="3">
        <f t="shared" si="186"/>
        <v>0</v>
      </c>
      <c r="Y432" s="3">
        <f t="shared" si="187"/>
        <v>0</v>
      </c>
      <c r="Z432" s="3">
        <f t="shared" si="198"/>
        <v>0</v>
      </c>
      <c r="AA432" s="3">
        <f t="shared" si="199"/>
        <v>0</v>
      </c>
      <c r="AB432" s="3" t="e">
        <f t="shared" si="200"/>
        <v>#DIV/0!</v>
      </c>
      <c r="AC432" s="3" t="str">
        <f t="shared" si="201"/>
        <v/>
      </c>
      <c r="AD432" s="3">
        <f t="shared" si="188"/>
        <v>0</v>
      </c>
      <c r="AE432" s="3">
        <f t="shared" si="183"/>
        <v>0</v>
      </c>
      <c r="AF432" s="3">
        <f t="shared" si="189"/>
        <v>0</v>
      </c>
      <c r="AG432" s="3" t="e">
        <f>AF432 / SUM(F$2:F432)</f>
        <v>#DIV/0!</v>
      </c>
      <c r="AH432" s="3" t="e">
        <f t="shared" si="190"/>
        <v>#DIV/0!</v>
      </c>
      <c r="AI432" s="3">
        <f t="shared" si="191"/>
        <v>0</v>
      </c>
      <c r="AJ432" s="3" t="e">
        <f t="shared" si="192"/>
        <v>#DIV/0!</v>
      </c>
      <c r="AK432" s="3" t="e">
        <f t="shared" si="207"/>
        <v>#DIV/0!</v>
      </c>
    </row>
    <row r="433" spans="1:37" x14ac:dyDescent="0.3">
      <c r="A433" s="24">
        <v>0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f t="shared" si="180"/>
        <v>0</v>
      </c>
      <c r="H433" s="3">
        <f t="shared" si="197"/>
        <v>0</v>
      </c>
      <c r="I433" s="3">
        <f t="shared" si="202"/>
        <v>0</v>
      </c>
      <c r="J433" s="3">
        <f t="shared" si="203"/>
        <v>0</v>
      </c>
      <c r="K433" s="3">
        <f t="shared" si="204"/>
        <v>0</v>
      </c>
      <c r="L433" s="3">
        <f t="shared" si="205"/>
        <v>0</v>
      </c>
      <c r="M433" s="3" t="e">
        <f t="shared" si="184"/>
        <v>#DIV/0!</v>
      </c>
      <c r="N433" s="3" t="e">
        <f t="shared" si="193"/>
        <v>#DIV/0!</v>
      </c>
      <c r="O433" s="3" t="e">
        <f t="shared" si="206"/>
        <v>#DIV/0!</v>
      </c>
      <c r="P433" s="3">
        <f t="shared" si="194"/>
        <v>0</v>
      </c>
      <c r="Q433" s="3">
        <f t="shared" si="208"/>
        <v>0</v>
      </c>
      <c r="R433" s="3">
        <f t="shared" si="196"/>
        <v>0</v>
      </c>
      <c r="S433" s="3">
        <f t="shared" si="209"/>
        <v>0</v>
      </c>
      <c r="T433" s="3">
        <f t="shared" si="181"/>
        <v>0</v>
      </c>
      <c r="U433" s="3">
        <f t="shared" si="195"/>
        <v>0</v>
      </c>
      <c r="V433" s="3">
        <f t="shared" si="182"/>
        <v>0</v>
      </c>
      <c r="W433" s="3">
        <f t="shared" si="185"/>
        <v>0</v>
      </c>
      <c r="X433" s="3">
        <f t="shared" si="186"/>
        <v>0</v>
      </c>
      <c r="Y433" s="3">
        <f t="shared" si="187"/>
        <v>0</v>
      </c>
      <c r="Z433" s="3">
        <f t="shared" si="198"/>
        <v>0</v>
      </c>
      <c r="AA433" s="3">
        <f t="shared" si="199"/>
        <v>0</v>
      </c>
      <c r="AB433" s="3" t="e">
        <f t="shared" si="200"/>
        <v>#DIV/0!</v>
      </c>
      <c r="AC433" s="3" t="str">
        <f t="shared" si="201"/>
        <v/>
      </c>
      <c r="AD433" s="3">
        <f t="shared" si="188"/>
        <v>0</v>
      </c>
      <c r="AE433" s="3">
        <f t="shared" si="183"/>
        <v>0</v>
      </c>
      <c r="AF433" s="3">
        <f t="shared" si="189"/>
        <v>0</v>
      </c>
      <c r="AG433" s="3" t="e">
        <f>AF433 / SUM(F$2:F433)</f>
        <v>#DIV/0!</v>
      </c>
      <c r="AH433" s="3" t="e">
        <f t="shared" si="190"/>
        <v>#DIV/0!</v>
      </c>
      <c r="AI433" s="3">
        <f t="shared" si="191"/>
        <v>0</v>
      </c>
      <c r="AJ433" s="3" t="e">
        <f t="shared" si="192"/>
        <v>#DIV/0!</v>
      </c>
      <c r="AK433" s="3" t="e">
        <f t="shared" si="207"/>
        <v>#DIV/0!</v>
      </c>
    </row>
    <row r="434" spans="1:37" x14ac:dyDescent="0.3">
      <c r="A434" s="24">
        <v>0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f t="shared" si="180"/>
        <v>0</v>
      </c>
      <c r="H434" s="3">
        <f t="shared" si="197"/>
        <v>0</v>
      </c>
      <c r="I434" s="3">
        <f t="shared" si="202"/>
        <v>0</v>
      </c>
      <c r="J434" s="3">
        <f t="shared" si="203"/>
        <v>0</v>
      </c>
      <c r="K434" s="3">
        <f t="shared" si="204"/>
        <v>0</v>
      </c>
      <c r="L434" s="3">
        <f t="shared" si="205"/>
        <v>0</v>
      </c>
      <c r="M434" s="3" t="e">
        <f t="shared" si="184"/>
        <v>#DIV/0!</v>
      </c>
      <c r="N434" s="3" t="e">
        <f t="shared" si="193"/>
        <v>#DIV/0!</v>
      </c>
      <c r="O434" s="3" t="e">
        <f t="shared" si="206"/>
        <v>#DIV/0!</v>
      </c>
      <c r="P434" s="3">
        <f t="shared" si="194"/>
        <v>0</v>
      </c>
      <c r="Q434" s="3">
        <f t="shared" si="208"/>
        <v>0</v>
      </c>
      <c r="R434" s="3">
        <f t="shared" si="196"/>
        <v>0</v>
      </c>
      <c r="S434" s="3">
        <f t="shared" si="209"/>
        <v>0</v>
      </c>
      <c r="T434" s="3">
        <f t="shared" si="181"/>
        <v>0</v>
      </c>
      <c r="U434" s="3">
        <f t="shared" si="195"/>
        <v>0</v>
      </c>
      <c r="V434" s="3">
        <f t="shared" si="182"/>
        <v>0</v>
      </c>
      <c r="W434" s="3">
        <f t="shared" si="185"/>
        <v>0</v>
      </c>
      <c r="X434" s="3">
        <f t="shared" si="186"/>
        <v>0</v>
      </c>
      <c r="Y434" s="3">
        <f t="shared" si="187"/>
        <v>0</v>
      </c>
      <c r="Z434" s="3">
        <f t="shared" si="198"/>
        <v>0</v>
      </c>
      <c r="AA434" s="3">
        <f t="shared" si="199"/>
        <v>0</v>
      </c>
      <c r="AB434" s="3" t="e">
        <f t="shared" si="200"/>
        <v>#DIV/0!</v>
      </c>
      <c r="AC434" s="3" t="str">
        <f t="shared" si="201"/>
        <v/>
      </c>
      <c r="AD434" s="3">
        <f t="shared" si="188"/>
        <v>0</v>
      </c>
      <c r="AE434" s="3">
        <f t="shared" si="183"/>
        <v>0</v>
      </c>
      <c r="AF434" s="3">
        <f t="shared" si="189"/>
        <v>0</v>
      </c>
      <c r="AG434" s="3" t="e">
        <f>AF434 / SUM(F$2:F434)</f>
        <v>#DIV/0!</v>
      </c>
      <c r="AH434" s="3" t="e">
        <f t="shared" si="190"/>
        <v>#DIV/0!</v>
      </c>
      <c r="AI434" s="3">
        <f t="shared" si="191"/>
        <v>0</v>
      </c>
      <c r="AJ434" s="3" t="e">
        <f t="shared" si="192"/>
        <v>#DIV/0!</v>
      </c>
      <c r="AK434" s="3" t="e">
        <f t="shared" si="207"/>
        <v>#DIV/0!</v>
      </c>
    </row>
    <row r="435" spans="1:37" x14ac:dyDescent="0.3">
      <c r="A435" s="24">
        <v>0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f t="shared" si="180"/>
        <v>0</v>
      </c>
      <c r="H435" s="3">
        <f t="shared" si="197"/>
        <v>0</v>
      </c>
      <c r="I435" s="3">
        <f t="shared" si="202"/>
        <v>0</v>
      </c>
      <c r="J435" s="3">
        <f t="shared" si="203"/>
        <v>0</v>
      </c>
      <c r="K435" s="3">
        <f t="shared" si="204"/>
        <v>0</v>
      </c>
      <c r="L435" s="3">
        <f t="shared" si="205"/>
        <v>0</v>
      </c>
      <c r="M435" s="3" t="e">
        <f t="shared" si="184"/>
        <v>#DIV/0!</v>
      </c>
      <c r="N435" s="3" t="e">
        <f t="shared" si="193"/>
        <v>#DIV/0!</v>
      </c>
      <c r="O435" s="3" t="e">
        <f t="shared" si="206"/>
        <v>#DIV/0!</v>
      </c>
      <c r="P435" s="3">
        <f t="shared" si="194"/>
        <v>0</v>
      </c>
      <c r="Q435" s="3">
        <f t="shared" si="208"/>
        <v>0</v>
      </c>
      <c r="R435" s="3">
        <f t="shared" si="196"/>
        <v>0</v>
      </c>
      <c r="S435" s="3">
        <f t="shared" si="209"/>
        <v>0</v>
      </c>
      <c r="T435" s="3">
        <f t="shared" si="181"/>
        <v>0</v>
      </c>
      <c r="U435" s="3">
        <f t="shared" si="195"/>
        <v>0</v>
      </c>
      <c r="V435" s="3">
        <f t="shared" si="182"/>
        <v>0</v>
      </c>
      <c r="W435" s="3">
        <f t="shared" si="185"/>
        <v>0</v>
      </c>
      <c r="X435" s="3">
        <f t="shared" si="186"/>
        <v>0</v>
      </c>
      <c r="Y435" s="3">
        <f t="shared" si="187"/>
        <v>0</v>
      </c>
      <c r="Z435" s="3">
        <f t="shared" si="198"/>
        <v>0</v>
      </c>
      <c r="AA435" s="3">
        <f t="shared" si="199"/>
        <v>0</v>
      </c>
      <c r="AB435" s="3" t="e">
        <f t="shared" si="200"/>
        <v>#DIV/0!</v>
      </c>
      <c r="AC435" s="3" t="str">
        <f t="shared" si="201"/>
        <v/>
      </c>
      <c r="AD435" s="3">
        <f t="shared" si="188"/>
        <v>0</v>
      </c>
      <c r="AE435" s="3">
        <f t="shared" si="183"/>
        <v>0</v>
      </c>
      <c r="AF435" s="3">
        <f t="shared" si="189"/>
        <v>0</v>
      </c>
      <c r="AG435" s="3" t="e">
        <f>AF435 / SUM(F$2:F435)</f>
        <v>#DIV/0!</v>
      </c>
      <c r="AH435" s="3" t="e">
        <f t="shared" si="190"/>
        <v>#DIV/0!</v>
      </c>
      <c r="AI435" s="3">
        <f t="shared" si="191"/>
        <v>0</v>
      </c>
      <c r="AJ435" s="3" t="e">
        <f t="shared" si="192"/>
        <v>#DIV/0!</v>
      </c>
      <c r="AK435" s="3" t="e">
        <f t="shared" si="207"/>
        <v>#DIV/0!</v>
      </c>
    </row>
    <row r="436" spans="1:37" x14ac:dyDescent="0.3">
      <c r="A436" s="24">
        <v>0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f t="shared" si="180"/>
        <v>0</v>
      </c>
      <c r="H436" s="3">
        <f t="shared" si="197"/>
        <v>0</v>
      </c>
      <c r="I436" s="3">
        <f t="shared" si="202"/>
        <v>0</v>
      </c>
      <c r="J436" s="3">
        <f t="shared" si="203"/>
        <v>0</v>
      </c>
      <c r="K436" s="3">
        <f t="shared" si="204"/>
        <v>0</v>
      </c>
      <c r="L436" s="3">
        <f t="shared" si="205"/>
        <v>0</v>
      </c>
      <c r="M436" s="3" t="e">
        <f t="shared" si="184"/>
        <v>#DIV/0!</v>
      </c>
      <c r="N436" s="3" t="e">
        <f t="shared" si="193"/>
        <v>#DIV/0!</v>
      </c>
      <c r="O436" s="3" t="e">
        <f t="shared" si="206"/>
        <v>#DIV/0!</v>
      </c>
      <c r="P436" s="3">
        <f t="shared" si="194"/>
        <v>0</v>
      </c>
      <c r="Q436" s="3">
        <f t="shared" si="208"/>
        <v>0</v>
      </c>
      <c r="R436" s="3">
        <f t="shared" si="196"/>
        <v>0</v>
      </c>
      <c r="S436" s="3">
        <f t="shared" si="209"/>
        <v>0</v>
      </c>
      <c r="T436" s="3">
        <f t="shared" si="181"/>
        <v>0</v>
      </c>
      <c r="U436" s="3">
        <f t="shared" si="195"/>
        <v>0</v>
      </c>
      <c r="V436" s="3">
        <f t="shared" si="182"/>
        <v>0</v>
      </c>
      <c r="W436" s="3">
        <f t="shared" si="185"/>
        <v>0</v>
      </c>
      <c r="X436" s="3">
        <f t="shared" si="186"/>
        <v>0</v>
      </c>
      <c r="Y436" s="3">
        <f t="shared" si="187"/>
        <v>0</v>
      </c>
      <c r="Z436" s="3">
        <f t="shared" si="198"/>
        <v>0</v>
      </c>
      <c r="AA436" s="3">
        <f t="shared" si="199"/>
        <v>0</v>
      </c>
      <c r="AB436" s="3" t="e">
        <f t="shared" si="200"/>
        <v>#DIV/0!</v>
      </c>
      <c r="AC436" s="3" t="str">
        <f t="shared" si="201"/>
        <v/>
      </c>
      <c r="AD436" s="3">
        <f t="shared" si="188"/>
        <v>0</v>
      </c>
      <c r="AE436" s="3">
        <f t="shared" si="183"/>
        <v>0</v>
      </c>
      <c r="AF436" s="3">
        <f t="shared" si="189"/>
        <v>0</v>
      </c>
      <c r="AG436" s="3" t="e">
        <f>AF436 / SUM(F$2:F436)</f>
        <v>#DIV/0!</v>
      </c>
      <c r="AH436" s="3" t="e">
        <f t="shared" si="190"/>
        <v>#DIV/0!</v>
      </c>
      <c r="AI436" s="3">
        <f t="shared" si="191"/>
        <v>0</v>
      </c>
      <c r="AJ436" s="3" t="e">
        <f t="shared" si="192"/>
        <v>#DIV/0!</v>
      </c>
      <c r="AK436" s="3" t="e">
        <f t="shared" si="207"/>
        <v>#DIV/0!</v>
      </c>
    </row>
    <row r="437" spans="1:37" x14ac:dyDescent="0.3">
      <c r="A437" s="24">
        <v>0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f t="shared" si="180"/>
        <v>0</v>
      </c>
      <c r="H437" s="3">
        <f t="shared" si="197"/>
        <v>0</v>
      </c>
      <c r="I437" s="3">
        <f t="shared" si="202"/>
        <v>0</v>
      </c>
      <c r="J437" s="3">
        <f t="shared" si="203"/>
        <v>0</v>
      </c>
      <c r="K437" s="3">
        <f t="shared" si="204"/>
        <v>0</v>
      </c>
      <c r="L437" s="3">
        <f t="shared" si="205"/>
        <v>0</v>
      </c>
      <c r="M437" s="3" t="e">
        <f t="shared" si="184"/>
        <v>#DIV/0!</v>
      </c>
      <c r="N437" s="3" t="e">
        <f t="shared" si="193"/>
        <v>#DIV/0!</v>
      </c>
      <c r="O437" s="3" t="e">
        <f t="shared" si="206"/>
        <v>#DIV/0!</v>
      </c>
      <c r="P437" s="3">
        <f t="shared" si="194"/>
        <v>0</v>
      </c>
      <c r="Q437" s="3">
        <f t="shared" si="208"/>
        <v>0</v>
      </c>
      <c r="R437" s="3">
        <f t="shared" si="196"/>
        <v>0</v>
      </c>
      <c r="S437" s="3">
        <f t="shared" si="209"/>
        <v>0</v>
      </c>
      <c r="T437" s="3">
        <f t="shared" si="181"/>
        <v>0</v>
      </c>
      <c r="U437" s="3">
        <f t="shared" si="195"/>
        <v>0</v>
      </c>
      <c r="V437" s="3">
        <f t="shared" si="182"/>
        <v>0</v>
      </c>
      <c r="W437" s="3">
        <f t="shared" si="185"/>
        <v>0</v>
      </c>
      <c r="X437" s="3">
        <f t="shared" si="186"/>
        <v>0</v>
      </c>
      <c r="Y437" s="3">
        <f t="shared" si="187"/>
        <v>0</v>
      </c>
      <c r="Z437" s="3">
        <f t="shared" si="198"/>
        <v>0</v>
      </c>
      <c r="AA437" s="3">
        <f t="shared" si="199"/>
        <v>0</v>
      </c>
      <c r="AB437" s="3" t="e">
        <f t="shared" si="200"/>
        <v>#DIV/0!</v>
      </c>
      <c r="AC437" s="3" t="str">
        <f t="shared" si="201"/>
        <v/>
      </c>
      <c r="AD437" s="3">
        <f t="shared" si="188"/>
        <v>0</v>
      </c>
      <c r="AE437" s="3">
        <f t="shared" si="183"/>
        <v>0</v>
      </c>
      <c r="AF437" s="3">
        <f t="shared" si="189"/>
        <v>0</v>
      </c>
      <c r="AG437" s="3" t="e">
        <f>AF437 / SUM(F$2:F437)</f>
        <v>#DIV/0!</v>
      </c>
      <c r="AH437" s="3" t="e">
        <f t="shared" si="190"/>
        <v>#DIV/0!</v>
      </c>
      <c r="AI437" s="3">
        <f t="shared" si="191"/>
        <v>0</v>
      </c>
      <c r="AJ437" s="3" t="e">
        <f t="shared" si="192"/>
        <v>#DIV/0!</v>
      </c>
      <c r="AK437" s="3" t="e">
        <f t="shared" si="207"/>
        <v>#DIV/0!</v>
      </c>
    </row>
    <row r="438" spans="1:37" x14ac:dyDescent="0.3">
      <c r="A438" s="24">
        <v>0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f t="shared" si="180"/>
        <v>0</v>
      </c>
      <c r="H438" s="3">
        <f t="shared" si="197"/>
        <v>0</v>
      </c>
      <c r="I438" s="3">
        <f t="shared" si="202"/>
        <v>0</v>
      </c>
      <c r="J438" s="3">
        <f t="shared" si="203"/>
        <v>0</v>
      </c>
      <c r="K438" s="3">
        <f t="shared" si="204"/>
        <v>0</v>
      </c>
      <c r="L438" s="3">
        <f t="shared" si="205"/>
        <v>0</v>
      </c>
      <c r="M438" s="3" t="e">
        <f t="shared" si="184"/>
        <v>#DIV/0!</v>
      </c>
      <c r="N438" s="3" t="e">
        <f t="shared" si="193"/>
        <v>#DIV/0!</v>
      </c>
      <c r="O438" s="3" t="e">
        <f t="shared" si="206"/>
        <v>#DIV/0!</v>
      </c>
      <c r="P438" s="3">
        <f t="shared" si="194"/>
        <v>0</v>
      </c>
      <c r="Q438" s="3">
        <f t="shared" si="208"/>
        <v>0</v>
      </c>
      <c r="R438" s="3">
        <f t="shared" si="196"/>
        <v>0</v>
      </c>
      <c r="S438" s="3">
        <f t="shared" si="209"/>
        <v>0</v>
      </c>
      <c r="T438" s="3">
        <f t="shared" si="181"/>
        <v>0</v>
      </c>
      <c r="U438" s="3">
        <f t="shared" si="195"/>
        <v>0</v>
      </c>
      <c r="V438" s="3">
        <f t="shared" si="182"/>
        <v>0</v>
      </c>
      <c r="W438" s="3">
        <f t="shared" si="185"/>
        <v>0</v>
      </c>
      <c r="X438" s="3">
        <f t="shared" si="186"/>
        <v>0</v>
      </c>
      <c r="Y438" s="3">
        <f t="shared" si="187"/>
        <v>0</v>
      </c>
      <c r="Z438" s="3">
        <f t="shared" si="198"/>
        <v>0</v>
      </c>
      <c r="AA438" s="3">
        <f t="shared" si="199"/>
        <v>0</v>
      </c>
      <c r="AB438" s="3" t="e">
        <f t="shared" si="200"/>
        <v>#DIV/0!</v>
      </c>
      <c r="AC438" s="3" t="str">
        <f t="shared" si="201"/>
        <v/>
      </c>
      <c r="AD438" s="3">
        <f t="shared" si="188"/>
        <v>0</v>
      </c>
      <c r="AE438" s="3">
        <f t="shared" si="183"/>
        <v>0</v>
      </c>
      <c r="AF438" s="3">
        <f t="shared" si="189"/>
        <v>0</v>
      </c>
      <c r="AG438" s="3" t="e">
        <f>AF438 / SUM(F$2:F438)</f>
        <v>#DIV/0!</v>
      </c>
      <c r="AH438" s="3" t="e">
        <f t="shared" si="190"/>
        <v>#DIV/0!</v>
      </c>
      <c r="AI438" s="3">
        <f t="shared" si="191"/>
        <v>0</v>
      </c>
      <c r="AJ438" s="3" t="e">
        <f t="shared" si="192"/>
        <v>#DIV/0!</v>
      </c>
      <c r="AK438" s="3" t="e">
        <f t="shared" si="207"/>
        <v>#DIV/0!</v>
      </c>
    </row>
    <row r="439" spans="1:37" x14ac:dyDescent="0.3">
      <c r="A439" s="24">
        <v>0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f t="shared" si="180"/>
        <v>0</v>
      </c>
      <c r="H439" s="3">
        <f t="shared" si="197"/>
        <v>0</v>
      </c>
      <c r="I439" s="3">
        <f t="shared" si="202"/>
        <v>0</v>
      </c>
      <c r="J439" s="3">
        <f t="shared" si="203"/>
        <v>0</v>
      </c>
      <c r="K439" s="3">
        <f t="shared" si="204"/>
        <v>0</v>
      </c>
      <c r="L439" s="3">
        <f t="shared" si="205"/>
        <v>0</v>
      </c>
      <c r="M439" s="3" t="e">
        <f t="shared" si="184"/>
        <v>#DIV/0!</v>
      </c>
      <c r="N439" s="3" t="e">
        <f t="shared" si="193"/>
        <v>#DIV/0!</v>
      </c>
      <c r="O439" s="3" t="e">
        <f t="shared" si="206"/>
        <v>#DIV/0!</v>
      </c>
      <c r="P439" s="3">
        <f t="shared" si="194"/>
        <v>0</v>
      </c>
      <c r="Q439" s="3">
        <f t="shared" si="208"/>
        <v>0</v>
      </c>
      <c r="R439" s="3">
        <f t="shared" si="196"/>
        <v>0</v>
      </c>
      <c r="S439" s="3">
        <f t="shared" si="209"/>
        <v>0</v>
      </c>
      <c r="T439" s="3">
        <f t="shared" si="181"/>
        <v>0</v>
      </c>
      <c r="U439" s="3">
        <f t="shared" si="195"/>
        <v>0</v>
      </c>
      <c r="V439" s="3">
        <f t="shared" si="182"/>
        <v>0</v>
      </c>
      <c r="W439" s="3">
        <f t="shared" si="185"/>
        <v>0</v>
      </c>
      <c r="X439" s="3">
        <f t="shared" si="186"/>
        <v>0</v>
      </c>
      <c r="Y439" s="3">
        <f t="shared" si="187"/>
        <v>0</v>
      </c>
      <c r="Z439" s="3">
        <f t="shared" si="198"/>
        <v>0</v>
      </c>
      <c r="AA439" s="3">
        <f t="shared" si="199"/>
        <v>0</v>
      </c>
      <c r="AB439" s="3" t="e">
        <f t="shared" si="200"/>
        <v>#DIV/0!</v>
      </c>
      <c r="AC439" s="3" t="str">
        <f t="shared" si="201"/>
        <v/>
      </c>
      <c r="AD439" s="3">
        <f t="shared" si="188"/>
        <v>0</v>
      </c>
      <c r="AE439" s="3">
        <f t="shared" si="183"/>
        <v>0</v>
      </c>
      <c r="AF439" s="3">
        <f t="shared" si="189"/>
        <v>0</v>
      </c>
      <c r="AG439" s="3" t="e">
        <f>AF439 / SUM(F$2:F439)</f>
        <v>#DIV/0!</v>
      </c>
      <c r="AH439" s="3" t="e">
        <f t="shared" si="190"/>
        <v>#DIV/0!</v>
      </c>
      <c r="AI439" s="3">
        <f t="shared" si="191"/>
        <v>0</v>
      </c>
      <c r="AJ439" s="3" t="e">
        <f t="shared" si="192"/>
        <v>#DIV/0!</v>
      </c>
      <c r="AK439" s="3" t="e">
        <f t="shared" si="207"/>
        <v>#DIV/0!</v>
      </c>
    </row>
    <row r="440" spans="1:37" x14ac:dyDescent="0.3">
      <c r="A440" s="24">
        <v>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f t="shared" si="180"/>
        <v>0</v>
      </c>
      <c r="H440" s="3">
        <f t="shared" si="197"/>
        <v>0</v>
      </c>
      <c r="I440" s="3">
        <f t="shared" si="202"/>
        <v>0</v>
      </c>
      <c r="J440" s="3">
        <f t="shared" si="203"/>
        <v>0</v>
      </c>
      <c r="K440" s="3">
        <f t="shared" si="204"/>
        <v>0</v>
      </c>
      <c r="L440" s="3">
        <f t="shared" si="205"/>
        <v>0</v>
      </c>
      <c r="M440" s="3" t="e">
        <f t="shared" si="184"/>
        <v>#DIV/0!</v>
      </c>
      <c r="N440" s="3" t="e">
        <f t="shared" si="193"/>
        <v>#DIV/0!</v>
      </c>
      <c r="O440" s="3" t="e">
        <f t="shared" si="206"/>
        <v>#DIV/0!</v>
      </c>
      <c r="P440" s="3">
        <f t="shared" si="194"/>
        <v>0</v>
      </c>
      <c r="Q440" s="3">
        <f t="shared" si="208"/>
        <v>0</v>
      </c>
      <c r="R440" s="3">
        <f t="shared" si="196"/>
        <v>0</v>
      </c>
      <c r="S440" s="3">
        <f t="shared" si="209"/>
        <v>0</v>
      </c>
      <c r="T440" s="3">
        <f t="shared" si="181"/>
        <v>0</v>
      </c>
      <c r="U440" s="3">
        <f t="shared" si="195"/>
        <v>0</v>
      </c>
      <c r="V440" s="3">
        <f t="shared" si="182"/>
        <v>0</v>
      </c>
      <c r="W440" s="3">
        <f t="shared" si="185"/>
        <v>0</v>
      </c>
      <c r="X440" s="3">
        <f t="shared" si="186"/>
        <v>0</v>
      </c>
      <c r="Y440" s="3">
        <f t="shared" si="187"/>
        <v>0</v>
      </c>
      <c r="Z440" s="3">
        <f t="shared" si="198"/>
        <v>0</v>
      </c>
      <c r="AA440" s="3">
        <f t="shared" si="199"/>
        <v>0</v>
      </c>
      <c r="AB440" s="3" t="e">
        <f t="shared" si="200"/>
        <v>#DIV/0!</v>
      </c>
      <c r="AC440" s="3" t="str">
        <f t="shared" si="201"/>
        <v/>
      </c>
      <c r="AD440" s="3">
        <f t="shared" si="188"/>
        <v>0</v>
      </c>
      <c r="AE440" s="3">
        <f t="shared" si="183"/>
        <v>0</v>
      </c>
      <c r="AF440" s="3">
        <f t="shared" si="189"/>
        <v>0</v>
      </c>
      <c r="AG440" s="3" t="e">
        <f>AF440 / SUM(F$2:F440)</f>
        <v>#DIV/0!</v>
      </c>
      <c r="AH440" s="3" t="e">
        <f t="shared" si="190"/>
        <v>#DIV/0!</v>
      </c>
      <c r="AI440" s="3">
        <f t="shared" si="191"/>
        <v>0</v>
      </c>
      <c r="AJ440" s="3" t="e">
        <f t="shared" si="192"/>
        <v>#DIV/0!</v>
      </c>
      <c r="AK440" s="3" t="e">
        <f t="shared" si="207"/>
        <v>#DIV/0!</v>
      </c>
    </row>
    <row r="441" spans="1:37" x14ac:dyDescent="0.3">
      <c r="A441" s="24">
        <v>0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f t="shared" si="180"/>
        <v>0</v>
      </c>
      <c r="H441" s="3">
        <f t="shared" si="197"/>
        <v>0</v>
      </c>
      <c r="I441" s="3">
        <f t="shared" si="202"/>
        <v>0</v>
      </c>
      <c r="J441" s="3">
        <f t="shared" si="203"/>
        <v>0</v>
      </c>
      <c r="K441" s="3">
        <f t="shared" si="204"/>
        <v>0</v>
      </c>
      <c r="L441" s="3">
        <f t="shared" si="205"/>
        <v>0</v>
      </c>
      <c r="M441" s="3" t="e">
        <f t="shared" si="184"/>
        <v>#DIV/0!</v>
      </c>
      <c r="N441" s="3" t="e">
        <f t="shared" si="193"/>
        <v>#DIV/0!</v>
      </c>
      <c r="O441" s="3" t="e">
        <f t="shared" si="206"/>
        <v>#DIV/0!</v>
      </c>
      <c r="P441" s="3">
        <f t="shared" si="194"/>
        <v>0</v>
      </c>
      <c r="Q441" s="3">
        <f t="shared" si="208"/>
        <v>0</v>
      </c>
      <c r="R441" s="3">
        <f t="shared" si="196"/>
        <v>0</v>
      </c>
      <c r="S441" s="3">
        <f t="shared" si="209"/>
        <v>0</v>
      </c>
      <c r="T441" s="3">
        <f t="shared" si="181"/>
        <v>0</v>
      </c>
      <c r="U441" s="3">
        <f t="shared" si="195"/>
        <v>0</v>
      </c>
      <c r="V441" s="3">
        <f t="shared" si="182"/>
        <v>0</v>
      </c>
      <c r="W441" s="3">
        <f t="shared" si="185"/>
        <v>0</v>
      </c>
      <c r="X441" s="3">
        <f t="shared" si="186"/>
        <v>0</v>
      </c>
      <c r="Y441" s="3">
        <f t="shared" si="187"/>
        <v>0</v>
      </c>
      <c r="Z441" s="3">
        <f t="shared" si="198"/>
        <v>0</v>
      </c>
      <c r="AA441" s="3">
        <f t="shared" si="199"/>
        <v>0</v>
      </c>
      <c r="AB441" s="3" t="e">
        <f t="shared" si="200"/>
        <v>#DIV/0!</v>
      </c>
      <c r="AC441" s="3" t="str">
        <f t="shared" si="201"/>
        <v/>
      </c>
      <c r="AD441" s="3">
        <f t="shared" si="188"/>
        <v>0</v>
      </c>
      <c r="AE441" s="3">
        <f t="shared" si="183"/>
        <v>0</v>
      </c>
      <c r="AF441" s="3">
        <f t="shared" si="189"/>
        <v>0</v>
      </c>
      <c r="AG441" s="3" t="e">
        <f>AF441 / SUM(F$2:F441)</f>
        <v>#DIV/0!</v>
      </c>
      <c r="AH441" s="3" t="e">
        <f t="shared" si="190"/>
        <v>#DIV/0!</v>
      </c>
      <c r="AI441" s="3">
        <f t="shared" si="191"/>
        <v>0</v>
      </c>
      <c r="AJ441" s="3" t="e">
        <f t="shared" si="192"/>
        <v>#DIV/0!</v>
      </c>
      <c r="AK441" s="3" t="e">
        <f t="shared" si="207"/>
        <v>#DIV/0!</v>
      </c>
    </row>
    <row r="442" spans="1:37" x14ac:dyDescent="0.3">
      <c r="A442" s="24">
        <v>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f t="shared" si="180"/>
        <v>0</v>
      </c>
      <c r="H442" s="3">
        <f t="shared" si="197"/>
        <v>0</v>
      </c>
      <c r="I442" s="3">
        <f t="shared" si="202"/>
        <v>0</v>
      </c>
      <c r="J442" s="3">
        <f t="shared" si="203"/>
        <v>0</v>
      </c>
      <c r="K442" s="3">
        <f t="shared" si="204"/>
        <v>0</v>
      </c>
      <c r="L442" s="3">
        <f t="shared" si="205"/>
        <v>0</v>
      </c>
      <c r="M442" s="3" t="e">
        <f t="shared" si="184"/>
        <v>#DIV/0!</v>
      </c>
      <c r="N442" s="3" t="e">
        <f t="shared" si="193"/>
        <v>#DIV/0!</v>
      </c>
      <c r="O442" s="3" t="e">
        <f t="shared" si="206"/>
        <v>#DIV/0!</v>
      </c>
      <c r="P442" s="3">
        <f t="shared" si="194"/>
        <v>0</v>
      </c>
      <c r="Q442" s="3">
        <f t="shared" si="208"/>
        <v>0</v>
      </c>
      <c r="R442" s="3">
        <f t="shared" si="196"/>
        <v>0</v>
      </c>
      <c r="S442" s="3">
        <f t="shared" si="209"/>
        <v>0</v>
      </c>
      <c r="T442" s="3">
        <f t="shared" si="181"/>
        <v>0</v>
      </c>
      <c r="U442" s="3">
        <f t="shared" si="195"/>
        <v>0</v>
      </c>
      <c r="V442" s="3">
        <f t="shared" si="182"/>
        <v>0</v>
      </c>
      <c r="W442" s="3">
        <f t="shared" si="185"/>
        <v>0</v>
      </c>
      <c r="X442" s="3">
        <f t="shared" si="186"/>
        <v>0</v>
      </c>
      <c r="Y442" s="3">
        <f t="shared" si="187"/>
        <v>0</v>
      </c>
      <c r="Z442" s="3">
        <f t="shared" si="198"/>
        <v>0</v>
      </c>
      <c r="AA442" s="3">
        <f t="shared" si="199"/>
        <v>0</v>
      </c>
      <c r="AB442" s="3" t="e">
        <f t="shared" si="200"/>
        <v>#DIV/0!</v>
      </c>
      <c r="AC442" s="3" t="str">
        <f t="shared" si="201"/>
        <v/>
      </c>
      <c r="AD442" s="3">
        <f t="shared" si="188"/>
        <v>0</v>
      </c>
      <c r="AE442" s="3">
        <f t="shared" si="183"/>
        <v>0</v>
      </c>
      <c r="AF442" s="3">
        <f t="shared" si="189"/>
        <v>0</v>
      </c>
      <c r="AG442" s="3" t="e">
        <f>AF442 / SUM(F$2:F442)</f>
        <v>#DIV/0!</v>
      </c>
      <c r="AH442" s="3" t="e">
        <f t="shared" si="190"/>
        <v>#DIV/0!</v>
      </c>
      <c r="AI442" s="3">
        <f t="shared" si="191"/>
        <v>0</v>
      </c>
      <c r="AJ442" s="3" t="e">
        <f t="shared" si="192"/>
        <v>#DIV/0!</v>
      </c>
      <c r="AK442" s="3" t="e">
        <f t="shared" si="207"/>
        <v>#DIV/0!</v>
      </c>
    </row>
    <row r="443" spans="1:37" x14ac:dyDescent="0.3">
      <c r="A443" s="24">
        <v>0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f t="shared" si="180"/>
        <v>0</v>
      </c>
      <c r="H443" s="3">
        <f t="shared" si="197"/>
        <v>0</v>
      </c>
      <c r="I443" s="3">
        <f t="shared" si="202"/>
        <v>0</v>
      </c>
      <c r="J443" s="3">
        <f t="shared" si="203"/>
        <v>0</v>
      </c>
      <c r="K443" s="3">
        <f t="shared" si="204"/>
        <v>0</v>
      </c>
      <c r="L443" s="3">
        <f t="shared" si="205"/>
        <v>0</v>
      </c>
      <c r="M443" s="3" t="e">
        <f t="shared" si="184"/>
        <v>#DIV/0!</v>
      </c>
      <c r="N443" s="3" t="e">
        <f t="shared" si="193"/>
        <v>#DIV/0!</v>
      </c>
      <c r="O443" s="3" t="e">
        <f t="shared" si="206"/>
        <v>#DIV/0!</v>
      </c>
      <c r="P443" s="3">
        <f t="shared" si="194"/>
        <v>0</v>
      </c>
      <c r="Q443" s="3">
        <f t="shared" si="208"/>
        <v>0</v>
      </c>
      <c r="R443" s="3">
        <f t="shared" si="196"/>
        <v>0</v>
      </c>
      <c r="S443" s="3">
        <f t="shared" si="209"/>
        <v>0</v>
      </c>
      <c r="T443" s="3">
        <f t="shared" si="181"/>
        <v>0</v>
      </c>
      <c r="U443" s="3">
        <f t="shared" si="195"/>
        <v>0</v>
      </c>
      <c r="V443" s="3">
        <f t="shared" si="182"/>
        <v>0</v>
      </c>
      <c r="W443" s="3">
        <f t="shared" si="185"/>
        <v>0</v>
      </c>
      <c r="X443" s="3">
        <f t="shared" si="186"/>
        <v>0</v>
      </c>
      <c r="Y443" s="3">
        <f t="shared" si="187"/>
        <v>0</v>
      </c>
      <c r="Z443" s="3">
        <f t="shared" si="198"/>
        <v>0</v>
      </c>
      <c r="AA443" s="3">
        <f t="shared" si="199"/>
        <v>0</v>
      </c>
      <c r="AB443" s="3" t="e">
        <f t="shared" si="200"/>
        <v>#DIV/0!</v>
      </c>
      <c r="AC443" s="3" t="str">
        <f t="shared" si="201"/>
        <v/>
      </c>
      <c r="AD443" s="3">
        <f t="shared" si="188"/>
        <v>0</v>
      </c>
      <c r="AE443" s="3">
        <f t="shared" si="183"/>
        <v>0</v>
      </c>
      <c r="AF443" s="3">
        <f t="shared" si="189"/>
        <v>0</v>
      </c>
      <c r="AG443" s="3" t="e">
        <f>AF443 / SUM(F$2:F443)</f>
        <v>#DIV/0!</v>
      </c>
      <c r="AH443" s="3" t="e">
        <f t="shared" si="190"/>
        <v>#DIV/0!</v>
      </c>
      <c r="AI443" s="3">
        <f t="shared" si="191"/>
        <v>0</v>
      </c>
      <c r="AJ443" s="3" t="e">
        <f t="shared" si="192"/>
        <v>#DIV/0!</v>
      </c>
      <c r="AK443" s="3" t="e">
        <f t="shared" si="207"/>
        <v>#DIV/0!</v>
      </c>
    </row>
    <row r="444" spans="1:37" x14ac:dyDescent="0.3">
      <c r="A444" s="24">
        <v>0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f t="shared" si="180"/>
        <v>0</v>
      </c>
      <c r="H444" s="3">
        <f t="shared" si="197"/>
        <v>0</v>
      </c>
      <c r="I444" s="3">
        <f t="shared" si="202"/>
        <v>0</v>
      </c>
      <c r="J444" s="3">
        <f t="shared" si="203"/>
        <v>0</v>
      </c>
      <c r="K444" s="3">
        <f t="shared" si="204"/>
        <v>0</v>
      </c>
      <c r="L444" s="3">
        <f t="shared" si="205"/>
        <v>0</v>
      </c>
      <c r="M444" s="3" t="e">
        <f t="shared" si="184"/>
        <v>#DIV/0!</v>
      </c>
      <c r="N444" s="3" t="e">
        <f t="shared" si="193"/>
        <v>#DIV/0!</v>
      </c>
      <c r="O444" s="3" t="e">
        <f t="shared" si="206"/>
        <v>#DIV/0!</v>
      </c>
      <c r="P444" s="3">
        <f t="shared" si="194"/>
        <v>0</v>
      </c>
      <c r="Q444" s="3">
        <f t="shared" si="208"/>
        <v>0</v>
      </c>
      <c r="R444" s="3">
        <f t="shared" si="196"/>
        <v>0</v>
      </c>
      <c r="S444" s="3">
        <f t="shared" si="209"/>
        <v>0</v>
      </c>
      <c r="T444" s="3">
        <f t="shared" si="181"/>
        <v>0</v>
      </c>
      <c r="U444" s="3">
        <f t="shared" si="195"/>
        <v>0</v>
      </c>
      <c r="V444" s="3">
        <f t="shared" si="182"/>
        <v>0</v>
      </c>
      <c r="W444" s="3">
        <f t="shared" si="185"/>
        <v>0</v>
      </c>
      <c r="X444" s="3">
        <f t="shared" si="186"/>
        <v>0</v>
      </c>
      <c r="Y444" s="3">
        <f t="shared" si="187"/>
        <v>0</v>
      </c>
      <c r="Z444" s="3">
        <f t="shared" si="198"/>
        <v>0</v>
      </c>
      <c r="AA444" s="3">
        <f t="shared" si="199"/>
        <v>0</v>
      </c>
      <c r="AB444" s="3" t="e">
        <f t="shared" si="200"/>
        <v>#DIV/0!</v>
      </c>
      <c r="AC444" s="3" t="str">
        <f t="shared" si="201"/>
        <v/>
      </c>
      <c r="AD444" s="3">
        <f t="shared" si="188"/>
        <v>0</v>
      </c>
      <c r="AE444" s="3">
        <f t="shared" si="183"/>
        <v>0</v>
      </c>
      <c r="AF444" s="3">
        <f t="shared" si="189"/>
        <v>0</v>
      </c>
      <c r="AG444" s="3" t="e">
        <f>AF444 / SUM(F$2:F444)</f>
        <v>#DIV/0!</v>
      </c>
      <c r="AH444" s="3" t="e">
        <f t="shared" si="190"/>
        <v>#DIV/0!</v>
      </c>
      <c r="AI444" s="3">
        <f t="shared" si="191"/>
        <v>0</v>
      </c>
      <c r="AJ444" s="3" t="e">
        <f t="shared" si="192"/>
        <v>#DIV/0!</v>
      </c>
      <c r="AK444" s="3" t="e">
        <f t="shared" si="207"/>
        <v>#DIV/0!</v>
      </c>
    </row>
    <row r="445" spans="1:37" x14ac:dyDescent="0.3">
      <c r="A445" s="24">
        <v>0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f t="shared" si="180"/>
        <v>0</v>
      </c>
      <c r="H445" s="3">
        <f t="shared" si="197"/>
        <v>0</v>
      </c>
      <c r="I445" s="3">
        <f t="shared" si="202"/>
        <v>0</v>
      </c>
      <c r="J445" s="3">
        <f t="shared" si="203"/>
        <v>0</v>
      </c>
      <c r="K445" s="3">
        <f t="shared" si="204"/>
        <v>0</v>
      </c>
      <c r="L445" s="3">
        <f t="shared" si="205"/>
        <v>0</v>
      </c>
      <c r="M445" s="3" t="e">
        <f t="shared" si="184"/>
        <v>#DIV/0!</v>
      </c>
      <c r="N445" s="3" t="e">
        <f t="shared" si="193"/>
        <v>#DIV/0!</v>
      </c>
      <c r="O445" s="3" t="e">
        <f t="shared" si="206"/>
        <v>#DIV/0!</v>
      </c>
      <c r="P445" s="3">
        <f t="shared" si="194"/>
        <v>0</v>
      </c>
      <c r="Q445" s="3">
        <f t="shared" si="208"/>
        <v>0</v>
      </c>
      <c r="R445" s="3">
        <f t="shared" si="196"/>
        <v>0</v>
      </c>
      <c r="S445" s="3">
        <f t="shared" si="209"/>
        <v>0</v>
      </c>
      <c r="T445" s="3">
        <f t="shared" si="181"/>
        <v>0</v>
      </c>
      <c r="U445" s="3">
        <f t="shared" si="195"/>
        <v>0</v>
      </c>
      <c r="V445" s="3">
        <f t="shared" si="182"/>
        <v>0</v>
      </c>
      <c r="W445" s="3">
        <f t="shared" si="185"/>
        <v>0</v>
      </c>
      <c r="X445" s="3">
        <f t="shared" si="186"/>
        <v>0</v>
      </c>
      <c r="Y445" s="3">
        <f t="shared" si="187"/>
        <v>0</v>
      </c>
      <c r="Z445" s="3">
        <f t="shared" si="198"/>
        <v>0</v>
      </c>
      <c r="AA445" s="3">
        <f t="shared" si="199"/>
        <v>0</v>
      </c>
      <c r="AB445" s="3" t="e">
        <f t="shared" si="200"/>
        <v>#DIV/0!</v>
      </c>
      <c r="AC445" s="3" t="str">
        <f t="shared" si="201"/>
        <v/>
      </c>
      <c r="AD445" s="3">
        <f t="shared" si="188"/>
        <v>0</v>
      </c>
      <c r="AE445" s="3">
        <f t="shared" si="183"/>
        <v>0</v>
      </c>
      <c r="AF445" s="3">
        <f t="shared" si="189"/>
        <v>0</v>
      </c>
      <c r="AG445" s="3" t="e">
        <f>AF445 / SUM(F$2:F445)</f>
        <v>#DIV/0!</v>
      </c>
      <c r="AH445" s="3" t="e">
        <f t="shared" si="190"/>
        <v>#DIV/0!</v>
      </c>
      <c r="AI445" s="3">
        <f t="shared" si="191"/>
        <v>0</v>
      </c>
      <c r="AJ445" s="3" t="e">
        <f t="shared" si="192"/>
        <v>#DIV/0!</v>
      </c>
      <c r="AK445" s="3" t="e">
        <f t="shared" si="207"/>
        <v>#DIV/0!</v>
      </c>
    </row>
    <row r="446" spans="1:37" x14ac:dyDescent="0.3">
      <c r="A446" s="24">
        <v>0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f t="shared" si="180"/>
        <v>0</v>
      </c>
      <c r="H446" s="3">
        <f t="shared" si="197"/>
        <v>0</v>
      </c>
      <c r="I446" s="3">
        <f t="shared" si="202"/>
        <v>0</v>
      </c>
      <c r="J446" s="3">
        <f t="shared" si="203"/>
        <v>0</v>
      </c>
      <c r="K446" s="3">
        <f t="shared" si="204"/>
        <v>0</v>
      </c>
      <c r="L446" s="3">
        <f t="shared" si="205"/>
        <v>0</v>
      </c>
      <c r="M446" s="3" t="e">
        <f t="shared" si="184"/>
        <v>#DIV/0!</v>
      </c>
      <c r="N446" s="3" t="e">
        <f t="shared" si="193"/>
        <v>#DIV/0!</v>
      </c>
      <c r="O446" s="3" t="e">
        <f t="shared" si="206"/>
        <v>#DIV/0!</v>
      </c>
      <c r="P446" s="3">
        <f t="shared" si="194"/>
        <v>0</v>
      </c>
      <c r="Q446" s="3">
        <f t="shared" si="208"/>
        <v>0</v>
      </c>
      <c r="R446" s="3">
        <f t="shared" si="196"/>
        <v>0</v>
      </c>
      <c r="S446" s="3">
        <f t="shared" si="209"/>
        <v>0</v>
      </c>
      <c r="T446" s="3">
        <f t="shared" si="181"/>
        <v>0</v>
      </c>
      <c r="U446" s="3">
        <f t="shared" si="195"/>
        <v>0</v>
      </c>
      <c r="V446" s="3">
        <f t="shared" si="182"/>
        <v>0</v>
      </c>
      <c r="W446" s="3">
        <f t="shared" si="185"/>
        <v>0</v>
      </c>
      <c r="X446" s="3">
        <f t="shared" si="186"/>
        <v>0</v>
      </c>
      <c r="Y446" s="3">
        <f t="shared" si="187"/>
        <v>0</v>
      </c>
      <c r="Z446" s="3">
        <f t="shared" si="198"/>
        <v>0</v>
      </c>
      <c r="AA446" s="3">
        <f t="shared" si="199"/>
        <v>0</v>
      </c>
      <c r="AB446" s="3" t="e">
        <f t="shared" si="200"/>
        <v>#DIV/0!</v>
      </c>
      <c r="AC446" s="3" t="str">
        <f t="shared" si="201"/>
        <v/>
      </c>
      <c r="AD446" s="3">
        <f t="shared" si="188"/>
        <v>0</v>
      </c>
      <c r="AE446" s="3">
        <f t="shared" si="183"/>
        <v>0</v>
      </c>
      <c r="AF446" s="3">
        <f t="shared" si="189"/>
        <v>0</v>
      </c>
      <c r="AG446" s="3" t="e">
        <f>AF446 / SUM(F$2:F446)</f>
        <v>#DIV/0!</v>
      </c>
      <c r="AH446" s="3" t="e">
        <f t="shared" si="190"/>
        <v>#DIV/0!</v>
      </c>
      <c r="AI446" s="3">
        <f t="shared" si="191"/>
        <v>0</v>
      </c>
      <c r="AJ446" s="3" t="e">
        <f t="shared" si="192"/>
        <v>#DIV/0!</v>
      </c>
      <c r="AK446" s="3" t="e">
        <f t="shared" si="207"/>
        <v>#DIV/0!</v>
      </c>
    </row>
    <row r="447" spans="1:37" x14ac:dyDescent="0.3">
      <c r="A447" s="24">
        <v>0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f t="shared" si="180"/>
        <v>0</v>
      </c>
      <c r="H447" s="3">
        <f t="shared" si="197"/>
        <v>0</v>
      </c>
      <c r="I447" s="3">
        <f t="shared" si="202"/>
        <v>0</v>
      </c>
      <c r="J447" s="3">
        <f t="shared" si="203"/>
        <v>0</v>
      </c>
      <c r="K447" s="3">
        <f t="shared" si="204"/>
        <v>0</v>
      </c>
      <c r="L447" s="3">
        <f t="shared" si="205"/>
        <v>0</v>
      </c>
      <c r="M447" s="3" t="e">
        <f t="shared" si="184"/>
        <v>#DIV/0!</v>
      </c>
      <c r="N447" s="3" t="e">
        <f t="shared" si="193"/>
        <v>#DIV/0!</v>
      </c>
      <c r="O447" s="3" t="e">
        <f t="shared" si="206"/>
        <v>#DIV/0!</v>
      </c>
      <c r="P447" s="3">
        <f t="shared" si="194"/>
        <v>0</v>
      </c>
      <c r="Q447" s="3">
        <f t="shared" si="208"/>
        <v>0</v>
      </c>
      <c r="R447" s="3">
        <f t="shared" si="196"/>
        <v>0</v>
      </c>
      <c r="S447" s="3">
        <f t="shared" si="209"/>
        <v>0</v>
      </c>
      <c r="T447" s="3">
        <f t="shared" si="181"/>
        <v>0</v>
      </c>
      <c r="U447" s="3">
        <f t="shared" si="195"/>
        <v>0</v>
      </c>
      <c r="V447" s="3">
        <f t="shared" si="182"/>
        <v>0</v>
      </c>
      <c r="W447" s="3">
        <f t="shared" si="185"/>
        <v>0</v>
      </c>
      <c r="X447" s="3">
        <f t="shared" si="186"/>
        <v>0</v>
      </c>
      <c r="Y447" s="3">
        <f t="shared" si="187"/>
        <v>0</v>
      </c>
      <c r="Z447" s="3">
        <f t="shared" si="198"/>
        <v>0</v>
      </c>
      <c r="AA447" s="3">
        <f t="shared" si="199"/>
        <v>0</v>
      </c>
      <c r="AB447" s="3" t="e">
        <f t="shared" si="200"/>
        <v>#DIV/0!</v>
      </c>
      <c r="AC447" s="3" t="str">
        <f t="shared" si="201"/>
        <v/>
      </c>
      <c r="AD447" s="3">
        <f t="shared" si="188"/>
        <v>0</v>
      </c>
      <c r="AE447" s="3">
        <f t="shared" si="183"/>
        <v>0</v>
      </c>
      <c r="AF447" s="3">
        <f t="shared" si="189"/>
        <v>0</v>
      </c>
      <c r="AG447" s="3" t="e">
        <f>AF447 / SUM(F$2:F447)</f>
        <v>#DIV/0!</v>
      </c>
      <c r="AH447" s="3" t="e">
        <f t="shared" si="190"/>
        <v>#DIV/0!</v>
      </c>
      <c r="AI447" s="3">
        <f t="shared" si="191"/>
        <v>0</v>
      </c>
      <c r="AJ447" s="3" t="e">
        <f t="shared" si="192"/>
        <v>#DIV/0!</v>
      </c>
      <c r="AK447" s="3" t="e">
        <f t="shared" si="207"/>
        <v>#DIV/0!</v>
      </c>
    </row>
    <row r="448" spans="1:37" x14ac:dyDescent="0.3">
      <c r="A448" s="24">
        <v>0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f t="shared" si="180"/>
        <v>0</v>
      </c>
      <c r="H448" s="3">
        <f t="shared" si="197"/>
        <v>0</v>
      </c>
      <c r="I448" s="3">
        <f t="shared" si="202"/>
        <v>0</v>
      </c>
      <c r="J448" s="3">
        <f t="shared" si="203"/>
        <v>0</v>
      </c>
      <c r="K448" s="3">
        <f t="shared" si="204"/>
        <v>0</v>
      </c>
      <c r="L448" s="3">
        <f t="shared" si="205"/>
        <v>0</v>
      </c>
      <c r="M448" s="3" t="e">
        <f t="shared" si="184"/>
        <v>#DIV/0!</v>
      </c>
      <c r="N448" s="3" t="e">
        <f t="shared" si="193"/>
        <v>#DIV/0!</v>
      </c>
      <c r="O448" s="3" t="e">
        <f t="shared" si="206"/>
        <v>#DIV/0!</v>
      </c>
      <c r="P448" s="3">
        <f t="shared" si="194"/>
        <v>0</v>
      </c>
      <c r="Q448" s="3">
        <f t="shared" si="208"/>
        <v>0</v>
      </c>
      <c r="R448" s="3">
        <f t="shared" si="196"/>
        <v>0</v>
      </c>
      <c r="S448" s="3">
        <f t="shared" si="209"/>
        <v>0</v>
      </c>
      <c r="T448" s="3">
        <f t="shared" si="181"/>
        <v>0</v>
      </c>
      <c r="U448" s="3">
        <f t="shared" si="195"/>
        <v>0</v>
      </c>
      <c r="V448" s="3">
        <f t="shared" si="182"/>
        <v>0</v>
      </c>
      <c r="W448" s="3">
        <f t="shared" si="185"/>
        <v>0</v>
      </c>
      <c r="X448" s="3">
        <f t="shared" si="186"/>
        <v>0</v>
      </c>
      <c r="Y448" s="3">
        <f t="shared" si="187"/>
        <v>0</v>
      </c>
      <c r="Z448" s="3">
        <f t="shared" si="198"/>
        <v>0</v>
      </c>
      <c r="AA448" s="3">
        <f t="shared" si="199"/>
        <v>0</v>
      </c>
      <c r="AB448" s="3" t="e">
        <f t="shared" si="200"/>
        <v>#DIV/0!</v>
      </c>
      <c r="AC448" s="3" t="str">
        <f t="shared" si="201"/>
        <v/>
      </c>
      <c r="AD448" s="3">
        <f t="shared" si="188"/>
        <v>0</v>
      </c>
      <c r="AE448" s="3">
        <f t="shared" si="183"/>
        <v>0</v>
      </c>
      <c r="AF448" s="3">
        <f t="shared" si="189"/>
        <v>0</v>
      </c>
      <c r="AG448" s="3" t="e">
        <f>AF448 / SUM(F$2:F448)</f>
        <v>#DIV/0!</v>
      </c>
      <c r="AH448" s="3" t="e">
        <f t="shared" si="190"/>
        <v>#DIV/0!</v>
      </c>
      <c r="AI448" s="3">
        <f t="shared" si="191"/>
        <v>0</v>
      </c>
      <c r="AJ448" s="3" t="e">
        <f t="shared" si="192"/>
        <v>#DIV/0!</v>
      </c>
      <c r="AK448" s="3" t="e">
        <f t="shared" si="207"/>
        <v>#DIV/0!</v>
      </c>
    </row>
    <row r="449" spans="1:37" x14ac:dyDescent="0.3">
      <c r="A449" s="24">
        <v>0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f t="shared" si="180"/>
        <v>0</v>
      </c>
      <c r="H449" s="3">
        <f t="shared" si="197"/>
        <v>0</v>
      </c>
      <c r="I449" s="3">
        <f t="shared" si="202"/>
        <v>0</v>
      </c>
      <c r="J449" s="3">
        <f t="shared" si="203"/>
        <v>0</v>
      </c>
      <c r="K449" s="3">
        <f t="shared" si="204"/>
        <v>0</v>
      </c>
      <c r="L449" s="3">
        <f t="shared" si="205"/>
        <v>0</v>
      </c>
      <c r="M449" s="3" t="e">
        <f t="shared" si="184"/>
        <v>#DIV/0!</v>
      </c>
      <c r="N449" s="3" t="e">
        <f t="shared" si="193"/>
        <v>#DIV/0!</v>
      </c>
      <c r="O449" s="3" t="e">
        <f t="shared" si="206"/>
        <v>#DIV/0!</v>
      </c>
      <c r="P449" s="3">
        <f t="shared" si="194"/>
        <v>0</v>
      </c>
      <c r="Q449" s="3">
        <f t="shared" si="208"/>
        <v>0</v>
      </c>
      <c r="R449" s="3">
        <f t="shared" si="196"/>
        <v>0</v>
      </c>
      <c r="S449" s="3">
        <f t="shared" si="209"/>
        <v>0</v>
      </c>
      <c r="T449" s="3">
        <f t="shared" si="181"/>
        <v>0</v>
      </c>
      <c r="U449" s="3">
        <f t="shared" si="195"/>
        <v>0</v>
      </c>
      <c r="V449" s="3">
        <f t="shared" si="182"/>
        <v>0</v>
      </c>
      <c r="W449" s="3">
        <f t="shared" si="185"/>
        <v>0</v>
      </c>
      <c r="X449" s="3">
        <f t="shared" si="186"/>
        <v>0</v>
      </c>
      <c r="Y449" s="3">
        <f t="shared" si="187"/>
        <v>0</v>
      </c>
      <c r="Z449" s="3">
        <f t="shared" si="198"/>
        <v>0</v>
      </c>
      <c r="AA449" s="3">
        <f t="shared" si="199"/>
        <v>0</v>
      </c>
      <c r="AB449" s="3" t="e">
        <f t="shared" si="200"/>
        <v>#DIV/0!</v>
      </c>
      <c r="AC449" s="3" t="str">
        <f t="shared" si="201"/>
        <v/>
      </c>
      <c r="AD449" s="3">
        <f t="shared" si="188"/>
        <v>0</v>
      </c>
      <c r="AE449" s="3">
        <f t="shared" si="183"/>
        <v>0</v>
      </c>
      <c r="AF449" s="3">
        <f t="shared" si="189"/>
        <v>0</v>
      </c>
      <c r="AG449" s="3" t="e">
        <f>AF449 / SUM(F$2:F449)</f>
        <v>#DIV/0!</v>
      </c>
      <c r="AH449" s="3" t="e">
        <f t="shared" si="190"/>
        <v>#DIV/0!</v>
      </c>
      <c r="AI449" s="3">
        <f t="shared" si="191"/>
        <v>0</v>
      </c>
      <c r="AJ449" s="3" t="e">
        <f t="shared" si="192"/>
        <v>#DIV/0!</v>
      </c>
      <c r="AK449" s="3" t="e">
        <f t="shared" si="207"/>
        <v>#DIV/0!</v>
      </c>
    </row>
    <row r="450" spans="1:37" x14ac:dyDescent="0.3">
      <c r="A450" s="24">
        <v>0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f t="shared" si="180"/>
        <v>0</v>
      </c>
      <c r="H450" s="3">
        <f t="shared" si="197"/>
        <v>0</v>
      </c>
      <c r="I450" s="3">
        <f t="shared" si="202"/>
        <v>0</v>
      </c>
      <c r="J450" s="3">
        <f t="shared" si="203"/>
        <v>0</v>
      </c>
      <c r="K450" s="3">
        <f t="shared" si="204"/>
        <v>0</v>
      </c>
      <c r="L450" s="3">
        <f t="shared" si="205"/>
        <v>0</v>
      </c>
      <c r="M450" s="3" t="e">
        <f t="shared" si="184"/>
        <v>#DIV/0!</v>
      </c>
      <c r="N450" s="3" t="e">
        <f t="shared" si="193"/>
        <v>#DIV/0!</v>
      </c>
      <c r="O450" s="3" t="e">
        <f t="shared" si="206"/>
        <v>#DIV/0!</v>
      </c>
      <c r="P450" s="3">
        <f t="shared" si="194"/>
        <v>0</v>
      </c>
      <c r="Q450" s="3">
        <f t="shared" si="208"/>
        <v>0</v>
      </c>
      <c r="R450" s="3">
        <f t="shared" si="196"/>
        <v>0</v>
      </c>
      <c r="S450" s="3">
        <f t="shared" si="209"/>
        <v>0</v>
      </c>
      <c r="T450" s="3">
        <f t="shared" si="181"/>
        <v>0</v>
      </c>
      <c r="U450" s="3">
        <f t="shared" si="195"/>
        <v>0</v>
      </c>
      <c r="V450" s="3">
        <f t="shared" si="182"/>
        <v>0</v>
      </c>
      <c r="W450" s="3">
        <f t="shared" si="185"/>
        <v>0</v>
      </c>
      <c r="X450" s="3">
        <f t="shared" si="186"/>
        <v>0</v>
      </c>
      <c r="Y450" s="3">
        <f t="shared" si="187"/>
        <v>0</v>
      </c>
      <c r="Z450" s="3">
        <f t="shared" si="198"/>
        <v>0</v>
      </c>
      <c r="AA450" s="3">
        <f t="shared" si="199"/>
        <v>0</v>
      </c>
      <c r="AB450" s="3" t="e">
        <f t="shared" si="200"/>
        <v>#DIV/0!</v>
      </c>
      <c r="AC450" s="3" t="str">
        <f t="shared" si="201"/>
        <v/>
      </c>
      <c r="AD450" s="3">
        <f t="shared" si="188"/>
        <v>0</v>
      </c>
      <c r="AE450" s="3">
        <f t="shared" si="183"/>
        <v>0</v>
      </c>
      <c r="AF450" s="3">
        <f t="shared" si="189"/>
        <v>0</v>
      </c>
      <c r="AG450" s="3" t="e">
        <f>AF450 / SUM(F$2:F450)</f>
        <v>#DIV/0!</v>
      </c>
      <c r="AH450" s="3" t="e">
        <f t="shared" si="190"/>
        <v>#DIV/0!</v>
      </c>
      <c r="AI450" s="3">
        <f t="shared" si="191"/>
        <v>0</v>
      </c>
      <c r="AJ450" s="3" t="e">
        <f t="shared" si="192"/>
        <v>#DIV/0!</v>
      </c>
      <c r="AK450" s="3" t="e">
        <f t="shared" si="207"/>
        <v>#DIV/0!</v>
      </c>
    </row>
    <row r="451" spans="1:37" x14ac:dyDescent="0.3">
      <c r="A451" s="24">
        <v>0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f t="shared" ref="G451:G501" si="210">MAX(C451-D451, ABS(C451-E452), ABS(D451-E452))</f>
        <v>0</v>
      </c>
      <c r="H451" s="3">
        <f t="shared" si="197"/>
        <v>0</v>
      </c>
      <c r="I451" s="3">
        <f t="shared" si="202"/>
        <v>0</v>
      </c>
      <c r="J451" s="3">
        <f t="shared" si="203"/>
        <v>0</v>
      </c>
      <c r="K451" s="3">
        <f t="shared" si="204"/>
        <v>0</v>
      </c>
      <c r="L451" s="3">
        <f t="shared" si="205"/>
        <v>0</v>
      </c>
      <c r="M451" s="3" t="e">
        <f t="shared" si="184"/>
        <v>#DIV/0!</v>
      </c>
      <c r="N451" s="3" t="e">
        <f t="shared" si="193"/>
        <v>#DIV/0!</v>
      </c>
      <c r="O451" s="3" t="e">
        <f t="shared" si="206"/>
        <v>#DIV/0!</v>
      </c>
      <c r="P451" s="3">
        <f t="shared" si="194"/>
        <v>0</v>
      </c>
      <c r="Q451" s="3">
        <f t="shared" si="208"/>
        <v>0</v>
      </c>
      <c r="R451" s="3">
        <f t="shared" si="196"/>
        <v>0</v>
      </c>
      <c r="S451" s="3">
        <f t="shared" si="209"/>
        <v>0</v>
      </c>
      <c r="T451" s="3">
        <f t="shared" ref="T451:T501" si="211">R451 - S451</f>
        <v>0</v>
      </c>
      <c r="U451" s="3">
        <f t="shared" si="195"/>
        <v>0</v>
      </c>
      <c r="V451" s="3">
        <f t="shared" ref="V451:V501" si="212">T451 - U451</f>
        <v>0</v>
      </c>
      <c r="W451" s="3">
        <f t="shared" si="185"/>
        <v>0</v>
      </c>
      <c r="X451" s="3">
        <f t="shared" si="186"/>
        <v>0</v>
      </c>
      <c r="Y451" s="3">
        <f t="shared" si="187"/>
        <v>0</v>
      </c>
      <c r="Z451" s="3">
        <f t="shared" si="198"/>
        <v>0</v>
      </c>
      <c r="AA451" s="3">
        <f t="shared" si="199"/>
        <v>0</v>
      </c>
      <c r="AB451" s="3" t="e">
        <f t="shared" si="200"/>
        <v>#DIV/0!</v>
      </c>
      <c r="AC451" s="3" t="str">
        <f t="shared" si="201"/>
        <v/>
      </c>
      <c r="AD451" s="3">
        <f t="shared" si="188"/>
        <v>0</v>
      </c>
      <c r="AE451" s="3">
        <f t="shared" ref="AE451:AE501" si="213">(C451+D451+E451)/3</f>
        <v>0</v>
      </c>
      <c r="AF451" s="3">
        <f t="shared" si="189"/>
        <v>0</v>
      </c>
      <c r="AG451" s="3" t="e">
        <f>AF451 / SUM(F$2:F451)</f>
        <v>#DIV/0!</v>
      </c>
      <c r="AH451" s="3" t="e">
        <f t="shared" si="190"/>
        <v>#DIV/0!</v>
      </c>
      <c r="AI451" s="3">
        <f t="shared" si="191"/>
        <v>0</v>
      </c>
      <c r="AJ451" s="3" t="e">
        <f t="shared" si="192"/>
        <v>#DIV/0!</v>
      </c>
      <c r="AK451" s="3" t="e">
        <f t="shared" si="207"/>
        <v>#DIV/0!</v>
      </c>
    </row>
    <row r="452" spans="1:37" x14ac:dyDescent="0.3">
      <c r="A452" s="24">
        <v>0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f t="shared" si="210"/>
        <v>0</v>
      </c>
      <c r="H452" s="3">
        <f t="shared" si="197"/>
        <v>0</v>
      </c>
      <c r="I452" s="3">
        <f t="shared" si="202"/>
        <v>0</v>
      </c>
      <c r="J452" s="3">
        <f t="shared" si="203"/>
        <v>0</v>
      </c>
      <c r="K452" s="3">
        <f t="shared" si="204"/>
        <v>0</v>
      </c>
      <c r="L452" s="3">
        <f t="shared" si="205"/>
        <v>0</v>
      </c>
      <c r="M452" s="3" t="e">
        <f t="shared" ref="M452:M501" si="214">LN(E451/E452)</f>
        <v>#DIV/0!</v>
      </c>
      <c r="N452" s="3" t="e">
        <f t="shared" si="193"/>
        <v>#DIV/0!</v>
      </c>
      <c r="O452" s="3" t="e">
        <f t="shared" si="206"/>
        <v>#DIV/0!</v>
      </c>
      <c r="P452" s="3">
        <f t="shared" si="194"/>
        <v>0</v>
      </c>
      <c r="Q452" s="3">
        <f t="shared" si="208"/>
        <v>0</v>
      </c>
      <c r="R452" s="3">
        <f t="shared" si="196"/>
        <v>0</v>
      </c>
      <c r="S452" s="3">
        <f t="shared" si="209"/>
        <v>0</v>
      </c>
      <c r="T452" s="3">
        <f t="shared" si="211"/>
        <v>0</v>
      </c>
      <c r="U452" s="3">
        <f t="shared" si="195"/>
        <v>0</v>
      </c>
      <c r="V452" s="3">
        <f t="shared" si="212"/>
        <v>0</v>
      </c>
      <c r="W452" s="3">
        <f t="shared" ref="W452:W501" si="215">E451-E452</f>
        <v>0</v>
      </c>
      <c r="X452" s="3">
        <f t="shared" ref="X452:X501" si="216">MAX(W452,0)</f>
        <v>0</v>
      </c>
      <c r="Y452" s="3">
        <f t="shared" ref="Y452:Y501" si="217">MAX(-W452,0)</f>
        <v>0</v>
      </c>
      <c r="Z452" s="3">
        <f t="shared" si="198"/>
        <v>0</v>
      </c>
      <c r="AA452" s="3">
        <f t="shared" si="199"/>
        <v>0</v>
      </c>
      <c r="AB452" s="3" t="e">
        <f t="shared" si="200"/>
        <v>#DIV/0!</v>
      </c>
      <c r="AC452" s="3" t="str">
        <f t="shared" si="201"/>
        <v/>
      </c>
      <c r="AD452" s="3">
        <f t="shared" ref="AD452:AD501" si="218">IF(E451&gt;E452,AD451+F451,IF(E451&lt;E452,AD451-F451,AD451))</f>
        <v>0</v>
      </c>
      <c r="AE452" s="3">
        <f t="shared" si="213"/>
        <v>0</v>
      </c>
      <c r="AF452" s="3">
        <f t="shared" ref="AF452:AF501" si="219">AF451 + AE452*F452</f>
        <v>0</v>
      </c>
      <c r="AG452" s="3" t="e">
        <f>AF452 / SUM(F$2:F452)</f>
        <v>#DIV/0!</v>
      </c>
      <c r="AH452" s="3" t="e">
        <f t="shared" ref="AH452:AH501" si="220">(E451-E452)/E452</f>
        <v>#DIV/0!</v>
      </c>
      <c r="AI452" s="3">
        <f t="shared" ref="AI452:AI501" si="221">MAX(AI451,E452)</f>
        <v>0</v>
      </c>
      <c r="AJ452" s="3" t="e">
        <f t="shared" ref="AJ452:AJ501" si="222">(E452-AI452)/AI452</f>
        <v>#DIV/0!</v>
      </c>
      <c r="AK452" s="3" t="e">
        <f t="shared" si="207"/>
        <v>#DIV/0!</v>
      </c>
    </row>
    <row r="453" spans="1:37" x14ac:dyDescent="0.3">
      <c r="A453" s="24">
        <v>0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f t="shared" si="210"/>
        <v>0</v>
      </c>
      <c r="H453" s="3">
        <f t="shared" si="197"/>
        <v>0</v>
      </c>
      <c r="I453" s="3">
        <f t="shared" si="202"/>
        <v>0</v>
      </c>
      <c r="J453" s="3">
        <f t="shared" si="203"/>
        <v>0</v>
      </c>
      <c r="K453" s="3">
        <f t="shared" si="204"/>
        <v>0</v>
      </c>
      <c r="L453" s="3">
        <f t="shared" si="205"/>
        <v>0</v>
      </c>
      <c r="M453" s="3" t="e">
        <f t="shared" si="214"/>
        <v>#DIV/0!</v>
      </c>
      <c r="N453" s="3" t="e">
        <f t="shared" si="193"/>
        <v>#DIV/0!</v>
      </c>
      <c r="O453" s="3" t="e">
        <f t="shared" si="206"/>
        <v>#DIV/0!</v>
      </c>
      <c r="P453" s="3">
        <f t="shared" si="194"/>
        <v>0</v>
      </c>
      <c r="Q453" s="3">
        <f t="shared" si="208"/>
        <v>0</v>
      </c>
      <c r="R453" s="3">
        <f t="shared" si="196"/>
        <v>0</v>
      </c>
      <c r="S453" s="3">
        <f t="shared" si="209"/>
        <v>0</v>
      </c>
      <c r="T453" s="3">
        <f t="shared" si="211"/>
        <v>0</v>
      </c>
      <c r="U453" s="3">
        <f t="shared" si="195"/>
        <v>0</v>
      </c>
      <c r="V453" s="3">
        <f t="shared" si="212"/>
        <v>0</v>
      </c>
      <c r="W453" s="3">
        <f t="shared" si="215"/>
        <v>0</v>
      </c>
      <c r="X453" s="3">
        <f t="shared" si="216"/>
        <v>0</v>
      </c>
      <c r="Y453" s="3">
        <f t="shared" si="217"/>
        <v>0</v>
      </c>
      <c r="Z453" s="3">
        <f t="shared" si="198"/>
        <v>0</v>
      </c>
      <c r="AA453" s="3">
        <f t="shared" si="199"/>
        <v>0</v>
      </c>
      <c r="AB453" s="3" t="e">
        <f t="shared" si="200"/>
        <v>#DIV/0!</v>
      </c>
      <c r="AC453" s="3" t="str">
        <f t="shared" si="201"/>
        <v/>
      </c>
      <c r="AD453" s="3">
        <f t="shared" si="218"/>
        <v>0</v>
      </c>
      <c r="AE453" s="3">
        <f t="shared" si="213"/>
        <v>0</v>
      </c>
      <c r="AF453" s="3">
        <f t="shared" si="219"/>
        <v>0</v>
      </c>
      <c r="AG453" s="3" t="e">
        <f>AF453 / SUM(F$2:F453)</f>
        <v>#DIV/0!</v>
      </c>
      <c r="AH453" s="3" t="e">
        <f t="shared" si="220"/>
        <v>#DIV/0!</v>
      </c>
      <c r="AI453" s="3">
        <f t="shared" si="221"/>
        <v>0</v>
      </c>
      <c r="AJ453" s="3" t="e">
        <f t="shared" si="222"/>
        <v>#DIV/0!</v>
      </c>
      <c r="AK453" s="3" t="e">
        <f t="shared" si="207"/>
        <v>#DIV/0!</v>
      </c>
    </row>
    <row r="454" spans="1:37" x14ac:dyDescent="0.3">
      <c r="A454" s="24">
        <v>0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f t="shared" si="210"/>
        <v>0</v>
      </c>
      <c r="H454" s="3">
        <f t="shared" si="197"/>
        <v>0</v>
      </c>
      <c r="I454" s="3">
        <f t="shared" si="202"/>
        <v>0</v>
      </c>
      <c r="J454" s="3">
        <f t="shared" si="203"/>
        <v>0</v>
      </c>
      <c r="K454" s="3">
        <f t="shared" si="204"/>
        <v>0</v>
      </c>
      <c r="L454" s="3">
        <f t="shared" si="205"/>
        <v>0</v>
      </c>
      <c r="M454" s="3" t="e">
        <f t="shared" si="214"/>
        <v>#DIV/0!</v>
      </c>
      <c r="N454" s="3" t="e">
        <f t="shared" si="193"/>
        <v>#DIV/0!</v>
      </c>
      <c r="O454" s="3" t="e">
        <f t="shared" si="206"/>
        <v>#DIV/0!</v>
      </c>
      <c r="P454" s="3">
        <f t="shared" si="194"/>
        <v>0</v>
      </c>
      <c r="Q454" s="3">
        <f t="shared" si="208"/>
        <v>0</v>
      </c>
      <c r="R454" s="3">
        <f t="shared" si="196"/>
        <v>0</v>
      </c>
      <c r="S454" s="3">
        <f t="shared" si="209"/>
        <v>0</v>
      </c>
      <c r="T454" s="3">
        <f t="shared" si="211"/>
        <v>0</v>
      </c>
      <c r="U454" s="3">
        <f t="shared" si="195"/>
        <v>0</v>
      </c>
      <c r="V454" s="3">
        <f t="shared" si="212"/>
        <v>0</v>
      </c>
      <c r="W454" s="3">
        <f t="shared" si="215"/>
        <v>0</v>
      </c>
      <c r="X454" s="3">
        <f t="shared" si="216"/>
        <v>0</v>
      </c>
      <c r="Y454" s="3">
        <f t="shared" si="217"/>
        <v>0</v>
      </c>
      <c r="Z454" s="3">
        <f t="shared" si="198"/>
        <v>0</v>
      </c>
      <c r="AA454" s="3">
        <f t="shared" si="199"/>
        <v>0</v>
      </c>
      <c r="AB454" s="3" t="e">
        <f t="shared" si="200"/>
        <v>#DIV/0!</v>
      </c>
      <c r="AC454" s="3" t="str">
        <f t="shared" si="201"/>
        <v/>
      </c>
      <c r="AD454" s="3">
        <f t="shared" si="218"/>
        <v>0</v>
      </c>
      <c r="AE454" s="3">
        <f t="shared" si="213"/>
        <v>0</v>
      </c>
      <c r="AF454" s="3">
        <f t="shared" si="219"/>
        <v>0</v>
      </c>
      <c r="AG454" s="3" t="e">
        <f>AF454 / SUM(F$2:F454)</f>
        <v>#DIV/0!</v>
      </c>
      <c r="AH454" s="3" t="e">
        <f t="shared" si="220"/>
        <v>#DIV/0!</v>
      </c>
      <c r="AI454" s="3">
        <f t="shared" si="221"/>
        <v>0</v>
      </c>
      <c r="AJ454" s="3" t="e">
        <f t="shared" si="222"/>
        <v>#DIV/0!</v>
      </c>
      <c r="AK454" s="3" t="e">
        <f t="shared" si="207"/>
        <v>#DIV/0!</v>
      </c>
    </row>
    <row r="455" spans="1:37" x14ac:dyDescent="0.3">
      <c r="A455" s="24">
        <v>0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f t="shared" si="210"/>
        <v>0</v>
      </c>
      <c r="H455" s="3">
        <f t="shared" si="197"/>
        <v>0</v>
      </c>
      <c r="I455" s="3">
        <f t="shared" si="202"/>
        <v>0</v>
      </c>
      <c r="J455" s="3">
        <f t="shared" si="203"/>
        <v>0</v>
      </c>
      <c r="K455" s="3">
        <f t="shared" si="204"/>
        <v>0</v>
      </c>
      <c r="L455" s="3">
        <f t="shared" si="205"/>
        <v>0</v>
      </c>
      <c r="M455" s="3" t="e">
        <f t="shared" si="214"/>
        <v>#DIV/0!</v>
      </c>
      <c r="N455" s="3" t="e">
        <f t="shared" si="193"/>
        <v>#DIV/0!</v>
      </c>
      <c r="O455" s="3" t="e">
        <f t="shared" si="206"/>
        <v>#DIV/0!</v>
      </c>
      <c r="P455" s="3">
        <f t="shared" si="194"/>
        <v>0</v>
      </c>
      <c r="Q455" s="3">
        <f t="shared" si="208"/>
        <v>0</v>
      </c>
      <c r="R455" s="3">
        <f t="shared" si="196"/>
        <v>0</v>
      </c>
      <c r="S455" s="3">
        <f t="shared" si="209"/>
        <v>0</v>
      </c>
      <c r="T455" s="3">
        <f t="shared" si="211"/>
        <v>0</v>
      </c>
      <c r="U455" s="3">
        <f t="shared" si="195"/>
        <v>0</v>
      </c>
      <c r="V455" s="3">
        <f t="shared" si="212"/>
        <v>0</v>
      </c>
      <c r="W455" s="3">
        <f t="shared" si="215"/>
        <v>0</v>
      </c>
      <c r="X455" s="3">
        <f t="shared" si="216"/>
        <v>0</v>
      </c>
      <c r="Y455" s="3">
        <f t="shared" si="217"/>
        <v>0</v>
      </c>
      <c r="Z455" s="3">
        <f t="shared" si="198"/>
        <v>0</v>
      </c>
      <c r="AA455" s="3">
        <f t="shared" si="199"/>
        <v>0</v>
      </c>
      <c r="AB455" s="3" t="e">
        <f t="shared" si="200"/>
        <v>#DIV/0!</v>
      </c>
      <c r="AC455" s="3" t="str">
        <f t="shared" si="201"/>
        <v/>
      </c>
      <c r="AD455" s="3">
        <f t="shared" si="218"/>
        <v>0</v>
      </c>
      <c r="AE455" s="3">
        <f t="shared" si="213"/>
        <v>0</v>
      </c>
      <c r="AF455" s="3">
        <f t="shared" si="219"/>
        <v>0</v>
      </c>
      <c r="AG455" s="3" t="e">
        <f>AF455 / SUM(F$2:F455)</f>
        <v>#DIV/0!</v>
      </c>
      <c r="AH455" s="3" t="e">
        <f t="shared" si="220"/>
        <v>#DIV/0!</v>
      </c>
      <c r="AI455" s="3">
        <f t="shared" si="221"/>
        <v>0</v>
      </c>
      <c r="AJ455" s="3" t="e">
        <f t="shared" si="222"/>
        <v>#DIV/0!</v>
      </c>
      <c r="AK455" s="3" t="e">
        <f t="shared" si="207"/>
        <v>#DIV/0!</v>
      </c>
    </row>
    <row r="456" spans="1:37" x14ac:dyDescent="0.3">
      <c r="A456" s="24">
        <v>0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f t="shared" si="210"/>
        <v>0</v>
      </c>
      <c r="H456" s="3">
        <f t="shared" si="197"/>
        <v>0</v>
      </c>
      <c r="I456" s="3">
        <f t="shared" si="202"/>
        <v>0</v>
      </c>
      <c r="J456" s="3">
        <f t="shared" si="203"/>
        <v>0</v>
      </c>
      <c r="K456" s="3">
        <f t="shared" si="204"/>
        <v>0</v>
      </c>
      <c r="L456" s="3">
        <f t="shared" si="205"/>
        <v>0</v>
      </c>
      <c r="M456" s="3" t="e">
        <f t="shared" si="214"/>
        <v>#DIV/0!</v>
      </c>
      <c r="N456" s="3" t="e">
        <f t="shared" si="193"/>
        <v>#DIV/0!</v>
      </c>
      <c r="O456" s="3" t="e">
        <f t="shared" si="206"/>
        <v>#DIV/0!</v>
      </c>
      <c r="P456" s="3">
        <f t="shared" si="194"/>
        <v>0</v>
      </c>
      <c r="Q456" s="3">
        <f t="shared" si="208"/>
        <v>0</v>
      </c>
      <c r="R456" s="3">
        <f t="shared" si="196"/>
        <v>0</v>
      </c>
      <c r="S456" s="3">
        <f t="shared" si="209"/>
        <v>0</v>
      </c>
      <c r="T456" s="3">
        <f t="shared" si="211"/>
        <v>0</v>
      </c>
      <c r="U456" s="3">
        <f t="shared" si="195"/>
        <v>0</v>
      </c>
      <c r="V456" s="3">
        <f t="shared" si="212"/>
        <v>0</v>
      </c>
      <c r="W456" s="3">
        <f t="shared" si="215"/>
        <v>0</v>
      </c>
      <c r="X456" s="3">
        <f t="shared" si="216"/>
        <v>0</v>
      </c>
      <c r="Y456" s="3">
        <f t="shared" si="217"/>
        <v>0</v>
      </c>
      <c r="Z456" s="3">
        <f t="shared" si="198"/>
        <v>0</v>
      </c>
      <c r="AA456" s="3">
        <f t="shared" si="199"/>
        <v>0</v>
      </c>
      <c r="AB456" s="3" t="e">
        <f t="shared" si="200"/>
        <v>#DIV/0!</v>
      </c>
      <c r="AC456" s="3" t="str">
        <f t="shared" si="201"/>
        <v/>
      </c>
      <c r="AD456" s="3">
        <f t="shared" si="218"/>
        <v>0</v>
      </c>
      <c r="AE456" s="3">
        <f t="shared" si="213"/>
        <v>0</v>
      </c>
      <c r="AF456" s="3">
        <f t="shared" si="219"/>
        <v>0</v>
      </c>
      <c r="AG456" s="3" t="e">
        <f>AF456 / SUM(F$2:F456)</f>
        <v>#DIV/0!</v>
      </c>
      <c r="AH456" s="3" t="e">
        <f t="shared" si="220"/>
        <v>#DIV/0!</v>
      </c>
      <c r="AI456" s="3">
        <f t="shared" si="221"/>
        <v>0</v>
      </c>
      <c r="AJ456" s="3" t="e">
        <f t="shared" si="222"/>
        <v>#DIV/0!</v>
      </c>
      <c r="AK456" s="3" t="e">
        <f t="shared" si="207"/>
        <v>#DIV/0!</v>
      </c>
    </row>
    <row r="457" spans="1:37" x14ac:dyDescent="0.3">
      <c r="A457" s="24">
        <v>0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f t="shared" si="210"/>
        <v>0</v>
      </c>
      <c r="H457" s="3">
        <f t="shared" si="197"/>
        <v>0</v>
      </c>
      <c r="I457" s="3">
        <f t="shared" si="202"/>
        <v>0</v>
      </c>
      <c r="J457" s="3">
        <f t="shared" si="203"/>
        <v>0</v>
      </c>
      <c r="K457" s="3">
        <f t="shared" si="204"/>
        <v>0</v>
      </c>
      <c r="L457" s="3">
        <f t="shared" si="205"/>
        <v>0</v>
      </c>
      <c r="M457" s="3" t="e">
        <f t="shared" si="214"/>
        <v>#DIV/0!</v>
      </c>
      <c r="N457" s="3" t="e">
        <f t="shared" si="193"/>
        <v>#DIV/0!</v>
      </c>
      <c r="O457" s="3" t="e">
        <f t="shared" si="206"/>
        <v>#DIV/0!</v>
      </c>
      <c r="P457" s="3">
        <f t="shared" si="194"/>
        <v>0</v>
      </c>
      <c r="Q457" s="3">
        <f t="shared" si="208"/>
        <v>0</v>
      </c>
      <c r="R457" s="3">
        <f t="shared" si="196"/>
        <v>0</v>
      </c>
      <c r="S457" s="3">
        <f t="shared" si="209"/>
        <v>0</v>
      </c>
      <c r="T457" s="3">
        <f t="shared" si="211"/>
        <v>0</v>
      </c>
      <c r="U457" s="3">
        <f t="shared" si="195"/>
        <v>0</v>
      </c>
      <c r="V457" s="3">
        <f t="shared" si="212"/>
        <v>0</v>
      </c>
      <c r="W457" s="3">
        <f t="shared" si="215"/>
        <v>0</v>
      </c>
      <c r="X457" s="3">
        <f t="shared" si="216"/>
        <v>0</v>
      </c>
      <c r="Y457" s="3">
        <f t="shared" si="217"/>
        <v>0</v>
      </c>
      <c r="Z457" s="3">
        <f t="shared" si="198"/>
        <v>0</v>
      </c>
      <c r="AA457" s="3">
        <f t="shared" si="199"/>
        <v>0</v>
      </c>
      <c r="AB457" s="3" t="e">
        <f t="shared" si="200"/>
        <v>#DIV/0!</v>
      </c>
      <c r="AC457" s="3" t="str">
        <f t="shared" si="201"/>
        <v/>
      </c>
      <c r="AD457" s="3">
        <f t="shared" si="218"/>
        <v>0</v>
      </c>
      <c r="AE457" s="3">
        <f t="shared" si="213"/>
        <v>0</v>
      </c>
      <c r="AF457" s="3">
        <f t="shared" si="219"/>
        <v>0</v>
      </c>
      <c r="AG457" s="3" t="e">
        <f>AF457 / SUM(F$2:F457)</f>
        <v>#DIV/0!</v>
      </c>
      <c r="AH457" s="3" t="e">
        <f t="shared" si="220"/>
        <v>#DIV/0!</v>
      </c>
      <c r="AI457" s="3">
        <f t="shared" si="221"/>
        <v>0</v>
      </c>
      <c r="AJ457" s="3" t="e">
        <f t="shared" si="222"/>
        <v>#DIV/0!</v>
      </c>
      <c r="AK457" s="3" t="e">
        <f t="shared" si="207"/>
        <v>#DIV/0!</v>
      </c>
    </row>
    <row r="458" spans="1:37" x14ac:dyDescent="0.3">
      <c r="A458" s="24">
        <v>0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f t="shared" si="210"/>
        <v>0</v>
      </c>
      <c r="H458" s="3">
        <f t="shared" si="197"/>
        <v>0</v>
      </c>
      <c r="I458" s="3">
        <f t="shared" si="202"/>
        <v>0</v>
      </c>
      <c r="J458" s="3">
        <f t="shared" si="203"/>
        <v>0</v>
      </c>
      <c r="K458" s="3">
        <f t="shared" si="204"/>
        <v>0</v>
      </c>
      <c r="L458" s="3">
        <f t="shared" si="205"/>
        <v>0</v>
      </c>
      <c r="M458" s="3" t="e">
        <f t="shared" si="214"/>
        <v>#DIV/0!</v>
      </c>
      <c r="N458" s="3" t="e">
        <f t="shared" si="193"/>
        <v>#DIV/0!</v>
      </c>
      <c r="O458" s="3" t="e">
        <f t="shared" si="206"/>
        <v>#DIV/0!</v>
      </c>
      <c r="P458" s="3">
        <f t="shared" si="194"/>
        <v>0</v>
      </c>
      <c r="Q458" s="3">
        <f t="shared" si="208"/>
        <v>0</v>
      </c>
      <c r="R458" s="3">
        <f t="shared" si="196"/>
        <v>0</v>
      </c>
      <c r="S458" s="3">
        <f t="shared" si="209"/>
        <v>0</v>
      </c>
      <c r="T458" s="3">
        <f t="shared" si="211"/>
        <v>0</v>
      </c>
      <c r="U458" s="3">
        <f t="shared" si="195"/>
        <v>0</v>
      </c>
      <c r="V458" s="3">
        <f t="shared" si="212"/>
        <v>0</v>
      </c>
      <c r="W458" s="3">
        <f t="shared" si="215"/>
        <v>0</v>
      </c>
      <c r="X458" s="3">
        <f t="shared" si="216"/>
        <v>0</v>
      </c>
      <c r="Y458" s="3">
        <f t="shared" si="217"/>
        <v>0</v>
      </c>
      <c r="Z458" s="3">
        <f t="shared" si="198"/>
        <v>0</v>
      </c>
      <c r="AA458" s="3">
        <f t="shared" si="199"/>
        <v>0</v>
      </c>
      <c r="AB458" s="3" t="e">
        <f t="shared" si="200"/>
        <v>#DIV/0!</v>
      </c>
      <c r="AC458" s="3" t="str">
        <f t="shared" si="201"/>
        <v/>
      </c>
      <c r="AD458" s="3">
        <f t="shared" si="218"/>
        <v>0</v>
      </c>
      <c r="AE458" s="3">
        <f t="shared" si="213"/>
        <v>0</v>
      </c>
      <c r="AF458" s="3">
        <f t="shared" si="219"/>
        <v>0</v>
      </c>
      <c r="AG458" s="3" t="e">
        <f>AF458 / SUM(F$2:F458)</f>
        <v>#DIV/0!</v>
      </c>
      <c r="AH458" s="3" t="e">
        <f t="shared" si="220"/>
        <v>#DIV/0!</v>
      </c>
      <c r="AI458" s="3">
        <f t="shared" si="221"/>
        <v>0</v>
      </c>
      <c r="AJ458" s="3" t="e">
        <f t="shared" si="222"/>
        <v>#DIV/0!</v>
      </c>
      <c r="AK458" s="3" t="e">
        <f t="shared" si="207"/>
        <v>#DIV/0!</v>
      </c>
    </row>
    <row r="459" spans="1:37" x14ac:dyDescent="0.3">
      <c r="A459" s="24">
        <v>0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f t="shared" si="210"/>
        <v>0</v>
      </c>
      <c r="H459" s="3">
        <f t="shared" si="197"/>
        <v>0</v>
      </c>
      <c r="I459" s="3">
        <f t="shared" si="202"/>
        <v>0</v>
      </c>
      <c r="J459" s="3">
        <f t="shared" si="203"/>
        <v>0</v>
      </c>
      <c r="K459" s="3">
        <f t="shared" si="204"/>
        <v>0</v>
      </c>
      <c r="L459" s="3">
        <f t="shared" si="205"/>
        <v>0</v>
      </c>
      <c r="M459" s="3" t="e">
        <f t="shared" si="214"/>
        <v>#DIV/0!</v>
      </c>
      <c r="N459" s="3" t="e">
        <f t="shared" si="193"/>
        <v>#DIV/0!</v>
      </c>
      <c r="O459" s="3" t="e">
        <f t="shared" si="206"/>
        <v>#DIV/0!</v>
      </c>
      <c r="P459" s="3">
        <f t="shared" si="194"/>
        <v>0</v>
      </c>
      <c r="Q459" s="3">
        <f t="shared" si="208"/>
        <v>0</v>
      </c>
      <c r="R459" s="3">
        <f t="shared" si="196"/>
        <v>0</v>
      </c>
      <c r="S459" s="3">
        <f t="shared" si="209"/>
        <v>0</v>
      </c>
      <c r="T459" s="3">
        <f t="shared" si="211"/>
        <v>0</v>
      </c>
      <c r="U459" s="3">
        <f t="shared" si="195"/>
        <v>0</v>
      </c>
      <c r="V459" s="3">
        <f t="shared" si="212"/>
        <v>0</v>
      </c>
      <c r="W459" s="3">
        <f t="shared" si="215"/>
        <v>0</v>
      </c>
      <c r="X459" s="3">
        <f t="shared" si="216"/>
        <v>0</v>
      </c>
      <c r="Y459" s="3">
        <f t="shared" si="217"/>
        <v>0</v>
      </c>
      <c r="Z459" s="3">
        <f t="shared" si="198"/>
        <v>0</v>
      </c>
      <c r="AA459" s="3">
        <f t="shared" si="199"/>
        <v>0</v>
      </c>
      <c r="AB459" s="3" t="e">
        <f t="shared" si="200"/>
        <v>#DIV/0!</v>
      </c>
      <c r="AC459" s="3" t="str">
        <f t="shared" si="201"/>
        <v/>
      </c>
      <c r="AD459" s="3">
        <f t="shared" si="218"/>
        <v>0</v>
      </c>
      <c r="AE459" s="3">
        <f t="shared" si="213"/>
        <v>0</v>
      </c>
      <c r="AF459" s="3">
        <f t="shared" si="219"/>
        <v>0</v>
      </c>
      <c r="AG459" s="3" t="e">
        <f>AF459 / SUM(F$2:F459)</f>
        <v>#DIV/0!</v>
      </c>
      <c r="AH459" s="3" t="e">
        <f t="shared" si="220"/>
        <v>#DIV/0!</v>
      </c>
      <c r="AI459" s="3">
        <f t="shared" si="221"/>
        <v>0</v>
      </c>
      <c r="AJ459" s="3" t="e">
        <f t="shared" si="222"/>
        <v>#DIV/0!</v>
      </c>
      <c r="AK459" s="3" t="e">
        <f t="shared" si="207"/>
        <v>#DIV/0!</v>
      </c>
    </row>
    <row r="460" spans="1:37" x14ac:dyDescent="0.3">
      <c r="A460" s="24">
        <v>0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f t="shared" si="210"/>
        <v>0</v>
      </c>
      <c r="H460" s="3">
        <f t="shared" si="197"/>
        <v>0</v>
      </c>
      <c r="I460" s="3">
        <f t="shared" si="202"/>
        <v>0</v>
      </c>
      <c r="J460" s="3">
        <f t="shared" si="203"/>
        <v>0</v>
      </c>
      <c r="K460" s="3">
        <f t="shared" si="204"/>
        <v>0</v>
      </c>
      <c r="L460" s="3">
        <f t="shared" si="205"/>
        <v>0</v>
      </c>
      <c r="M460" s="3" t="e">
        <f t="shared" si="214"/>
        <v>#DIV/0!</v>
      </c>
      <c r="N460" s="3" t="e">
        <f t="shared" ref="N460:N501" si="223">_xlfn.STDEV.S(M451:M460)*SQRT(10)</f>
        <v>#DIV/0!</v>
      </c>
      <c r="O460" s="3" t="e">
        <f t="shared" si="206"/>
        <v>#DIV/0!</v>
      </c>
      <c r="P460" s="3">
        <f t="shared" ref="P460:P501" si="224">E460*(2/(9+1)) + P459*(1-(2/(9+1)))</f>
        <v>0</v>
      </c>
      <c r="Q460" s="3">
        <f t="shared" si="208"/>
        <v>0</v>
      </c>
      <c r="R460" s="3">
        <f t="shared" si="196"/>
        <v>0</v>
      </c>
      <c r="S460" s="3">
        <f t="shared" si="209"/>
        <v>0</v>
      </c>
      <c r="T460" s="3">
        <f t="shared" si="211"/>
        <v>0</v>
      </c>
      <c r="U460" s="3">
        <f t="shared" ref="U460:U501" si="225">T460*0.2 + U459*0.8</f>
        <v>0</v>
      </c>
      <c r="V460" s="3">
        <f t="shared" si="212"/>
        <v>0</v>
      </c>
      <c r="W460" s="3">
        <f t="shared" si="215"/>
        <v>0</v>
      </c>
      <c r="X460" s="3">
        <f t="shared" si="216"/>
        <v>0</v>
      </c>
      <c r="Y460" s="3">
        <f t="shared" si="217"/>
        <v>0</v>
      </c>
      <c r="Z460" s="3">
        <f t="shared" si="198"/>
        <v>0</v>
      </c>
      <c r="AA460" s="3">
        <f t="shared" si="199"/>
        <v>0</v>
      </c>
      <c r="AB460" s="3" t="e">
        <f t="shared" si="200"/>
        <v>#DIV/0!</v>
      </c>
      <c r="AC460" s="3" t="str">
        <f t="shared" si="201"/>
        <v/>
      </c>
      <c r="AD460" s="3">
        <f t="shared" si="218"/>
        <v>0</v>
      </c>
      <c r="AE460" s="3">
        <f t="shared" si="213"/>
        <v>0</v>
      </c>
      <c r="AF460" s="3">
        <f t="shared" si="219"/>
        <v>0</v>
      </c>
      <c r="AG460" s="3" t="e">
        <f>AF460 / SUM(F$2:F460)</f>
        <v>#DIV/0!</v>
      </c>
      <c r="AH460" s="3" t="e">
        <f t="shared" si="220"/>
        <v>#DIV/0!</v>
      </c>
      <c r="AI460" s="3">
        <f t="shared" si="221"/>
        <v>0</v>
      </c>
      <c r="AJ460" s="3" t="e">
        <f t="shared" si="222"/>
        <v>#DIV/0!</v>
      </c>
      <c r="AK460" s="3" t="e">
        <f t="shared" si="207"/>
        <v>#DIV/0!</v>
      </c>
    </row>
    <row r="461" spans="1:37" x14ac:dyDescent="0.3">
      <c r="A461" s="24">
        <v>0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f t="shared" si="210"/>
        <v>0</v>
      </c>
      <c r="H461" s="3">
        <f t="shared" si="197"/>
        <v>0</v>
      </c>
      <c r="I461" s="3">
        <f t="shared" si="202"/>
        <v>0</v>
      </c>
      <c r="J461" s="3">
        <f t="shared" si="203"/>
        <v>0</v>
      </c>
      <c r="K461" s="3">
        <f t="shared" si="204"/>
        <v>0</v>
      </c>
      <c r="L461" s="3">
        <f t="shared" si="205"/>
        <v>0</v>
      </c>
      <c r="M461" s="3" t="e">
        <f t="shared" si="214"/>
        <v>#DIV/0!</v>
      </c>
      <c r="N461" s="3" t="e">
        <f t="shared" si="223"/>
        <v>#DIV/0!</v>
      </c>
      <c r="O461" s="3" t="e">
        <f t="shared" si="206"/>
        <v>#DIV/0!</v>
      </c>
      <c r="P461" s="3">
        <f t="shared" si="224"/>
        <v>0</v>
      </c>
      <c r="Q461" s="3">
        <f t="shared" si="208"/>
        <v>0</v>
      </c>
      <c r="R461" s="3">
        <f t="shared" si="196"/>
        <v>0</v>
      </c>
      <c r="S461" s="3">
        <f t="shared" si="209"/>
        <v>0</v>
      </c>
      <c r="T461" s="3">
        <f t="shared" si="211"/>
        <v>0</v>
      </c>
      <c r="U461" s="3">
        <f t="shared" si="225"/>
        <v>0</v>
      </c>
      <c r="V461" s="3">
        <f t="shared" si="212"/>
        <v>0</v>
      </c>
      <c r="W461" s="3">
        <f t="shared" si="215"/>
        <v>0</v>
      </c>
      <c r="X461" s="3">
        <f t="shared" si="216"/>
        <v>0</v>
      </c>
      <c r="Y461" s="3">
        <f t="shared" si="217"/>
        <v>0</v>
      </c>
      <c r="Z461" s="3">
        <f t="shared" si="198"/>
        <v>0</v>
      </c>
      <c r="AA461" s="3">
        <f t="shared" si="199"/>
        <v>0</v>
      </c>
      <c r="AB461" s="3" t="e">
        <f t="shared" si="200"/>
        <v>#DIV/0!</v>
      </c>
      <c r="AC461" s="3" t="str">
        <f t="shared" si="201"/>
        <v/>
      </c>
      <c r="AD461" s="3">
        <f t="shared" si="218"/>
        <v>0</v>
      </c>
      <c r="AE461" s="3">
        <f t="shared" si="213"/>
        <v>0</v>
      </c>
      <c r="AF461" s="3">
        <f t="shared" si="219"/>
        <v>0</v>
      </c>
      <c r="AG461" s="3" t="e">
        <f>AF461 / SUM(F$2:F461)</f>
        <v>#DIV/0!</v>
      </c>
      <c r="AH461" s="3" t="e">
        <f t="shared" si="220"/>
        <v>#DIV/0!</v>
      </c>
      <c r="AI461" s="3">
        <f t="shared" si="221"/>
        <v>0</v>
      </c>
      <c r="AJ461" s="3" t="e">
        <f t="shared" si="222"/>
        <v>#DIV/0!</v>
      </c>
      <c r="AK461" s="3" t="e">
        <f t="shared" si="207"/>
        <v>#DIV/0!</v>
      </c>
    </row>
    <row r="462" spans="1:37" x14ac:dyDescent="0.3">
      <c r="A462" s="24">
        <v>0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f t="shared" si="210"/>
        <v>0</v>
      </c>
      <c r="H462" s="3">
        <f t="shared" si="197"/>
        <v>0</v>
      </c>
      <c r="I462" s="3">
        <f t="shared" si="202"/>
        <v>0</v>
      </c>
      <c r="J462" s="3">
        <f t="shared" si="203"/>
        <v>0</v>
      </c>
      <c r="K462" s="3">
        <f t="shared" si="204"/>
        <v>0</v>
      </c>
      <c r="L462" s="3">
        <f t="shared" si="205"/>
        <v>0</v>
      </c>
      <c r="M462" s="3" t="e">
        <f t="shared" si="214"/>
        <v>#DIV/0!</v>
      </c>
      <c r="N462" s="3" t="e">
        <f t="shared" si="223"/>
        <v>#DIV/0!</v>
      </c>
      <c r="O462" s="3" t="e">
        <f t="shared" si="206"/>
        <v>#DIV/0!</v>
      </c>
      <c r="P462" s="3">
        <f t="shared" si="224"/>
        <v>0</v>
      </c>
      <c r="Q462" s="3">
        <f t="shared" si="208"/>
        <v>0</v>
      </c>
      <c r="R462" s="3">
        <f t="shared" si="196"/>
        <v>0</v>
      </c>
      <c r="S462" s="3">
        <f t="shared" si="209"/>
        <v>0</v>
      </c>
      <c r="T462" s="3">
        <f t="shared" si="211"/>
        <v>0</v>
      </c>
      <c r="U462" s="3">
        <f t="shared" si="225"/>
        <v>0</v>
      </c>
      <c r="V462" s="3">
        <f t="shared" si="212"/>
        <v>0</v>
      </c>
      <c r="W462" s="3">
        <f t="shared" si="215"/>
        <v>0</v>
      </c>
      <c r="X462" s="3">
        <f t="shared" si="216"/>
        <v>0</v>
      </c>
      <c r="Y462" s="3">
        <f t="shared" si="217"/>
        <v>0</v>
      </c>
      <c r="Z462" s="3">
        <f t="shared" si="198"/>
        <v>0</v>
      </c>
      <c r="AA462" s="3">
        <f t="shared" si="199"/>
        <v>0</v>
      </c>
      <c r="AB462" s="3" t="e">
        <f t="shared" si="200"/>
        <v>#DIV/0!</v>
      </c>
      <c r="AC462" s="3" t="str">
        <f t="shared" si="201"/>
        <v/>
      </c>
      <c r="AD462" s="3">
        <f t="shared" si="218"/>
        <v>0</v>
      </c>
      <c r="AE462" s="3">
        <f t="shared" si="213"/>
        <v>0</v>
      </c>
      <c r="AF462" s="3">
        <f t="shared" si="219"/>
        <v>0</v>
      </c>
      <c r="AG462" s="3" t="e">
        <f>AF462 / SUM(F$2:F462)</f>
        <v>#DIV/0!</v>
      </c>
      <c r="AH462" s="3" t="e">
        <f t="shared" si="220"/>
        <v>#DIV/0!</v>
      </c>
      <c r="AI462" s="3">
        <f t="shared" si="221"/>
        <v>0</v>
      </c>
      <c r="AJ462" s="3" t="e">
        <f t="shared" si="222"/>
        <v>#DIV/0!</v>
      </c>
      <c r="AK462" s="3" t="e">
        <f t="shared" si="207"/>
        <v>#DIV/0!</v>
      </c>
    </row>
    <row r="463" spans="1:37" x14ac:dyDescent="0.3">
      <c r="A463" s="24">
        <v>0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f t="shared" si="210"/>
        <v>0</v>
      </c>
      <c r="H463" s="3">
        <f t="shared" si="197"/>
        <v>0</v>
      </c>
      <c r="I463" s="3">
        <f t="shared" si="202"/>
        <v>0</v>
      </c>
      <c r="J463" s="3">
        <f t="shared" si="203"/>
        <v>0</v>
      </c>
      <c r="K463" s="3">
        <f t="shared" si="204"/>
        <v>0</v>
      </c>
      <c r="L463" s="3">
        <f t="shared" si="205"/>
        <v>0</v>
      </c>
      <c r="M463" s="3" t="e">
        <f t="shared" si="214"/>
        <v>#DIV/0!</v>
      </c>
      <c r="N463" s="3" t="e">
        <f t="shared" si="223"/>
        <v>#DIV/0!</v>
      </c>
      <c r="O463" s="3" t="e">
        <f t="shared" si="206"/>
        <v>#DIV/0!</v>
      </c>
      <c r="P463" s="3">
        <f t="shared" si="224"/>
        <v>0</v>
      </c>
      <c r="Q463" s="3">
        <f t="shared" si="208"/>
        <v>0</v>
      </c>
      <c r="R463" s="3">
        <f t="shared" ref="R463:R501" si="226">E463*(2/(12+1)) + R462*(1-(2/(12+1)))</f>
        <v>0</v>
      </c>
      <c r="S463" s="3">
        <f t="shared" si="209"/>
        <v>0</v>
      </c>
      <c r="T463" s="3">
        <f t="shared" si="211"/>
        <v>0</v>
      </c>
      <c r="U463" s="3">
        <f t="shared" si="225"/>
        <v>0</v>
      </c>
      <c r="V463" s="3">
        <f t="shared" si="212"/>
        <v>0</v>
      </c>
      <c r="W463" s="3">
        <f t="shared" si="215"/>
        <v>0</v>
      </c>
      <c r="X463" s="3">
        <f t="shared" si="216"/>
        <v>0</v>
      </c>
      <c r="Y463" s="3">
        <f t="shared" si="217"/>
        <v>0</v>
      </c>
      <c r="Z463" s="3">
        <f t="shared" si="198"/>
        <v>0</v>
      </c>
      <c r="AA463" s="3">
        <f t="shared" si="199"/>
        <v>0</v>
      </c>
      <c r="AB463" s="3" t="e">
        <f t="shared" si="200"/>
        <v>#DIV/0!</v>
      </c>
      <c r="AC463" s="3" t="str">
        <f t="shared" si="201"/>
        <v/>
      </c>
      <c r="AD463" s="3">
        <f t="shared" si="218"/>
        <v>0</v>
      </c>
      <c r="AE463" s="3">
        <f t="shared" si="213"/>
        <v>0</v>
      </c>
      <c r="AF463" s="3">
        <f t="shared" si="219"/>
        <v>0</v>
      </c>
      <c r="AG463" s="3" t="e">
        <f>AF463 / SUM(F$2:F463)</f>
        <v>#DIV/0!</v>
      </c>
      <c r="AH463" s="3" t="e">
        <f t="shared" si="220"/>
        <v>#DIV/0!</v>
      </c>
      <c r="AI463" s="3">
        <f t="shared" si="221"/>
        <v>0</v>
      </c>
      <c r="AJ463" s="3" t="e">
        <f t="shared" si="222"/>
        <v>#DIV/0!</v>
      </c>
      <c r="AK463" s="3" t="e">
        <f t="shared" si="207"/>
        <v>#DIV/0!</v>
      </c>
    </row>
    <row r="464" spans="1:37" x14ac:dyDescent="0.3">
      <c r="A464" s="24">
        <v>0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f t="shared" si="210"/>
        <v>0</v>
      </c>
      <c r="H464" s="3">
        <f t="shared" ref="H464:H501" si="227">AVERAGE(G451:G464)</f>
        <v>0</v>
      </c>
      <c r="I464" s="3">
        <f t="shared" si="202"/>
        <v>0</v>
      </c>
      <c r="J464" s="3">
        <f t="shared" si="203"/>
        <v>0</v>
      </c>
      <c r="K464" s="3">
        <f t="shared" si="204"/>
        <v>0</v>
      </c>
      <c r="L464" s="3">
        <f t="shared" si="205"/>
        <v>0</v>
      </c>
      <c r="M464" s="3" t="e">
        <f t="shared" si="214"/>
        <v>#DIV/0!</v>
      </c>
      <c r="N464" s="3" t="e">
        <f t="shared" si="223"/>
        <v>#DIV/0!</v>
      </c>
      <c r="O464" s="3" t="e">
        <f t="shared" si="206"/>
        <v>#DIV/0!</v>
      </c>
      <c r="P464" s="3">
        <f t="shared" si="224"/>
        <v>0</v>
      </c>
      <c r="Q464" s="3">
        <f t="shared" si="208"/>
        <v>0</v>
      </c>
      <c r="R464" s="3">
        <f t="shared" si="226"/>
        <v>0</v>
      </c>
      <c r="S464" s="3">
        <f t="shared" si="209"/>
        <v>0</v>
      </c>
      <c r="T464" s="3">
        <f t="shared" si="211"/>
        <v>0</v>
      </c>
      <c r="U464" s="3">
        <f t="shared" si="225"/>
        <v>0</v>
      </c>
      <c r="V464" s="3">
        <f t="shared" si="212"/>
        <v>0</v>
      </c>
      <c r="W464" s="3">
        <f t="shared" si="215"/>
        <v>0</v>
      </c>
      <c r="X464" s="3">
        <f t="shared" si="216"/>
        <v>0</v>
      </c>
      <c r="Y464" s="3">
        <f t="shared" si="217"/>
        <v>0</v>
      </c>
      <c r="Z464" s="3">
        <f t="shared" ref="Z464:Z501" si="228">AVERAGE(X451:X464)</f>
        <v>0</v>
      </c>
      <c r="AA464" s="3">
        <f t="shared" ref="AA464:AA501" si="229">AVERAGE(Y451:Y464)</f>
        <v>0</v>
      </c>
      <c r="AB464" s="3" t="e">
        <f t="shared" ref="AB464:AB501" si="230">100-(100/(1+(Z464/AA464)))</f>
        <v>#DIV/0!</v>
      </c>
      <c r="AC464" s="3" t="str">
        <f t="shared" ref="AC464:AC501" si="231">IF(
COUNT(AB451:AB464)&lt;14,
"",
IF(
MAX(AB451:AB464)=MIN(AB451:AB464),
0.5,
(AB464-MIN(AB451:AB464)) / (MAX(AB451:AB464)-MIN(AB451:AB464))
)
)</f>
        <v/>
      </c>
      <c r="AD464" s="3">
        <f t="shared" si="218"/>
        <v>0</v>
      </c>
      <c r="AE464" s="3">
        <f t="shared" si="213"/>
        <v>0</v>
      </c>
      <c r="AF464" s="3">
        <f t="shared" si="219"/>
        <v>0</v>
      </c>
      <c r="AG464" s="3" t="e">
        <f>AF464 / SUM(F$2:F464)</f>
        <v>#DIV/0!</v>
      </c>
      <c r="AH464" s="3" t="e">
        <f t="shared" si="220"/>
        <v>#DIV/0!</v>
      </c>
      <c r="AI464" s="3">
        <f t="shared" si="221"/>
        <v>0</v>
      </c>
      <c r="AJ464" s="3" t="e">
        <f t="shared" si="222"/>
        <v>#DIV/0!</v>
      </c>
      <c r="AK464" s="3" t="e">
        <f t="shared" si="207"/>
        <v>#DIV/0!</v>
      </c>
    </row>
    <row r="465" spans="1:37" x14ac:dyDescent="0.3">
      <c r="A465" s="24">
        <v>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f t="shared" si="210"/>
        <v>0</v>
      </c>
      <c r="H465" s="3">
        <f t="shared" si="227"/>
        <v>0</v>
      </c>
      <c r="I465" s="3">
        <f t="shared" si="202"/>
        <v>0</v>
      </c>
      <c r="J465" s="3">
        <f t="shared" si="203"/>
        <v>0</v>
      </c>
      <c r="K465" s="3">
        <f t="shared" si="204"/>
        <v>0</v>
      </c>
      <c r="L465" s="3">
        <f t="shared" si="205"/>
        <v>0</v>
      </c>
      <c r="M465" s="3" t="e">
        <f t="shared" si="214"/>
        <v>#DIV/0!</v>
      </c>
      <c r="N465" s="3" t="e">
        <f t="shared" si="223"/>
        <v>#DIV/0!</v>
      </c>
      <c r="O465" s="3" t="e">
        <f t="shared" si="206"/>
        <v>#DIV/0!</v>
      </c>
      <c r="P465" s="3">
        <f t="shared" si="224"/>
        <v>0</v>
      </c>
      <c r="Q465" s="3">
        <f t="shared" si="208"/>
        <v>0</v>
      </c>
      <c r="R465" s="3">
        <f t="shared" si="226"/>
        <v>0</v>
      </c>
      <c r="S465" s="3">
        <f t="shared" si="209"/>
        <v>0</v>
      </c>
      <c r="T465" s="3">
        <f t="shared" si="211"/>
        <v>0</v>
      </c>
      <c r="U465" s="3">
        <f t="shared" si="225"/>
        <v>0</v>
      </c>
      <c r="V465" s="3">
        <f t="shared" si="212"/>
        <v>0</v>
      </c>
      <c r="W465" s="3">
        <f t="shared" si="215"/>
        <v>0</v>
      </c>
      <c r="X465" s="3">
        <f t="shared" si="216"/>
        <v>0</v>
      </c>
      <c r="Y465" s="3">
        <f t="shared" si="217"/>
        <v>0</v>
      </c>
      <c r="Z465" s="3">
        <f t="shared" si="228"/>
        <v>0</v>
      </c>
      <c r="AA465" s="3">
        <f t="shared" si="229"/>
        <v>0</v>
      </c>
      <c r="AB465" s="3" t="e">
        <f t="shared" si="230"/>
        <v>#DIV/0!</v>
      </c>
      <c r="AC465" s="3" t="str">
        <f t="shared" si="231"/>
        <v/>
      </c>
      <c r="AD465" s="3">
        <f t="shared" si="218"/>
        <v>0</v>
      </c>
      <c r="AE465" s="3">
        <f t="shared" si="213"/>
        <v>0</v>
      </c>
      <c r="AF465" s="3">
        <f t="shared" si="219"/>
        <v>0</v>
      </c>
      <c r="AG465" s="3" t="e">
        <f>AF465 / SUM(F$2:F465)</f>
        <v>#DIV/0!</v>
      </c>
      <c r="AH465" s="3" t="e">
        <f t="shared" si="220"/>
        <v>#DIV/0!</v>
      </c>
      <c r="AI465" s="3">
        <f t="shared" si="221"/>
        <v>0</v>
      </c>
      <c r="AJ465" s="3" t="e">
        <f t="shared" si="222"/>
        <v>#DIV/0!</v>
      </c>
      <c r="AK465" s="3" t="e">
        <f t="shared" si="207"/>
        <v>#DIV/0!</v>
      </c>
    </row>
    <row r="466" spans="1:37" x14ac:dyDescent="0.3">
      <c r="A466" s="24">
        <v>0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f t="shared" si="210"/>
        <v>0</v>
      </c>
      <c r="H466" s="3">
        <f t="shared" si="227"/>
        <v>0</v>
      </c>
      <c r="I466" s="3">
        <f t="shared" si="202"/>
        <v>0</v>
      </c>
      <c r="J466" s="3">
        <f t="shared" si="203"/>
        <v>0</v>
      </c>
      <c r="K466" s="3">
        <f t="shared" si="204"/>
        <v>0</v>
      </c>
      <c r="L466" s="3">
        <f t="shared" si="205"/>
        <v>0</v>
      </c>
      <c r="M466" s="3" t="e">
        <f t="shared" si="214"/>
        <v>#DIV/0!</v>
      </c>
      <c r="N466" s="3" t="e">
        <f t="shared" si="223"/>
        <v>#DIV/0!</v>
      </c>
      <c r="O466" s="3" t="e">
        <f t="shared" si="206"/>
        <v>#DIV/0!</v>
      </c>
      <c r="P466" s="3">
        <f t="shared" si="224"/>
        <v>0</v>
      </c>
      <c r="Q466" s="3">
        <f t="shared" si="208"/>
        <v>0</v>
      </c>
      <c r="R466" s="3">
        <f t="shared" si="226"/>
        <v>0</v>
      </c>
      <c r="S466" s="3">
        <f t="shared" si="209"/>
        <v>0</v>
      </c>
      <c r="T466" s="3">
        <f t="shared" si="211"/>
        <v>0</v>
      </c>
      <c r="U466" s="3">
        <f t="shared" si="225"/>
        <v>0</v>
      </c>
      <c r="V466" s="3">
        <f t="shared" si="212"/>
        <v>0</v>
      </c>
      <c r="W466" s="3">
        <f t="shared" si="215"/>
        <v>0</v>
      </c>
      <c r="X466" s="3">
        <f t="shared" si="216"/>
        <v>0</v>
      </c>
      <c r="Y466" s="3">
        <f t="shared" si="217"/>
        <v>0</v>
      </c>
      <c r="Z466" s="3">
        <f t="shared" si="228"/>
        <v>0</v>
      </c>
      <c r="AA466" s="3">
        <f t="shared" si="229"/>
        <v>0</v>
      </c>
      <c r="AB466" s="3" t="e">
        <f t="shared" si="230"/>
        <v>#DIV/0!</v>
      </c>
      <c r="AC466" s="3" t="str">
        <f t="shared" si="231"/>
        <v/>
      </c>
      <c r="AD466" s="3">
        <f t="shared" si="218"/>
        <v>0</v>
      </c>
      <c r="AE466" s="3">
        <f t="shared" si="213"/>
        <v>0</v>
      </c>
      <c r="AF466" s="3">
        <f t="shared" si="219"/>
        <v>0</v>
      </c>
      <c r="AG466" s="3" t="e">
        <f>AF466 / SUM(F$2:F466)</f>
        <v>#DIV/0!</v>
      </c>
      <c r="AH466" s="3" t="e">
        <f t="shared" si="220"/>
        <v>#DIV/0!</v>
      </c>
      <c r="AI466" s="3">
        <f t="shared" si="221"/>
        <v>0</v>
      </c>
      <c r="AJ466" s="3" t="e">
        <f t="shared" si="222"/>
        <v>#DIV/0!</v>
      </c>
      <c r="AK466" s="3" t="e">
        <f t="shared" si="207"/>
        <v>#DIV/0!</v>
      </c>
    </row>
    <row r="467" spans="1:37" x14ac:dyDescent="0.3">
      <c r="A467" s="24">
        <v>0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f t="shared" si="210"/>
        <v>0</v>
      </c>
      <c r="H467" s="3">
        <f t="shared" si="227"/>
        <v>0</v>
      </c>
      <c r="I467" s="3">
        <f t="shared" si="202"/>
        <v>0</v>
      </c>
      <c r="J467" s="3">
        <f t="shared" si="203"/>
        <v>0</v>
      </c>
      <c r="K467" s="3">
        <f t="shared" si="204"/>
        <v>0</v>
      </c>
      <c r="L467" s="3">
        <f t="shared" si="205"/>
        <v>0</v>
      </c>
      <c r="M467" s="3" t="e">
        <f t="shared" si="214"/>
        <v>#DIV/0!</v>
      </c>
      <c r="N467" s="3" t="e">
        <f t="shared" si="223"/>
        <v>#DIV/0!</v>
      </c>
      <c r="O467" s="3" t="e">
        <f t="shared" si="206"/>
        <v>#DIV/0!</v>
      </c>
      <c r="P467" s="3">
        <f t="shared" si="224"/>
        <v>0</v>
      </c>
      <c r="Q467" s="3">
        <f t="shared" si="208"/>
        <v>0</v>
      </c>
      <c r="R467" s="3">
        <f t="shared" si="226"/>
        <v>0</v>
      </c>
      <c r="S467" s="3">
        <f t="shared" si="209"/>
        <v>0</v>
      </c>
      <c r="T467" s="3">
        <f t="shared" si="211"/>
        <v>0</v>
      </c>
      <c r="U467" s="3">
        <f t="shared" si="225"/>
        <v>0</v>
      </c>
      <c r="V467" s="3">
        <f t="shared" si="212"/>
        <v>0</v>
      </c>
      <c r="W467" s="3">
        <f t="shared" si="215"/>
        <v>0</v>
      </c>
      <c r="X467" s="3">
        <f t="shared" si="216"/>
        <v>0</v>
      </c>
      <c r="Y467" s="3">
        <f t="shared" si="217"/>
        <v>0</v>
      </c>
      <c r="Z467" s="3">
        <f t="shared" si="228"/>
        <v>0</v>
      </c>
      <c r="AA467" s="3">
        <f t="shared" si="229"/>
        <v>0</v>
      </c>
      <c r="AB467" s="3" t="e">
        <f t="shared" si="230"/>
        <v>#DIV/0!</v>
      </c>
      <c r="AC467" s="3" t="str">
        <f t="shared" si="231"/>
        <v/>
      </c>
      <c r="AD467" s="3">
        <f t="shared" si="218"/>
        <v>0</v>
      </c>
      <c r="AE467" s="3">
        <f t="shared" si="213"/>
        <v>0</v>
      </c>
      <c r="AF467" s="3">
        <f t="shared" si="219"/>
        <v>0</v>
      </c>
      <c r="AG467" s="3" t="e">
        <f>AF467 / SUM(F$2:F467)</f>
        <v>#DIV/0!</v>
      </c>
      <c r="AH467" s="3" t="e">
        <f t="shared" si="220"/>
        <v>#DIV/0!</v>
      </c>
      <c r="AI467" s="3">
        <f t="shared" si="221"/>
        <v>0</v>
      </c>
      <c r="AJ467" s="3" t="e">
        <f t="shared" si="222"/>
        <v>#DIV/0!</v>
      </c>
      <c r="AK467" s="3" t="e">
        <f t="shared" si="207"/>
        <v>#DIV/0!</v>
      </c>
    </row>
    <row r="468" spans="1:37" x14ac:dyDescent="0.3">
      <c r="A468" s="24">
        <v>0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f t="shared" si="210"/>
        <v>0</v>
      </c>
      <c r="H468" s="3">
        <f t="shared" si="227"/>
        <v>0</v>
      </c>
      <c r="I468" s="3">
        <f t="shared" si="202"/>
        <v>0</v>
      </c>
      <c r="J468" s="3">
        <f t="shared" si="203"/>
        <v>0</v>
      </c>
      <c r="K468" s="3">
        <f t="shared" si="204"/>
        <v>0</v>
      </c>
      <c r="L468" s="3">
        <f t="shared" si="205"/>
        <v>0</v>
      </c>
      <c r="M468" s="3" t="e">
        <f t="shared" si="214"/>
        <v>#DIV/0!</v>
      </c>
      <c r="N468" s="3" t="e">
        <f t="shared" si="223"/>
        <v>#DIV/0!</v>
      </c>
      <c r="O468" s="3" t="e">
        <f t="shared" si="206"/>
        <v>#DIV/0!</v>
      </c>
      <c r="P468" s="3">
        <f t="shared" si="224"/>
        <v>0</v>
      </c>
      <c r="Q468" s="3">
        <f t="shared" si="208"/>
        <v>0</v>
      </c>
      <c r="R468" s="3">
        <f t="shared" si="226"/>
        <v>0</v>
      </c>
      <c r="S468" s="3">
        <f t="shared" si="209"/>
        <v>0</v>
      </c>
      <c r="T468" s="3">
        <f t="shared" si="211"/>
        <v>0</v>
      </c>
      <c r="U468" s="3">
        <f t="shared" si="225"/>
        <v>0</v>
      </c>
      <c r="V468" s="3">
        <f t="shared" si="212"/>
        <v>0</v>
      </c>
      <c r="W468" s="3">
        <f t="shared" si="215"/>
        <v>0</v>
      </c>
      <c r="X468" s="3">
        <f t="shared" si="216"/>
        <v>0</v>
      </c>
      <c r="Y468" s="3">
        <f t="shared" si="217"/>
        <v>0</v>
      </c>
      <c r="Z468" s="3">
        <f t="shared" si="228"/>
        <v>0</v>
      </c>
      <c r="AA468" s="3">
        <f t="shared" si="229"/>
        <v>0</v>
      </c>
      <c r="AB468" s="3" t="e">
        <f t="shared" si="230"/>
        <v>#DIV/0!</v>
      </c>
      <c r="AC468" s="3" t="str">
        <f t="shared" si="231"/>
        <v/>
      </c>
      <c r="AD468" s="3">
        <f t="shared" si="218"/>
        <v>0</v>
      </c>
      <c r="AE468" s="3">
        <f t="shared" si="213"/>
        <v>0</v>
      </c>
      <c r="AF468" s="3">
        <f t="shared" si="219"/>
        <v>0</v>
      </c>
      <c r="AG468" s="3" t="e">
        <f>AF468 / SUM(F$2:F468)</f>
        <v>#DIV/0!</v>
      </c>
      <c r="AH468" s="3" t="e">
        <f t="shared" si="220"/>
        <v>#DIV/0!</v>
      </c>
      <c r="AI468" s="3">
        <f t="shared" si="221"/>
        <v>0</v>
      </c>
      <c r="AJ468" s="3" t="e">
        <f t="shared" si="222"/>
        <v>#DIV/0!</v>
      </c>
      <c r="AK468" s="3" t="e">
        <f t="shared" si="207"/>
        <v>#DIV/0!</v>
      </c>
    </row>
    <row r="469" spans="1:37" x14ac:dyDescent="0.3">
      <c r="A469" s="24">
        <v>0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f t="shared" si="210"/>
        <v>0</v>
      </c>
      <c r="H469" s="3">
        <f t="shared" si="227"/>
        <v>0</v>
      </c>
      <c r="I469" s="3">
        <f t="shared" si="202"/>
        <v>0</v>
      </c>
      <c r="J469" s="3">
        <f t="shared" si="203"/>
        <v>0</v>
      </c>
      <c r="K469" s="3">
        <f t="shared" si="204"/>
        <v>0</v>
      </c>
      <c r="L469" s="3">
        <f t="shared" si="205"/>
        <v>0</v>
      </c>
      <c r="M469" s="3" t="e">
        <f t="shared" si="214"/>
        <v>#DIV/0!</v>
      </c>
      <c r="N469" s="3" t="e">
        <f t="shared" si="223"/>
        <v>#DIV/0!</v>
      </c>
      <c r="O469" s="3" t="e">
        <f t="shared" si="206"/>
        <v>#DIV/0!</v>
      </c>
      <c r="P469" s="3">
        <f t="shared" si="224"/>
        <v>0</v>
      </c>
      <c r="Q469" s="3">
        <f t="shared" si="208"/>
        <v>0</v>
      </c>
      <c r="R469" s="3">
        <f t="shared" si="226"/>
        <v>0</v>
      </c>
      <c r="S469" s="3">
        <f t="shared" si="209"/>
        <v>0</v>
      </c>
      <c r="T469" s="3">
        <f t="shared" si="211"/>
        <v>0</v>
      </c>
      <c r="U469" s="3">
        <f t="shared" si="225"/>
        <v>0</v>
      </c>
      <c r="V469" s="3">
        <f t="shared" si="212"/>
        <v>0</v>
      </c>
      <c r="W469" s="3">
        <f t="shared" si="215"/>
        <v>0</v>
      </c>
      <c r="X469" s="3">
        <f t="shared" si="216"/>
        <v>0</v>
      </c>
      <c r="Y469" s="3">
        <f t="shared" si="217"/>
        <v>0</v>
      </c>
      <c r="Z469" s="3">
        <f t="shared" si="228"/>
        <v>0</v>
      </c>
      <c r="AA469" s="3">
        <f t="shared" si="229"/>
        <v>0</v>
      </c>
      <c r="AB469" s="3" t="e">
        <f t="shared" si="230"/>
        <v>#DIV/0!</v>
      </c>
      <c r="AC469" s="3" t="str">
        <f t="shared" si="231"/>
        <v/>
      </c>
      <c r="AD469" s="3">
        <f t="shared" si="218"/>
        <v>0</v>
      </c>
      <c r="AE469" s="3">
        <f t="shared" si="213"/>
        <v>0</v>
      </c>
      <c r="AF469" s="3">
        <f t="shared" si="219"/>
        <v>0</v>
      </c>
      <c r="AG469" s="3" t="e">
        <f>AF469 / SUM(F$2:F469)</f>
        <v>#DIV/0!</v>
      </c>
      <c r="AH469" s="3" t="e">
        <f t="shared" si="220"/>
        <v>#DIV/0!</v>
      </c>
      <c r="AI469" s="3">
        <f t="shared" si="221"/>
        <v>0</v>
      </c>
      <c r="AJ469" s="3" t="e">
        <f t="shared" si="222"/>
        <v>#DIV/0!</v>
      </c>
      <c r="AK469" s="3" t="e">
        <f t="shared" si="207"/>
        <v>#DIV/0!</v>
      </c>
    </row>
    <row r="470" spans="1:37" x14ac:dyDescent="0.3">
      <c r="A470" s="24">
        <v>0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f t="shared" si="210"/>
        <v>0</v>
      </c>
      <c r="H470" s="3">
        <f t="shared" si="227"/>
        <v>0</v>
      </c>
      <c r="I470" s="3">
        <f t="shared" ref="I470:I501" si="232">AVERAGE(E451:E470)</f>
        <v>0</v>
      </c>
      <c r="J470" s="3">
        <f t="shared" ref="J470:J501" si="233">_xlfn.STDEV.S(E451:E470)</f>
        <v>0</v>
      </c>
      <c r="K470" s="3">
        <f t="shared" ref="K470:K501" si="234">I470 + 2*J470</f>
        <v>0</v>
      </c>
      <c r="L470" s="3">
        <f t="shared" ref="L470:L501" si="235">I470 - 2*J470</f>
        <v>0</v>
      </c>
      <c r="M470" s="3" t="e">
        <f t="shared" si="214"/>
        <v>#DIV/0!</v>
      </c>
      <c r="N470" s="3" t="e">
        <f t="shared" si="223"/>
        <v>#DIV/0!</v>
      </c>
      <c r="O470" s="3" t="e">
        <f t="shared" ref="O470:O501" si="236">_xlfn.STDEV.S(M451:M470)*SQRT(20)</f>
        <v>#DIV/0!</v>
      </c>
      <c r="P470" s="3">
        <f t="shared" si="224"/>
        <v>0</v>
      </c>
      <c r="Q470" s="3">
        <f t="shared" si="208"/>
        <v>0</v>
      </c>
      <c r="R470" s="3">
        <f t="shared" si="226"/>
        <v>0</v>
      </c>
      <c r="S470" s="3">
        <f t="shared" si="209"/>
        <v>0</v>
      </c>
      <c r="T470" s="3">
        <f t="shared" si="211"/>
        <v>0</v>
      </c>
      <c r="U470" s="3">
        <f t="shared" si="225"/>
        <v>0</v>
      </c>
      <c r="V470" s="3">
        <f t="shared" si="212"/>
        <v>0</v>
      </c>
      <c r="W470" s="3">
        <f t="shared" si="215"/>
        <v>0</v>
      </c>
      <c r="X470" s="3">
        <f t="shared" si="216"/>
        <v>0</v>
      </c>
      <c r="Y470" s="3">
        <f t="shared" si="217"/>
        <v>0</v>
      </c>
      <c r="Z470" s="3">
        <f t="shared" si="228"/>
        <v>0</v>
      </c>
      <c r="AA470" s="3">
        <f t="shared" si="229"/>
        <v>0</v>
      </c>
      <c r="AB470" s="3" t="e">
        <f t="shared" si="230"/>
        <v>#DIV/0!</v>
      </c>
      <c r="AC470" s="3" t="str">
        <f t="shared" si="231"/>
        <v/>
      </c>
      <c r="AD470" s="3">
        <f t="shared" si="218"/>
        <v>0</v>
      </c>
      <c r="AE470" s="3">
        <f t="shared" si="213"/>
        <v>0</v>
      </c>
      <c r="AF470" s="3">
        <f t="shared" si="219"/>
        <v>0</v>
      </c>
      <c r="AG470" s="3" t="e">
        <f>AF470 / SUM(F$2:F470)</f>
        <v>#DIV/0!</v>
      </c>
      <c r="AH470" s="3" t="e">
        <f t="shared" si="220"/>
        <v>#DIV/0!</v>
      </c>
      <c r="AI470" s="3">
        <f t="shared" si="221"/>
        <v>0</v>
      </c>
      <c r="AJ470" s="3" t="e">
        <f t="shared" si="222"/>
        <v>#DIV/0!</v>
      </c>
      <c r="AK470" s="3" t="e">
        <f t="shared" ref="AK470:AK501" si="237">F451 / AVERAGE(F451:F470)</f>
        <v>#DIV/0!</v>
      </c>
    </row>
    <row r="471" spans="1:37" x14ac:dyDescent="0.3">
      <c r="A471" s="24">
        <v>0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f t="shared" si="210"/>
        <v>0</v>
      </c>
      <c r="H471" s="3">
        <f t="shared" si="227"/>
        <v>0</v>
      </c>
      <c r="I471" s="3">
        <f t="shared" si="232"/>
        <v>0</v>
      </c>
      <c r="J471" s="3">
        <f t="shared" si="233"/>
        <v>0</v>
      </c>
      <c r="K471" s="3">
        <f t="shared" si="234"/>
        <v>0</v>
      </c>
      <c r="L471" s="3">
        <f t="shared" si="235"/>
        <v>0</v>
      </c>
      <c r="M471" s="3" t="e">
        <f t="shared" si="214"/>
        <v>#DIV/0!</v>
      </c>
      <c r="N471" s="3" t="e">
        <f t="shared" si="223"/>
        <v>#DIV/0!</v>
      </c>
      <c r="O471" s="3" t="e">
        <f t="shared" si="236"/>
        <v>#DIV/0!</v>
      </c>
      <c r="P471" s="3">
        <f t="shared" si="224"/>
        <v>0</v>
      </c>
      <c r="Q471" s="3">
        <f t="shared" si="208"/>
        <v>0</v>
      </c>
      <c r="R471" s="3">
        <f t="shared" si="226"/>
        <v>0</v>
      </c>
      <c r="S471" s="3">
        <f t="shared" si="209"/>
        <v>0</v>
      </c>
      <c r="T471" s="3">
        <f t="shared" si="211"/>
        <v>0</v>
      </c>
      <c r="U471" s="3">
        <f t="shared" si="225"/>
        <v>0</v>
      </c>
      <c r="V471" s="3">
        <f t="shared" si="212"/>
        <v>0</v>
      </c>
      <c r="W471" s="3">
        <f t="shared" si="215"/>
        <v>0</v>
      </c>
      <c r="X471" s="3">
        <f t="shared" si="216"/>
        <v>0</v>
      </c>
      <c r="Y471" s="3">
        <f t="shared" si="217"/>
        <v>0</v>
      </c>
      <c r="Z471" s="3">
        <f t="shared" si="228"/>
        <v>0</v>
      </c>
      <c r="AA471" s="3">
        <f t="shared" si="229"/>
        <v>0</v>
      </c>
      <c r="AB471" s="3" t="e">
        <f t="shared" si="230"/>
        <v>#DIV/0!</v>
      </c>
      <c r="AC471" s="3" t="str">
        <f t="shared" si="231"/>
        <v/>
      </c>
      <c r="AD471" s="3">
        <f t="shared" si="218"/>
        <v>0</v>
      </c>
      <c r="AE471" s="3">
        <f t="shared" si="213"/>
        <v>0</v>
      </c>
      <c r="AF471" s="3">
        <f t="shared" si="219"/>
        <v>0</v>
      </c>
      <c r="AG471" s="3" t="e">
        <f>AF471 / SUM(F$2:F471)</f>
        <v>#DIV/0!</v>
      </c>
      <c r="AH471" s="3" t="e">
        <f t="shared" si="220"/>
        <v>#DIV/0!</v>
      </c>
      <c r="AI471" s="3">
        <f t="shared" si="221"/>
        <v>0</v>
      </c>
      <c r="AJ471" s="3" t="e">
        <f t="shared" si="222"/>
        <v>#DIV/0!</v>
      </c>
      <c r="AK471" s="3" t="e">
        <f t="shared" si="237"/>
        <v>#DIV/0!</v>
      </c>
    </row>
    <row r="472" spans="1:37" x14ac:dyDescent="0.3">
      <c r="A472" s="24">
        <v>0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f t="shared" si="210"/>
        <v>0</v>
      </c>
      <c r="H472" s="3">
        <f t="shared" si="227"/>
        <v>0</v>
      </c>
      <c r="I472" s="3">
        <f t="shared" si="232"/>
        <v>0</v>
      </c>
      <c r="J472" s="3">
        <f t="shared" si="233"/>
        <v>0</v>
      </c>
      <c r="K472" s="3">
        <f t="shared" si="234"/>
        <v>0</v>
      </c>
      <c r="L472" s="3">
        <f t="shared" si="235"/>
        <v>0</v>
      </c>
      <c r="M472" s="3" t="e">
        <f t="shared" si="214"/>
        <v>#DIV/0!</v>
      </c>
      <c r="N472" s="3" t="e">
        <f t="shared" si="223"/>
        <v>#DIV/0!</v>
      </c>
      <c r="O472" s="3" t="e">
        <f t="shared" si="236"/>
        <v>#DIV/0!</v>
      </c>
      <c r="P472" s="3">
        <f t="shared" si="224"/>
        <v>0</v>
      </c>
      <c r="Q472" s="3">
        <f t="shared" ref="Q472:Q501" si="238">E472*(2/(21+1)) + Q471*(1-(2/(21+1)))</f>
        <v>0</v>
      </c>
      <c r="R472" s="3">
        <f t="shared" si="226"/>
        <v>0</v>
      </c>
      <c r="S472" s="3">
        <f t="shared" si="209"/>
        <v>0</v>
      </c>
      <c r="T472" s="3">
        <f t="shared" si="211"/>
        <v>0</v>
      </c>
      <c r="U472" s="3">
        <f t="shared" si="225"/>
        <v>0</v>
      </c>
      <c r="V472" s="3">
        <f t="shared" si="212"/>
        <v>0</v>
      </c>
      <c r="W472" s="3">
        <f t="shared" si="215"/>
        <v>0</v>
      </c>
      <c r="X472" s="3">
        <f t="shared" si="216"/>
        <v>0</v>
      </c>
      <c r="Y472" s="3">
        <f t="shared" si="217"/>
        <v>0</v>
      </c>
      <c r="Z472" s="3">
        <f t="shared" si="228"/>
        <v>0</v>
      </c>
      <c r="AA472" s="3">
        <f t="shared" si="229"/>
        <v>0</v>
      </c>
      <c r="AB472" s="3" t="e">
        <f t="shared" si="230"/>
        <v>#DIV/0!</v>
      </c>
      <c r="AC472" s="3" t="str">
        <f t="shared" si="231"/>
        <v/>
      </c>
      <c r="AD472" s="3">
        <f t="shared" si="218"/>
        <v>0</v>
      </c>
      <c r="AE472" s="3">
        <f t="shared" si="213"/>
        <v>0</v>
      </c>
      <c r="AF472" s="3">
        <f t="shared" si="219"/>
        <v>0</v>
      </c>
      <c r="AG472" s="3" t="e">
        <f>AF472 / SUM(F$2:F472)</f>
        <v>#DIV/0!</v>
      </c>
      <c r="AH472" s="3" t="e">
        <f t="shared" si="220"/>
        <v>#DIV/0!</v>
      </c>
      <c r="AI472" s="3">
        <f t="shared" si="221"/>
        <v>0</v>
      </c>
      <c r="AJ472" s="3" t="e">
        <f t="shared" si="222"/>
        <v>#DIV/0!</v>
      </c>
      <c r="AK472" s="3" t="e">
        <f t="shared" si="237"/>
        <v>#DIV/0!</v>
      </c>
    </row>
    <row r="473" spans="1:37" x14ac:dyDescent="0.3">
      <c r="A473" s="24">
        <v>0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f t="shared" si="210"/>
        <v>0</v>
      </c>
      <c r="H473" s="3">
        <f t="shared" si="227"/>
        <v>0</v>
      </c>
      <c r="I473" s="3">
        <f t="shared" si="232"/>
        <v>0</v>
      </c>
      <c r="J473" s="3">
        <f t="shared" si="233"/>
        <v>0</v>
      </c>
      <c r="K473" s="3">
        <f t="shared" si="234"/>
        <v>0</v>
      </c>
      <c r="L473" s="3">
        <f t="shared" si="235"/>
        <v>0</v>
      </c>
      <c r="M473" s="3" t="e">
        <f t="shared" si="214"/>
        <v>#DIV/0!</v>
      </c>
      <c r="N473" s="3" t="e">
        <f t="shared" si="223"/>
        <v>#DIV/0!</v>
      </c>
      <c r="O473" s="3" t="e">
        <f t="shared" si="236"/>
        <v>#DIV/0!</v>
      </c>
      <c r="P473" s="3">
        <f t="shared" si="224"/>
        <v>0</v>
      </c>
      <c r="Q473" s="3">
        <f t="shared" si="238"/>
        <v>0</v>
      </c>
      <c r="R473" s="3">
        <f t="shared" si="226"/>
        <v>0</v>
      </c>
      <c r="S473" s="3">
        <f t="shared" si="209"/>
        <v>0</v>
      </c>
      <c r="T473" s="3">
        <f t="shared" si="211"/>
        <v>0</v>
      </c>
      <c r="U473" s="3">
        <f t="shared" si="225"/>
        <v>0</v>
      </c>
      <c r="V473" s="3">
        <f t="shared" si="212"/>
        <v>0</v>
      </c>
      <c r="W473" s="3">
        <f t="shared" si="215"/>
        <v>0</v>
      </c>
      <c r="X473" s="3">
        <f t="shared" si="216"/>
        <v>0</v>
      </c>
      <c r="Y473" s="3">
        <f t="shared" si="217"/>
        <v>0</v>
      </c>
      <c r="Z473" s="3">
        <f t="shared" si="228"/>
        <v>0</v>
      </c>
      <c r="AA473" s="3">
        <f t="shared" si="229"/>
        <v>0</v>
      </c>
      <c r="AB473" s="3" t="e">
        <f t="shared" si="230"/>
        <v>#DIV/0!</v>
      </c>
      <c r="AC473" s="3" t="str">
        <f t="shared" si="231"/>
        <v/>
      </c>
      <c r="AD473" s="3">
        <f t="shared" si="218"/>
        <v>0</v>
      </c>
      <c r="AE473" s="3">
        <f t="shared" si="213"/>
        <v>0</v>
      </c>
      <c r="AF473" s="3">
        <f t="shared" si="219"/>
        <v>0</v>
      </c>
      <c r="AG473" s="3" t="e">
        <f>AF473 / SUM(F$2:F473)</f>
        <v>#DIV/0!</v>
      </c>
      <c r="AH473" s="3" t="e">
        <f t="shared" si="220"/>
        <v>#DIV/0!</v>
      </c>
      <c r="AI473" s="3">
        <f t="shared" si="221"/>
        <v>0</v>
      </c>
      <c r="AJ473" s="3" t="e">
        <f t="shared" si="222"/>
        <v>#DIV/0!</v>
      </c>
      <c r="AK473" s="3" t="e">
        <f t="shared" si="237"/>
        <v>#DIV/0!</v>
      </c>
    </row>
    <row r="474" spans="1:37" x14ac:dyDescent="0.3">
      <c r="A474" s="24">
        <v>0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f t="shared" si="210"/>
        <v>0</v>
      </c>
      <c r="H474" s="3">
        <f t="shared" si="227"/>
        <v>0</v>
      </c>
      <c r="I474" s="3">
        <f t="shared" si="232"/>
        <v>0</v>
      </c>
      <c r="J474" s="3">
        <f t="shared" si="233"/>
        <v>0</v>
      </c>
      <c r="K474" s="3">
        <f t="shared" si="234"/>
        <v>0</v>
      </c>
      <c r="L474" s="3">
        <f t="shared" si="235"/>
        <v>0</v>
      </c>
      <c r="M474" s="3" t="e">
        <f t="shared" si="214"/>
        <v>#DIV/0!</v>
      </c>
      <c r="N474" s="3" t="e">
        <f t="shared" si="223"/>
        <v>#DIV/0!</v>
      </c>
      <c r="O474" s="3" t="e">
        <f t="shared" si="236"/>
        <v>#DIV/0!</v>
      </c>
      <c r="P474" s="3">
        <f t="shared" si="224"/>
        <v>0</v>
      </c>
      <c r="Q474" s="3">
        <f t="shared" si="238"/>
        <v>0</v>
      </c>
      <c r="R474" s="3">
        <f t="shared" si="226"/>
        <v>0</v>
      </c>
      <c r="S474" s="3">
        <f t="shared" si="209"/>
        <v>0</v>
      </c>
      <c r="T474" s="3">
        <f t="shared" si="211"/>
        <v>0</v>
      </c>
      <c r="U474" s="3">
        <f t="shared" si="225"/>
        <v>0</v>
      </c>
      <c r="V474" s="3">
        <f t="shared" si="212"/>
        <v>0</v>
      </c>
      <c r="W474" s="3">
        <f t="shared" si="215"/>
        <v>0</v>
      </c>
      <c r="X474" s="3">
        <f t="shared" si="216"/>
        <v>0</v>
      </c>
      <c r="Y474" s="3">
        <f t="shared" si="217"/>
        <v>0</v>
      </c>
      <c r="Z474" s="3">
        <f t="shared" si="228"/>
        <v>0</v>
      </c>
      <c r="AA474" s="3">
        <f t="shared" si="229"/>
        <v>0</v>
      </c>
      <c r="AB474" s="3" t="e">
        <f t="shared" si="230"/>
        <v>#DIV/0!</v>
      </c>
      <c r="AC474" s="3" t="str">
        <f t="shared" si="231"/>
        <v/>
      </c>
      <c r="AD474" s="3">
        <f t="shared" si="218"/>
        <v>0</v>
      </c>
      <c r="AE474" s="3">
        <f t="shared" si="213"/>
        <v>0</v>
      </c>
      <c r="AF474" s="3">
        <f t="shared" si="219"/>
        <v>0</v>
      </c>
      <c r="AG474" s="3" t="e">
        <f>AF474 / SUM(F$2:F474)</f>
        <v>#DIV/0!</v>
      </c>
      <c r="AH474" s="3" t="e">
        <f t="shared" si="220"/>
        <v>#DIV/0!</v>
      </c>
      <c r="AI474" s="3">
        <f t="shared" si="221"/>
        <v>0</v>
      </c>
      <c r="AJ474" s="3" t="e">
        <f t="shared" si="222"/>
        <v>#DIV/0!</v>
      </c>
      <c r="AK474" s="3" t="e">
        <f t="shared" si="237"/>
        <v>#DIV/0!</v>
      </c>
    </row>
    <row r="475" spans="1:37" x14ac:dyDescent="0.3">
      <c r="A475" s="24">
        <v>0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f t="shared" si="210"/>
        <v>0</v>
      </c>
      <c r="H475" s="3">
        <f t="shared" si="227"/>
        <v>0</v>
      </c>
      <c r="I475" s="3">
        <f t="shared" si="232"/>
        <v>0</v>
      </c>
      <c r="J475" s="3">
        <f t="shared" si="233"/>
        <v>0</v>
      </c>
      <c r="K475" s="3">
        <f t="shared" si="234"/>
        <v>0</v>
      </c>
      <c r="L475" s="3">
        <f t="shared" si="235"/>
        <v>0</v>
      </c>
      <c r="M475" s="3" t="e">
        <f t="shared" si="214"/>
        <v>#DIV/0!</v>
      </c>
      <c r="N475" s="3" t="e">
        <f t="shared" si="223"/>
        <v>#DIV/0!</v>
      </c>
      <c r="O475" s="3" t="e">
        <f t="shared" si="236"/>
        <v>#DIV/0!</v>
      </c>
      <c r="P475" s="3">
        <f t="shared" si="224"/>
        <v>0</v>
      </c>
      <c r="Q475" s="3">
        <f t="shared" si="238"/>
        <v>0</v>
      </c>
      <c r="R475" s="3">
        <f t="shared" si="226"/>
        <v>0</v>
      </c>
      <c r="S475" s="3">
        <f t="shared" si="209"/>
        <v>0</v>
      </c>
      <c r="T475" s="3">
        <f t="shared" si="211"/>
        <v>0</v>
      </c>
      <c r="U475" s="3">
        <f t="shared" si="225"/>
        <v>0</v>
      </c>
      <c r="V475" s="3">
        <f t="shared" si="212"/>
        <v>0</v>
      </c>
      <c r="W475" s="3">
        <f t="shared" si="215"/>
        <v>0</v>
      </c>
      <c r="X475" s="3">
        <f t="shared" si="216"/>
        <v>0</v>
      </c>
      <c r="Y475" s="3">
        <f t="shared" si="217"/>
        <v>0</v>
      </c>
      <c r="Z475" s="3">
        <f t="shared" si="228"/>
        <v>0</v>
      </c>
      <c r="AA475" s="3">
        <f t="shared" si="229"/>
        <v>0</v>
      </c>
      <c r="AB475" s="3" t="e">
        <f t="shared" si="230"/>
        <v>#DIV/0!</v>
      </c>
      <c r="AC475" s="3" t="str">
        <f t="shared" si="231"/>
        <v/>
      </c>
      <c r="AD475" s="3">
        <f t="shared" si="218"/>
        <v>0</v>
      </c>
      <c r="AE475" s="3">
        <f t="shared" si="213"/>
        <v>0</v>
      </c>
      <c r="AF475" s="3">
        <f t="shared" si="219"/>
        <v>0</v>
      </c>
      <c r="AG475" s="3" t="e">
        <f>AF475 / SUM(F$2:F475)</f>
        <v>#DIV/0!</v>
      </c>
      <c r="AH475" s="3" t="e">
        <f t="shared" si="220"/>
        <v>#DIV/0!</v>
      </c>
      <c r="AI475" s="3">
        <f t="shared" si="221"/>
        <v>0</v>
      </c>
      <c r="AJ475" s="3" t="e">
        <f t="shared" si="222"/>
        <v>#DIV/0!</v>
      </c>
      <c r="AK475" s="3" t="e">
        <f t="shared" si="237"/>
        <v>#DIV/0!</v>
      </c>
    </row>
    <row r="476" spans="1:37" x14ac:dyDescent="0.3">
      <c r="A476" s="24">
        <v>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f t="shared" si="210"/>
        <v>0</v>
      </c>
      <c r="H476" s="3">
        <f t="shared" si="227"/>
        <v>0</v>
      </c>
      <c r="I476" s="3">
        <f t="shared" si="232"/>
        <v>0</v>
      </c>
      <c r="J476" s="3">
        <f t="shared" si="233"/>
        <v>0</v>
      </c>
      <c r="K476" s="3">
        <f t="shared" si="234"/>
        <v>0</v>
      </c>
      <c r="L476" s="3">
        <f t="shared" si="235"/>
        <v>0</v>
      </c>
      <c r="M476" s="3" t="e">
        <f t="shared" si="214"/>
        <v>#DIV/0!</v>
      </c>
      <c r="N476" s="3" t="e">
        <f t="shared" si="223"/>
        <v>#DIV/0!</v>
      </c>
      <c r="O476" s="3" t="e">
        <f t="shared" si="236"/>
        <v>#DIV/0!</v>
      </c>
      <c r="P476" s="3">
        <f t="shared" si="224"/>
        <v>0</v>
      </c>
      <c r="Q476" s="3">
        <f t="shared" si="238"/>
        <v>0</v>
      </c>
      <c r="R476" s="3">
        <f t="shared" si="226"/>
        <v>0</v>
      </c>
      <c r="S476" s="3">
        <f t="shared" si="209"/>
        <v>0</v>
      </c>
      <c r="T476" s="3">
        <f t="shared" si="211"/>
        <v>0</v>
      </c>
      <c r="U476" s="3">
        <f t="shared" si="225"/>
        <v>0</v>
      </c>
      <c r="V476" s="3">
        <f t="shared" si="212"/>
        <v>0</v>
      </c>
      <c r="W476" s="3">
        <f t="shared" si="215"/>
        <v>0</v>
      </c>
      <c r="X476" s="3">
        <f t="shared" si="216"/>
        <v>0</v>
      </c>
      <c r="Y476" s="3">
        <f t="shared" si="217"/>
        <v>0</v>
      </c>
      <c r="Z476" s="3">
        <f t="shared" si="228"/>
        <v>0</v>
      </c>
      <c r="AA476" s="3">
        <f t="shared" si="229"/>
        <v>0</v>
      </c>
      <c r="AB476" s="3" t="e">
        <f t="shared" si="230"/>
        <v>#DIV/0!</v>
      </c>
      <c r="AC476" s="3" t="str">
        <f t="shared" si="231"/>
        <v/>
      </c>
      <c r="AD476" s="3">
        <f t="shared" si="218"/>
        <v>0</v>
      </c>
      <c r="AE476" s="3">
        <f t="shared" si="213"/>
        <v>0</v>
      </c>
      <c r="AF476" s="3">
        <f t="shared" si="219"/>
        <v>0</v>
      </c>
      <c r="AG476" s="3" t="e">
        <f>AF476 / SUM(F$2:F476)</f>
        <v>#DIV/0!</v>
      </c>
      <c r="AH476" s="3" t="e">
        <f t="shared" si="220"/>
        <v>#DIV/0!</v>
      </c>
      <c r="AI476" s="3">
        <f t="shared" si="221"/>
        <v>0</v>
      </c>
      <c r="AJ476" s="3" t="e">
        <f t="shared" si="222"/>
        <v>#DIV/0!</v>
      </c>
      <c r="AK476" s="3" t="e">
        <f t="shared" si="237"/>
        <v>#DIV/0!</v>
      </c>
    </row>
    <row r="477" spans="1:37" x14ac:dyDescent="0.3">
      <c r="A477" s="24">
        <v>0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f t="shared" si="210"/>
        <v>0</v>
      </c>
      <c r="H477" s="3">
        <f t="shared" si="227"/>
        <v>0</v>
      </c>
      <c r="I477" s="3">
        <f t="shared" si="232"/>
        <v>0</v>
      </c>
      <c r="J477" s="3">
        <f t="shared" si="233"/>
        <v>0</v>
      </c>
      <c r="K477" s="3">
        <f t="shared" si="234"/>
        <v>0</v>
      </c>
      <c r="L477" s="3">
        <f t="shared" si="235"/>
        <v>0</v>
      </c>
      <c r="M477" s="3" t="e">
        <f t="shared" si="214"/>
        <v>#DIV/0!</v>
      </c>
      <c r="N477" s="3" t="e">
        <f t="shared" si="223"/>
        <v>#DIV/0!</v>
      </c>
      <c r="O477" s="3" t="e">
        <f t="shared" si="236"/>
        <v>#DIV/0!</v>
      </c>
      <c r="P477" s="3">
        <f t="shared" si="224"/>
        <v>0</v>
      </c>
      <c r="Q477" s="3">
        <f t="shared" si="238"/>
        <v>0</v>
      </c>
      <c r="R477" s="3">
        <f t="shared" si="226"/>
        <v>0</v>
      </c>
      <c r="S477" s="3">
        <f t="shared" ref="S477:S501" si="239">E477*(2/(26+1)) + S476*(1-(2/(26+1)))</f>
        <v>0</v>
      </c>
      <c r="T477" s="3">
        <f t="shared" si="211"/>
        <v>0</v>
      </c>
      <c r="U477" s="3">
        <f t="shared" si="225"/>
        <v>0</v>
      </c>
      <c r="V477" s="3">
        <f t="shared" si="212"/>
        <v>0</v>
      </c>
      <c r="W477" s="3">
        <f t="shared" si="215"/>
        <v>0</v>
      </c>
      <c r="X477" s="3">
        <f t="shared" si="216"/>
        <v>0</v>
      </c>
      <c r="Y477" s="3">
        <f t="shared" si="217"/>
        <v>0</v>
      </c>
      <c r="Z477" s="3">
        <f t="shared" si="228"/>
        <v>0</v>
      </c>
      <c r="AA477" s="3">
        <f t="shared" si="229"/>
        <v>0</v>
      </c>
      <c r="AB477" s="3" t="e">
        <f t="shared" si="230"/>
        <v>#DIV/0!</v>
      </c>
      <c r="AC477" s="3" t="str">
        <f t="shared" si="231"/>
        <v/>
      </c>
      <c r="AD477" s="3">
        <f t="shared" si="218"/>
        <v>0</v>
      </c>
      <c r="AE477" s="3">
        <f t="shared" si="213"/>
        <v>0</v>
      </c>
      <c r="AF477" s="3">
        <f t="shared" si="219"/>
        <v>0</v>
      </c>
      <c r="AG477" s="3" t="e">
        <f>AF477 / SUM(F$2:F477)</f>
        <v>#DIV/0!</v>
      </c>
      <c r="AH477" s="3" t="e">
        <f t="shared" si="220"/>
        <v>#DIV/0!</v>
      </c>
      <c r="AI477" s="3">
        <f t="shared" si="221"/>
        <v>0</v>
      </c>
      <c r="AJ477" s="3" t="e">
        <f t="shared" si="222"/>
        <v>#DIV/0!</v>
      </c>
      <c r="AK477" s="3" t="e">
        <f t="shared" si="237"/>
        <v>#DIV/0!</v>
      </c>
    </row>
    <row r="478" spans="1:37" x14ac:dyDescent="0.3">
      <c r="A478" s="24">
        <v>0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f t="shared" si="210"/>
        <v>0</v>
      </c>
      <c r="H478" s="3">
        <f t="shared" si="227"/>
        <v>0</v>
      </c>
      <c r="I478" s="3">
        <f t="shared" si="232"/>
        <v>0</v>
      </c>
      <c r="J478" s="3">
        <f t="shared" si="233"/>
        <v>0</v>
      </c>
      <c r="K478" s="3">
        <f t="shared" si="234"/>
        <v>0</v>
      </c>
      <c r="L478" s="3">
        <f t="shared" si="235"/>
        <v>0</v>
      </c>
      <c r="M478" s="3" t="e">
        <f t="shared" si="214"/>
        <v>#DIV/0!</v>
      </c>
      <c r="N478" s="3" t="e">
        <f t="shared" si="223"/>
        <v>#DIV/0!</v>
      </c>
      <c r="O478" s="3" t="e">
        <f t="shared" si="236"/>
        <v>#DIV/0!</v>
      </c>
      <c r="P478" s="3">
        <f t="shared" si="224"/>
        <v>0</v>
      </c>
      <c r="Q478" s="3">
        <f t="shared" si="238"/>
        <v>0</v>
      </c>
      <c r="R478" s="3">
        <f t="shared" si="226"/>
        <v>0</v>
      </c>
      <c r="S478" s="3">
        <f t="shared" si="239"/>
        <v>0</v>
      </c>
      <c r="T478" s="3">
        <f t="shared" si="211"/>
        <v>0</v>
      </c>
      <c r="U478" s="3">
        <f t="shared" si="225"/>
        <v>0</v>
      </c>
      <c r="V478" s="3">
        <f t="shared" si="212"/>
        <v>0</v>
      </c>
      <c r="W478" s="3">
        <f t="shared" si="215"/>
        <v>0</v>
      </c>
      <c r="X478" s="3">
        <f t="shared" si="216"/>
        <v>0</v>
      </c>
      <c r="Y478" s="3">
        <f t="shared" si="217"/>
        <v>0</v>
      </c>
      <c r="Z478" s="3">
        <f t="shared" si="228"/>
        <v>0</v>
      </c>
      <c r="AA478" s="3">
        <f t="shared" si="229"/>
        <v>0</v>
      </c>
      <c r="AB478" s="3" t="e">
        <f t="shared" si="230"/>
        <v>#DIV/0!</v>
      </c>
      <c r="AC478" s="3" t="str">
        <f t="shared" si="231"/>
        <v/>
      </c>
      <c r="AD478" s="3">
        <f t="shared" si="218"/>
        <v>0</v>
      </c>
      <c r="AE478" s="3">
        <f t="shared" si="213"/>
        <v>0</v>
      </c>
      <c r="AF478" s="3">
        <f t="shared" si="219"/>
        <v>0</v>
      </c>
      <c r="AG478" s="3" t="e">
        <f>AF478 / SUM(F$2:F478)</f>
        <v>#DIV/0!</v>
      </c>
      <c r="AH478" s="3" t="e">
        <f t="shared" si="220"/>
        <v>#DIV/0!</v>
      </c>
      <c r="AI478" s="3">
        <f t="shared" si="221"/>
        <v>0</v>
      </c>
      <c r="AJ478" s="3" t="e">
        <f t="shared" si="222"/>
        <v>#DIV/0!</v>
      </c>
      <c r="AK478" s="3" t="e">
        <f t="shared" si="237"/>
        <v>#DIV/0!</v>
      </c>
    </row>
    <row r="479" spans="1:37" x14ac:dyDescent="0.3">
      <c r="A479" s="24">
        <v>0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f t="shared" si="210"/>
        <v>0</v>
      </c>
      <c r="H479" s="3">
        <f t="shared" si="227"/>
        <v>0</v>
      </c>
      <c r="I479" s="3">
        <f t="shared" si="232"/>
        <v>0</v>
      </c>
      <c r="J479" s="3">
        <f t="shared" si="233"/>
        <v>0</v>
      </c>
      <c r="K479" s="3">
        <f t="shared" si="234"/>
        <v>0</v>
      </c>
      <c r="L479" s="3">
        <f t="shared" si="235"/>
        <v>0</v>
      </c>
      <c r="M479" s="3" t="e">
        <f t="shared" si="214"/>
        <v>#DIV/0!</v>
      </c>
      <c r="N479" s="3" t="e">
        <f t="shared" si="223"/>
        <v>#DIV/0!</v>
      </c>
      <c r="O479" s="3" t="e">
        <f t="shared" si="236"/>
        <v>#DIV/0!</v>
      </c>
      <c r="P479" s="3">
        <f t="shared" si="224"/>
        <v>0</v>
      </c>
      <c r="Q479" s="3">
        <f t="shared" si="238"/>
        <v>0</v>
      </c>
      <c r="R479" s="3">
        <f t="shared" si="226"/>
        <v>0</v>
      </c>
      <c r="S479" s="3">
        <f t="shared" si="239"/>
        <v>0</v>
      </c>
      <c r="T479" s="3">
        <f t="shared" si="211"/>
        <v>0</v>
      </c>
      <c r="U479" s="3">
        <f t="shared" si="225"/>
        <v>0</v>
      </c>
      <c r="V479" s="3">
        <f t="shared" si="212"/>
        <v>0</v>
      </c>
      <c r="W479" s="3">
        <f t="shared" si="215"/>
        <v>0</v>
      </c>
      <c r="X479" s="3">
        <f t="shared" si="216"/>
        <v>0</v>
      </c>
      <c r="Y479" s="3">
        <f t="shared" si="217"/>
        <v>0</v>
      </c>
      <c r="Z479" s="3">
        <f t="shared" si="228"/>
        <v>0</v>
      </c>
      <c r="AA479" s="3">
        <f t="shared" si="229"/>
        <v>0</v>
      </c>
      <c r="AB479" s="3" t="e">
        <f t="shared" si="230"/>
        <v>#DIV/0!</v>
      </c>
      <c r="AC479" s="3" t="str">
        <f t="shared" si="231"/>
        <v/>
      </c>
      <c r="AD479" s="3">
        <f t="shared" si="218"/>
        <v>0</v>
      </c>
      <c r="AE479" s="3">
        <f t="shared" si="213"/>
        <v>0</v>
      </c>
      <c r="AF479" s="3">
        <f t="shared" si="219"/>
        <v>0</v>
      </c>
      <c r="AG479" s="3" t="e">
        <f>AF479 / SUM(F$2:F479)</f>
        <v>#DIV/0!</v>
      </c>
      <c r="AH479" s="3" t="e">
        <f t="shared" si="220"/>
        <v>#DIV/0!</v>
      </c>
      <c r="AI479" s="3">
        <f t="shared" si="221"/>
        <v>0</v>
      </c>
      <c r="AJ479" s="3" t="e">
        <f t="shared" si="222"/>
        <v>#DIV/0!</v>
      </c>
      <c r="AK479" s="3" t="e">
        <f t="shared" si="237"/>
        <v>#DIV/0!</v>
      </c>
    </row>
    <row r="480" spans="1:37" x14ac:dyDescent="0.3">
      <c r="A480" s="24">
        <v>0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f t="shared" si="210"/>
        <v>0</v>
      </c>
      <c r="H480" s="3">
        <f t="shared" si="227"/>
        <v>0</v>
      </c>
      <c r="I480" s="3">
        <f t="shared" si="232"/>
        <v>0</v>
      </c>
      <c r="J480" s="3">
        <f t="shared" si="233"/>
        <v>0</v>
      </c>
      <c r="K480" s="3">
        <f t="shared" si="234"/>
        <v>0</v>
      </c>
      <c r="L480" s="3">
        <f t="shared" si="235"/>
        <v>0</v>
      </c>
      <c r="M480" s="3" t="e">
        <f t="shared" si="214"/>
        <v>#DIV/0!</v>
      </c>
      <c r="N480" s="3" t="e">
        <f t="shared" si="223"/>
        <v>#DIV/0!</v>
      </c>
      <c r="O480" s="3" t="e">
        <f t="shared" si="236"/>
        <v>#DIV/0!</v>
      </c>
      <c r="P480" s="3">
        <f t="shared" si="224"/>
        <v>0</v>
      </c>
      <c r="Q480" s="3">
        <f t="shared" si="238"/>
        <v>0</v>
      </c>
      <c r="R480" s="3">
        <f t="shared" si="226"/>
        <v>0</v>
      </c>
      <c r="S480" s="3">
        <f t="shared" si="239"/>
        <v>0</v>
      </c>
      <c r="T480" s="3">
        <f t="shared" si="211"/>
        <v>0</v>
      </c>
      <c r="U480" s="3">
        <f t="shared" si="225"/>
        <v>0</v>
      </c>
      <c r="V480" s="3">
        <f t="shared" si="212"/>
        <v>0</v>
      </c>
      <c r="W480" s="3">
        <f t="shared" si="215"/>
        <v>0</v>
      </c>
      <c r="X480" s="3">
        <f t="shared" si="216"/>
        <v>0</v>
      </c>
      <c r="Y480" s="3">
        <f t="shared" si="217"/>
        <v>0</v>
      </c>
      <c r="Z480" s="3">
        <f t="shared" si="228"/>
        <v>0</v>
      </c>
      <c r="AA480" s="3">
        <f t="shared" si="229"/>
        <v>0</v>
      </c>
      <c r="AB480" s="3" t="e">
        <f t="shared" si="230"/>
        <v>#DIV/0!</v>
      </c>
      <c r="AC480" s="3" t="str">
        <f t="shared" si="231"/>
        <v/>
      </c>
      <c r="AD480" s="3">
        <f t="shared" si="218"/>
        <v>0</v>
      </c>
      <c r="AE480" s="3">
        <f t="shared" si="213"/>
        <v>0</v>
      </c>
      <c r="AF480" s="3">
        <f t="shared" si="219"/>
        <v>0</v>
      </c>
      <c r="AG480" s="3" t="e">
        <f>AF480 / SUM(F$2:F480)</f>
        <v>#DIV/0!</v>
      </c>
      <c r="AH480" s="3" t="e">
        <f t="shared" si="220"/>
        <v>#DIV/0!</v>
      </c>
      <c r="AI480" s="3">
        <f t="shared" si="221"/>
        <v>0</v>
      </c>
      <c r="AJ480" s="3" t="e">
        <f t="shared" si="222"/>
        <v>#DIV/0!</v>
      </c>
      <c r="AK480" s="3" t="e">
        <f t="shared" si="237"/>
        <v>#DIV/0!</v>
      </c>
    </row>
    <row r="481" spans="1:37" x14ac:dyDescent="0.3">
      <c r="A481" s="24">
        <v>0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f t="shared" si="210"/>
        <v>0</v>
      </c>
      <c r="H481" s="3">
        <f t="shared" si="227"/>
        <v>0</v>
      </c>
      <c r="I481" s="3">
        <f t="shared" si="232"/>
        <v>0</v>
      </c>
      <c r="J481" s="3">
        <f t="shared" si="233"/>
        <v>0</v>
      </c>
      <c r="K481" s="3">
        <f t="shared" si="234"/>
        <v>0</v>
      </c>
      <c r="L481" s="3">
        <f t="shared" si="235"/>
        <v>0</v>
      </c>
      <c r="M481" s="3" t="e">
        <f t="shared" si="214"/>
        <v>#DIV/0!</v>
      </c>
      <c r="N481" s="3" t="e">
        <f t="shared" si="223"/>
        <v>#DIV/0!</v>
      </c>
      <c r="O481" s="3" t="e">
        <f t="shared" si="236"/>
        <v>#DIV/0!</v>
      </c>
      <c r="P481" s="3">
        <f t="shared" si="224"/>
        <v>0</v>
      </c>
      <c r="Q481" s="3">
        <f t="shared" si="238"/>
        <v>0</v>
      </c>
      <c r="R481" s="3">
        <f t="shared" si="226"/>
        <v>0</v>
      </c>
      <c r="S481" s="3">
        <f t="shared" si="239"/>
        <v>0</v>
      </c>
      <c r="T481" s="3">
        <f t="shared" si="211"/>
        <v>0</v>
      </c>
      <c r="U481" s="3">
        <f t="shared" si="225"/>
        <v>0</v>
      </c>
      <c r="V481" s="3">
        <f t="shared" si="212"/>
        <v>0</v>
      </c>
      <c r="W481" s="3">
        <f t="shared" si="215"/>
        <v>0</v>
      </c>
      <c r="X481" s="3">
        <f t="shared" si="216"/>
        <v>0</v>
      </c>
      <c r="Y481" s="3">
        <f t="shared" si="217"/>
        <v>0</v>
      </c>
      <c r="Z481" s="3">
        <f t="shared" si="228"/>
        <v>0</v>
      </c>
      <c r="AA481" s="3">
        <f t="shared" si="229"/>
        <v>0</v>
      </c>
      <c r="AB481" s="3" t="e">
        <f t="shared" si="230"/>
        <v>#DIV/0!</v>
      </c>
      <c r="AC481" s="3" t="str">
        <f t="shared" si="231"/>
        <v/>
      </c>
      <c r="AD481" s="3">
        <f t="shared" si="218"/>
        <v>0</v>
      </c>
      <c r="AE481" s="3">
        <f t="shared" si="213"/>
        <v>0</v>
      </c>
      <c r="AF481" s="3">
        <f t="shared" si="219"/>
        <v>0</v>
      </c>
      <c r="AG481" s="3" t="e">
        <f>AF481 / SUM(F$2:F481)</f>
        <v>#DIV/0!</v>
      </c>
      <c r="AH481" s="3" t="e">
        <f t="shared" si="220"/>
        <v>#DIV/0!</v>
      </c>
      <c r="AI481" s="3">
        <f t="shared" si="221"/>
        <v>0</v>
      </c>
      <c r="AJ481" s="3" t="e">
        <f t="shared" si="222"/>
        <v>#DIV/0!</v>
      </c>
      <c r="AK481" s="3" t="e">
        <f t="shared" si="237"/>
        <v>#DIV/0!</v>
      </c>
    </row>
    <row r="482" spans="1:37" x14ac:dyDescent="0.3">
      <c r="A482" s="24">
        <v>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f t="shared" si="210"/>
        <v>0</v>
      </c>
      <c r="H482" s="3">
        <f t="shared" si="227"/>
        <v>0</v>
      </c>
      <c r="I482" s="3">
        <f t="shared" si="232"/>
        <v>0</v>
      </c>
      <c r="J482" s="3">
        <f t="shared" si="233"/>
        <v>0</v>
      </c>
      <c r="K482" s="3">
        <f t="shared" si="234"/>
        <v>0</v>
      </c>
      <c r="L482" s="3">
        <f t="shared" si="235"/>
        <v>0</v>
      </c>
      <c r="M482" s="3" t="e">
        <f t="shared" si="214"/>
        <v>#DIV/0!</v>
      </c>
      <c r="N482" s="3" t="e">
        <f t="shared" si="223"/>
        <v>#DIV/0!</v>
      </c>
      <c r="O482" s="3" t="e">
        <f t="shared" si="236"/>
        <v>#DIV/0!</v>
      </c>
      <c r="P482" s="3">
        <f t="shared" si="224"/>
        <v>0</v>
      </c>
      <c r="Q482" s="3">
        <f t="shared" si="238"/>
        <v>0</v>
      </c>
      <c r="R482" s="3">
        <f t="shared" si="226"/>
        <v>0</v>
      </c>
      <c r="S482" s="3">
        <f t="shared" si="239"/>
        <v>0</v>
      </c>
      <c r="T482" s="3">
        <f t="shared" si="211"/>
        <v>0</v>
      </c>
      <c r="U482" s="3">
        <f t="shared" si="225"/>
        <v>0</v>
      </c>
      <c r="V482" s="3">
        <f t="shared" si="212"/>
        <v>0</v>
      </c>
      <c r="W482" s="3">
        <f t="shared" si="215"/>
        <v>0</v>
      </c>
      <c r="X482" s="3">
        <f t="shared" si="216"/>
        <v>0</v>
      </c>
      <c r="Y482" s="3">
        <f t="shared" si="217"/>
        <v>0</v>
      </c>
      <c r="Z482" s="3">
        <f t="shared" si="228"/>
        <v>0</v>
      </c>
      <c r="AA482" s="3">
        <f t="shared" si="229"/>
        <v>0</v>
      </c>
      <c r="AB482" s="3" t="e">
        <f t="shared" si="230"/>
        <v>#DIV/0!</v>
      </c>
      <c r="AC482" s="3" t="str">
        <f t="shared" si="231"/>
        <v/>
      </c>
      <c r="AD482" s="3">
        <f t="shared" si="218"/>
        <v>0</v>
      </c>
      <c r="AE482" s="3">
        <f t="shared" si="213"/>
        <v>0</v>
      </c>
      <c r="AF482" s="3">
        <f t="shared" si="219"/>
        <v>0</v>
      </c>
      <c r="AG482" s="3" t="e">
        <f>AF482 / SUM(F$2:F482)</f>
        <v>#DIV/0!</v>
      </c>
      <c r="AH482" s="3" t="e">
        <f t="shared" si="220"/>
        <v>#DIV/0!</v>
      </c>
      <c r="AI482" s="3">
        <f t="shared" si="221"/>
        <v>0</v>
      </c>
      <c r="AJ482" s="3" t="e">
        <f t="shared" si="222"/>
        <v>#DIV/0!</v>
      </c>
      <c r="AK482" s="3" t="e">
        <f t="shared" si="237"/>
        <v>#DIV/0!</v>
      </c>
    </row>
    <row r="483" spans="1:37" x14ac:dyDescent="0.3">
      <c r="A483" s="24">
        <v>0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f t="shared" si="210"/>
        <v>0</v>
      </c>
      <c r="H483" s="3">
        <f t="shared" si="227"/>
        <v>0</v>
      </c>
      <c r="I483" s="3">
        <f t="shared" si="232"/>
        <v>0</v>
      </c>
      <c r="J483" s="3">
        <f t="shared" si="233"/>
        <v>0</v>
      </c>
      <c r="K483" s="3">
        <f t="shared" si="234"/>
        <v>0</v>
      </c>
      <c r="L483" s="3">
        <f t="shared" si="235"/>
        <v>0</v>
      </c>
      <c r="M483" s="3" t="e">
        <f t="shared" si="214"/>
        <v>#DIV/0!</v>
      </c>
      <c r="N483" s="3" t="e">
        <f t="shared" si="223"/>
        <v>#DIV/0!</v>
      </c>
      <c r="O483" s="3" t="e">
        <f t="shared" si="236"/>
        <v>#DIV/0!</v>
      </c>
      <c r="P483" s="3">
        <f t="shared" si="224"/>
        <v>0</v>
      </c>
      <c r="Q483" s="3">
        <f t="shared" si="238"/>
        <v>0</v>
      </c>
      <c r="R483" s="3">
        <f t="shared" si="226"/>
        <v>0</v>
      </c>
      <c r="S483" s="3">
        <f t="shared" si="239"/>
        <v>0</v>
      </c>
      <c r="T483" s="3">
        <f t="shared" si="211"/>
        <v>0</v>
      </c>
      <c r="U483" s="3">
        <f t="shared" si="225"/>
        <v>0</v>
      </c>
      <c r="V483" s="3">
        <f t="shared" si="212"/>
        <v>0</v>
      </c>
      <c r="W483" s="3">
        <f t="shared" si="215"/>
        <v>0</v>
      </c>
      <c r="X483" s="3">
        <f t="shared" si="216"/>
        <v>0</v>
      </c>
      <c r="Y483" s="3">
        <f t="shared" si="217"/>
        <v>0</v>
      </c>
      <c r="Z483" s="3">
        <f t="shared" si="228"/>
        <v>0</v>
      </c>
      <c r="AA483" s="3">
        <f t="shared" si="229"/>
        <v>0</v>
      </c>
      <c r="AB483" s="3" t="e">
        <f t="shared" si="230"/>
        <v>#DIV/0!</v>
      </c>
      <c r="AC483" s="3" t="str">
        <f t="shared" si="231"/>
        <v/>
      </c>
      <c r="AD483" s="3">
        <f t="shared" si="218"/>
        <v>0</v>
      </c>
      <c r="AE483" s="3">
        <f t="shared" si="213"/>
        <v>0</v>
      </c>
      <c r="AF483" s="3">
        <f t="shared" si="219"/>
        <v>0</v>
      </c>
      <c r="AG483" s="3" t="e">
        <f>AF483 / SUM(F$2:F483)</f>
        <v>#DIV/0!</v>
      </c>
      <c r="AH483" s="3" t="e">
        <f t="shared" si="220"/>
        <v>#DIV/0!</v>
      </c>
      <c r="AI483" s="3">
        <f t="shared" si="221"/>
        <v>0</v>
      </c>
      <c r="AJ483" s="3" t="e">
        <f t="shared" si="222"/>
        <v>#DIV/0!</v>
      </c>
      <c r="AK483" s="3" t="e">
        <f t="shared" si="237"/>
        <v>#DIV/0!</v>
      </c>
    </row>
    <row r="484" spans="1:37" x14ac:dyDescent="0.3">
      <c r="A484" s="24">
        <v>0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f t="shared" si="210"/>
        <v>0</v>
      </c>
      <c r="H484" s="3">
        <f t="shared" si="227"/>
        <v>0</v>
      </c>
      <c r="I484" s="3">
        <f t="shared" si="232"/>
        <v>0</v>
      </c>
      <c r="J484" s="3">
        <f t="shared" si="233"/>
        <v>0</v>
      </c>
      <c r="K484" s="3">
        <f t="shared" si="234"/>
        <v>0</v>
      </c>
      <c r="L484" s="3">
        <f t="shared" si="235"/>
        <v>0</v>
      </c>
      <c r="M484" s="3" t="e">
        <f t="shared" si="214"/>
        <v>#DIV/0!</v>
      </c>
      <c r="N484" s="3" t="e">
        <f t="shared" si="223"/>
        <v>#DIV/0!</v>
      </c>
      <c r="O484" s="3" t="e">
        <f t="shared" si="236"/>
        <v>#DIV/0!</v>
      </c>
      <c r="P484" s="3">
        <f t="shared" si="224"/>
        <v>0</v>
      </c>
      <c r="Q484" s="3">
        <f t="shared" si="238"/>
        <v>0</v>
      </c>
      <c r="R484" s="3">
        <f t="shared" si="226"/>
        <v>0</v>
      </c>
      <c r="S484" s="3">
        <f t="shared" si="239"/>
        <v>0</v>
      </c>
      <c r="T484" s="3">
        <f t="shared" si="211"/>
        <v>0</v>
      </c>
      <c r="U484" s="3">
        <f t="shared" si="225"/>
        <v>0</v>
      </c>
      <c r="V484" s="3">
        <f t="shared" si="212"/>
        <v>0</v>
      </c>
      <c r="W484" s="3">
        <f t="shared" si="215"/>
        <v>0</v>
      </c>
      <c r="X484" s="3">
        <f t="shared" si="216"/>
        <v>0</v>
      </c>
      <c r="Y484" s="3">
        <f t="shared" si="217"/>
        <v>0</v>
      </c>
      <c r="Z484" s="3">
        <f t="shared" si="228"/>
        <v>0</v>
      </c>
      <c r="AA484" s="3">
        <f t="shared" si="229"/>
        <v>0</v>
      </c>
      <c r="AB484" s="3" t="e">
        <f t="shared" si="230"/>
        <v>#DIV/0!</v>
      </c>
      <c r="AC484" s="3" t="str">
        <f t="shared" si="231"/>
        <v/>
      </c>
      <c r="AD484" s="3">
        <f t="shared" si="218"/>
        <v>0</v>
      </c>
      <c r="AE484" s="3">
        <f t="shared" si="213"/>
        <v>0</v>
      </c>
      <c r="AF484" s="3">
        <f t="shared" si="219"/>
        <v>0</v>
      </c>
      <c r="AG484" s="3" t="e">
        <f>AF484 / SUM(F$2:F484)</f>
        <v>#DIV/0!</v>
      </c>
      <c r="AH484" s="3" t="e">
        <f t="shared" si="220"/>
        <v>#DIV/0!</v>
      </c>
      <c r="AI484" s="3">
        <f t="shared" si="221"/>
        <v>0</v>
      </c>
      <c r="AJ484" s="3" t="e">
        <f t="shared" si="222"/>
        <v>#DIV/0!</v>
      </c>
      <c r="AK484" s="3" t="e">
        <f t="shared" si="237"/>
        <v>#DIV/0!</v>
      </c>
    </row>
    <row r="485" spans="1:37" x14ac:dyDescent="0.3">
      <c r="A485" s="24">
        <v>0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f t="shared" si="210"/>
        <v>0</v>
      </c>
      <c r="H485" s="3">
        <f t="shared" si="227"/>
        <v>0</v>
      </c>
      <c r="I485" s="3">
        <f t="shared" si="232"/>
        <v>0</v>
      </c>
      <c r="J485" s="3">
        <f t="shared" si="233"/>
        <v>0</v>
      </c>
      <c r="K485" s="3">
        <f t="shared" si="234"/>
        <v>0</v>
      </c>
      <c r="L485" s="3">
        <f t="shared" si="235"/>
        <v>0</v>
      </c>
      <c r="M485" s="3" t="e">
        <f t="shared" si="214"/>
        <v>#DIV/0!</v>
      </c>
      <c r="N485" s="3" t="e">
        <f t="shared" si="223"/>
        <v>#DIV/0!</v>
      </c>
      <c r="O485" s="3" t="e">
        <f t="shared" si="236"/>
        <v>#DIV/0!</v>
      </c>
      <c r="P485" s="3">
        <f t="shared" si="224"/>
        <v>0</v>
      </c>
      <c r="Q485" s="3">
        <f t="shared" si="238"/>
        <v>0</v>
      </c>
      <c r="R485" s="3">
        <f t="shared" si="226"/>
        <v>0</v>
      </c>
      <c r="S485" s="3">
        <f t="shared" si="239"/>
        <v>0</v>
      </c>
      <c r="T485" s="3">
        <f t="shared" si="211"/>
        <v>0</v>
      </c>
      <c r="U485" s="3">
        <f t="shared" si="225"/>
        <v>0</v>
      </c>
      <c r="V485" s="3">
        <f t="shared" si="212"/>
        <v>0</v>
      </c>
      <c r="W485" s="3">
        <f t="shared" si="215"/>
        <v>0</v>
      </c>
      <c r="X485" s="3">
        <f t="shared" si="216"/>
        <v>0</v>
      </c>
      <c r="Y485" s="3">
        <f t="shared" si="217"/>
        <v>0</v>
      </c>
      <c r="Z485" s="3">
        <f t="shared" si="228"/>
        <v>0</v>
      </c>
      <c r="AA485" s="3">
        <f t="shared" si="229"/>
        <v>0</v>
      </c>
      <c r="AB485" s="3" t="e">
        <f t="shared" si="230"/>
        <v>#DIV/0!</v>
      </c>
      <c r="AC485" s="3" t="str">
        <f t="shared" si="231"/>
        <v/>
      </c>
      <c r="AD485" s="3">
        <f t="shared" si="218"/>
        <v>0</v>
      </c>
      <c r="AE485" s="3">
        <f t="shared" si="213"/>
        <v>0</v>
      </c>
      <c r="AF485" s="3">
        <f t="shared" si="219"/>
        <v>0</v>
      </c>
      <c r="AG485" s="3" t="e">
        <f>AF485 / SUM(F$2:F485)</f>
        <v>#DIV/0!</v>
      </c>
      <c r="AH485" s="3" t="e">
        <f t="shared" si="220"/>
        <v>#DIV/0!</v>
      </c>
      <c r="AI485" s="3">
        <f t="shared" si="221"/>
        <v>0</v>
      </c>
      <c r="AJ485" s="3" t="e">
        <f t="shared" si="222"/>
        <v>#DIV/0!</v>
      </c>
      <c r="AK485" s="3" t="e">
        <f t="shared" si="237"/>
        <v>#DIV/0!</v>
      </c>
    </row>
    <row r="486" spans="1:37" x14ac:dyDescent="0.3">
      <c r="A486" s="24">
        <v>0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f t="shared" si="210"/>
        <v>0</v>
      </c>
      <c r="H486" s="3">
        <f t="shared" si="227"/>
        <v>0</v>
      </c>
      <c r="I486" s="3">
        <f t="shared" si="232"/>
        <v>0</v>
      </c>
      <c r="J486" s="3">
        <f t="shared" si="233"/>
        <v>0</v>
      </c>
      <c r="K486" s="3">
        <f t="shared" si="234"/>
        <v>0</v>
      </c>
      <c r="L486" s="3">
        <f t="shared" si="235"/>
        <v>0</v>
      </c>
      <c r="M486" s="3" t="e">
        <f t="shared" si="214"/>
        <v>#DIV/0!</v>
      </c>
      <c r="N486" s="3" t="e">
        <f t="shared" si="223"/>
        <v>#DIV/0!</v>
      </c>
      <c r="O486" s="3" t="e">
        <f t="shared" si="236"/>
        <v>#DIV/0!</v>
      </c>
      <c r="P486" s="3">
        <f t="shared" si="224"/>
        <v>0</v>
      </c>
      <c r="Q486" s="3">
        <f t="shared" si="238"/>
        <v>0</v>
      </c>
      <c r="R486" s="3">
        <f t="shared" si="226"/>
        <v>0</v>
      </c>
      <c r="S486" s="3">
        <f t="shared" si="239"/>
        <v>0</v>
      </c>
      <c r="T486" s="3">
        <f t="shared" si="211"/>
        <v>0</v>
      </c>
      <c r="U486" s="3">
        <f t="shared" si="225"/>
        <v>0</v>
      </c>
      <c r="V486" s="3">
        <f t="shared" si="212"/>
        <v>0</v>
      </c>
      <c r="W486" s="3">
        <f t="shared" si="215"/>
        <v>0</v>
      </c>
      <c r="X486" s="3">
        <f t="shared" si="216"/>
        <v>0</v>
      </c>
      <c r="Y486" s="3">
        <f t="shared" si="217"/>
        <v>0</v>
      </c>
      <c r="Z486" s="3">
        <f t="shared" si="228"/>
        <v>0</v>
      </c>
      <c r="AA486" s="3">
        <f t="shared" si="229"/>
        <v>0</v>
      </c>
      <c r="AB486" s="3" t="e">
        <f t="shared" si="230"/>
        <v>#DIV/0!</v>
      </c>
      <c r="AC486" s="3" t="str">
        <f t="shared" si="231"/>
        <v/>
      </c>
      <c r="AD486" s="3">
        <f t="shared" si="218"/>
        <v>0</v>
      </c>
      <c r="AE486" s="3">
        <f t="shared" si="213"/>
        <v>0</v>
      </c>
      <c r="AF486" s="3">
        <f t="shared" si="219"/>
        <v>0</v>
      </c>
      <c r="AG486" s="3" t="e">
        <f>AF486 / SUM(F$2:F486)</f>
        <v>#DIV/0!</v>
      </c>
      <c r="AH486" s="3" t="e">
        <f t="shared" si="220"/>
        <v>#DIV/0!</v>
      </c>
      <c r="AI486" s="3">
        <f t="shared" si="221"/>
        <v>0</v>
      </c>
      <c r="AJ486" s="3" t="e">
        <f t="shared" si="222"/>
        <v>#DIV/0!</v>
      </c>
      <c r="AK486" s="3" t="e">
        <f t="shared" si="237"/>
        <v>#DIV/0!</v>
      </c>
    </row>
    <row r="487" spans="1:37" x14ac:dyDescent="0.3">
      <c r="A487" s="24">
        <v>0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f t="shared" si="210"/>
        <v>0</v>
      </c>
      <c r="H487" s="3">
        <f t="shared" si="227"/>
        <v>0</v>
      </c>
      <c r="I487" s="3">
        <f t="shared" si="232"/>
        <v>0</v>
      </c>
      <c r="J487" s="3">
        <f t="shared" si="233"/>
        <v>0</v>
      </c>
      <c r="K487" s="3">
        <f t="shared" si="234"/>
        <v>0</v>
      </c>
      <c r="L487" s="3">
        <f t="shared" si="235"/>
        <v>0</v>
      </c>
      <c r="M487" s="3" t="e">
        <f t="shared" si="214"/>
        <v>#DIV/0!</v>
      </c>
      <c r="N487" s="3" t="e">
        <f t="shared" si="223"/>
        <v>#DIV/0!</v>
      </c>
      <c r="O487" s="3" t="e">
        <f t="shared" si="236"/>
        <v>#DIV/0!</v>
      </c>
      <c r="P487" s="3">
        <f t="shared" si="224"/>
        <v>0</v>
      </c>
      <c r="Q487" s="3">
        <f t="shared" si="238"/>
        <v>0</v>
      </c>
      <c r="R487" s="3">
        <f t="shared" si="226"/>
        <v>0</v>
      </c>
      <c r="S487" s="3">
        <f t="shared" si="239"/>
        <v>0</v>
      </c>
      <c r="T487" s="3">
        <f t="shared" si="211"/>
        <v>0</v>
      </c>
      <c r="U487" s="3">
        <f t="shared" si="225"/>
        <v>0</v>
      </c>
      <c r="V487" s="3">
        <f t="shared" si="212"/>
        <v>0</v>
      </c>
      <c r="W487" s="3">
        <f t="shared" si="215"/>
        <v>0</v>
      </c>
      <c r="X487" s="3">
        <f t="shared" si="216"/>
        <v>0</v>
      </c>
      <c r="Y487" s="3">
        <f t="shared" si="217"/>
        <v>0</v>
      </c>
      <c r="Z487" s="3">
        <f t="shared" si="228"/>
        <v>0</v>
      </c>
      <c r="AA487" s="3">
        <f t="shared" si="229"/>
        <v>0</v>
      </c>
      <c r="AB487" s="3" t="e">
        <f t="shared" si="230"/>
        <v>#DIV/0!</v>
      </c>
      <c r="AC487" s="3" t="str">
        <f t="shared" si="231"/>
        <v/>
      </c>
      <c r="AD487" s="3">
        <f t="shared" si="218"/>
        <v>0</v>
      </c>
      <c r="AE487" s="3">
        <f t="shared" si="213"/>
        <v>0</v>
      </c>
      <c r="AF487" s="3">
        <f t="shared" si="219"/>
        <v>0</v>
      </c>
      <c r="AG487" s="3" t="e">
        <f>AF487 / SUM(F$2:F487)</f>
        <v>#DIV/0!</v>
      </c>
      <c r="AH487" s="3" t="e">
        <f t="shared" si="220"/>
        <v>#DIV/0!</v>
      </c>
      <c r="AI487" s="3">
        <f t="shared" si="221"/>
        <v>0</v>
      </c>
      <c r="AJ487" s="3" t="e">
        <f t="shared" si="222"/>
        <v>#DIV/0!</v>
      </c>
      <c r="AK487" s="3" t="e">
        <f t="shared" si="237"/>
        <v>#DIV/0!</v>
      </c>
    </row>
    <row r="488" spans="1:37" x14ac:dyDescent="0.3">
      <c r="A488" s="24">
        <v>0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f t="shared" si="210"/>
        <v>0</v>
      </c>
      <c r="H488" s="3">
        <f t="shared" si="227"/>
        <v>0</v>
      </c>
      <c r="I488" s="3">
        <f t="shared" si="232"/>
        <v>0</v>
      </c>
      <c r="J488" s="3">
        <f t="shared" si="233"/>
        <v>0</v>
      </c>
      <c r="K488" s="3">
        <f t="shared" si="234"/>
        <v>0</v>
      </c>
      <c r="L488" s="3">
        <f t="shared" si="235"/>
        <v>0</v>
      </c>
      <c r="M488" s="3" t="e">
        <f t="shared" si="214"/>
        <v>#DIV/0!</v>
      </c>
      <c r="N488" s="3" t="e">
        <f t="shared" si="223"/>
        <v>#DIV/0!</v>
      </c>
      <c r="O488" s="3" t="e">
        <f t="shared" si="236"/>
        <v>#DIV/0!</v>
      </c>
      <c r="P488" s="3">
        <f t="shared" si="224"/>
        <v>0</v>
      </c>
      <c r="Q488" s="3">
        <f t="shared" si="238"/>
        <v>0</v>
      </c>
      <c r="R488" s="3">
        <f t="shared" si="226"/>
        <v>0</v>
      </c>
      <c r="S488" s="3">
        <f t="shared" si="239"/>
        <v>0</v>
      </c>
      <c r="T488" s="3">
        <f t="shared" si="211"/>
        <v>0</v>
      </c>
      <c r="U488" s="3">
        <f t="shared" si="225"/>
        <v>0</v>
      </c>
      <c r="V488" s="3">
        <f t="shared" si="212"/>
        <v>0</v>
      </c>
      <c r="W488" s="3">
        <f t="shared" si="215"/>
        <v>0</v>
      </c>
      <c r="X488" s="3">
        <f t="shared" si="216"/>
        <v>0</v>
      </c>
      <c r="Y488" s="3">
        <f t="shared" si="217"/>
        <v>0</v>
      </c>
      <c r="Z488" s="3">
        <f t="shared" si="228"/>
        <v>0</v>
      </c>
      <c r="AA488" s="3">
        <f t="shared" si="229"/>
        <v>0</v>
      </c>
      <c r="AB488" s="3" t="e">
        <f t="shared" si="230"/>
        <v>#DIV/0!</v>
      </c>
      <c r="AC488" s="3" t="str">
        <f t="shared" si="231"/>
        <v/>
      </c>
      <c r="AD488" s="3">
        <f t="shared" si="218"/>
        <v>0</v>
      </c>
      <c r="AE488" s="3">
        <f t="shared" si="213"/>
        <v>0</v>
      </c>
      <c r="AF488" s="3">
        <f t="shared" si="219"/>
        <v>0</v>
      </c>
      <c r="AG488" s="3" t="e">
        <f>AF488 / SUM(F$2:F488)</f>
        <v>#DIV/0!</v>
      </c>
      <c r="AH488" s="3" t="e">
        <f t="shared" si="220"/>
        <v>#DIV/0!</v>
      </c>
      <c r="AI488" s="3">
        <f t="shared" si="221"/>
        <v>0</v>
      </c>
      <c r="AJ488" s="3" t="e">
        <f t="shared" si="222"/>
        <v>#DIV/0!</v>
      </c>
      <c r="AK488" s="3" t="e">
        <f t="shared" si="237"/>
        <v>#DIV/0!</v>
      </c>
    </row>
    <row r="489" spans="1:37" x14ac:dyDescent="0.3">
      <c r="A489" s="24">
        <v>0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f t="shared" si="210"/>
        <v>0</v>
      </c>
      <c r="H489" s="3">
        <f t="shared" si="227"/>
        <v>0</v>
      </c>
      <c r="I489" s="3">
        <f t="shared" si="232"/>
        <v>0</v>
      </c>
      <c r="J489" s="3">
        <f t="shared" si="233"/>
        <v>0</v>
      </c>
      <c r="K489" s="3">
        <f t="shared" si="234"/>
        <v>0</v>
      </c>
      <c r="L489" s="3">
        <f t="shared" si="235"/>
        <v>0</v>
      </c>
      <c r="M489" s="3" t="e">
        <f t="shared" si="214"/>
        <v>#DIV/0!</v>
      </c>
      <c r="N489" s="3" t="e">
        <f t="shared" si="223"/>
        <v>#DIV/0!</v>
      </c>
      <c r="O489" s="3" t="e">
        <f t="shared" si="236"/>
        <v>#DIV/0!</v>
      </c>
      <c r="P489" s="3">
        <f t="shared" si="224"/>
        <v>0</v>
      </c>
      <c r="Q489" s="3">
        <f t="shared" si="238"/>
        <v>0</v>
      </c>
      <c r="R489" s="3">
        <f t="shared" si="226"/>
        <v>0</v>
      </c>
      <c r="S489" s="3">
        <f t="shared" si="239"/>
        <v>0</v>
      </c>
      <c r="T489" s="3">
        <f t="shared" si="211"/>
        <v>0</v>
      </c>
      <c r="U489" s="3">
        <f t="shared" si="225"/>
        <v>0</v>
      </c>
      <c r="V489" s="3">
        <f t="shared" si="212"/>
        <v>0</v>
      </c>
      <c r="W489" s="3">
        <f t="shared" si="215"/>
        <v>0</v>
      </c>
      <c r="X489" s="3">
        <f t="shared" si="216"/>
        <v>0</v>
      </c>
      <c r="Y489" s="3">
        <f t="shared" si="217"/>
        <v>0</v>
      </c>
      <c r="Z489" s="3">
        <f t="shared" si="228"/>
        <v>0</v>
      </c>
      <c r="AA489" s="3">
        <f t="shared" si="229"/>
        <v>0</v>
      </c>
      <c r="AB489" s="3" t="e">
        <f t="shared" si="230"/>
        <v>#DIV/0!</v>
      </c>
      <c r="AC489" s="3" t="str">
        <f t="shared" si="231"/>
        <v/>
      </c>
      <c r="AD489" s="3">
        <f t="shared" si="218"/>
        <v>0</v>
      </c>
      <c r="AE489" s="3">
        <f t="shared" si="213"/>
        <v>0</v>
      </c>
      <c r="AF489" s="3">
        <f t="shared" si="219"/>
        <v>0</v>
      </c>
      <c r="AG489" s="3" t="e">
        <f>AF489 / SUM(F$2:F489)</f>
        <v>#DIV/0!</v>
      </c>
      <c r="AH489" s="3" t="e">
        <f t="shared" si="220"/>
        <v>#DIV/0!</v>
      </c>
      <c r="AI489" s="3">
        <f t="shared" si="221"/>
        <v>0</v>
      </c>
      <c r="AJ489" s="3" t="e">
        <f t="shared" si="222"/>
        <v>#DIV/0!</v>
      </c>
      <c r="AK489" s="3" t="e">
        <f t="shared" si="237"/>
        <v>#DIV/0!</v>
      </c>
    </row>
    <row r="490" spans="1:37" x14ac:dyDescent="0.3">
      <c r="A490" s="24">
        <v>0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f t="shared" si="210"/>
        <v>0</v>
      </c>
      <c r="H490" s="3">
        <f t="shared" si="227"/>
        <v>0</v>
      </c>
      <c r="I490" s="3">
        <f t="shared" si="232"/>
        <v>0</v>
      </c>
      <c r="J490" s="3">
        <f t="shared" si="233"/>
        <v>0</v>
      </c>
      <c r="K490" s="3">
        <f t="shared" si="234"/>
        <v>0</v>
      </c>
      <c r="L490" s="3">
        <f t="shared" si="235"/>
        <v>0</v>
      </c>
      <c r="M490" s="3" t="e">
        <f t="shared" si="214"/>
        <v>#DIV/0!</v>
      </c>
      <c r="N490" s="3" t="e">
        <f t="shared" si="223"/>
        <v>#DIV/0!</v>
      </c>
      <c r="O490" s="3" t="e">
        <f t="shared" si="236"/>
        <v>#DIV/0!</v>
      </c>
      <c r="P490" s="3">
        <f t="shared" si="224"/>
        <v>0</v>
      </c>
      <c r="Q490" s="3">
        <f t="shared" si="238"/>
        <v>0</v>
      </c>
      <c r="R490" s="3">
        <f t="shared" si="226"/>
        <v>0</v>
      </c>
      <c r="S490" s="3">
        <f t="shared" si="239"/>
        <v>0</v>
      </c>
      <c r="T490" s="3">
        <f t="shared" si="211"/>
        <v>0</v>
      </c>
      <c r="U490" s="3">
        <f t="shared" si="225"/>
        <v>0</v>
      </c>
      <c r="V490" s="3">
        <f t="shared" si="212"/>
        <v>0</v>
      </c>
      <c r="W490" s="3">
        <f t="shared" si="215"/>
        <v>0</v>
      </c>
      <c r="X490" s="3">
        <f t="shared" si="216"/>
        <v>0</v>
      </c>
      <c r="Y490" s="3">
        <f t="shared" si="217"/>
        <v>0</v>
      </c>
      <c r="Z490" s="3">
        <f t="shared" si="228"/>
        <v>0</v>
      </c>
      <c r="AA490" s="3">
        <f t="shared" si="229"/>
        <v>0</v>
      </c>
      <c r="AB490" s="3" t="e">
        <f t="shared" si="230"/>
        <v>#DIV/0!</v>
      </c>
      <c r="AC490" s="3" t="str">
        <f t="shared" si="231"/>
        <v/>
      </c>
      <c r="AD490" s="3">
        <f t="shared" si="218"/>
        <v>0</v>
      </c>
      <c r="AE490" s="3">
        <f t="shared" si="213"/>
        <v>0</v>
      </c>
      <c r="AF490" s="3">
        <f t="shared" si="219"/>
        <v>0</v>
      </c>
      <c r="AG490" s="3" t="e">
        <f>AF490 / SUM(F$2:F490)</f>
        <v>#DIV/0!</v>
      </c>
      <c r="AH490" s="3" t="e">
        <f t="shared" si="220"/>
        <v>#DIV/0!</v>
      </c>
      <c r="AI490" s="3">
        <f t="shared" si="221"/>
        <v>0</v>
      </c>
      <c r="AJ490" s="3" t="e">
        <f t="shared" si="222"/>
        <v>#DIV/0!</v>
      </c>
      <c r="AK490" s="3" t="e">
        <f t="shared" si="237"/>
        <v>#DIV/0!</v>
      </c>
    </row>
    <row r="491" spans="1:37" x14ac:dyDescent="0.3">
      <c r="A491" s="24">
        <v>0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f t="shared" si="210"/>
        <v>0</v>
      </c>
      <c r="H491" s="3">
        <f t="shared" si="227"/>
        <v>0</v>
      </c>
      <c r="I491" s="3">
        <f t="shared" si="232"/>
        <v>0</v>
      </c>
      <c r="J491" s="3">
        <f t="shared" si="233"/>
        <v>0</v>
      </c>
      <c r="K491" s="3">
        <f t="shared" si="234"/>
        <v>0</v>
      </c>
      <c r="L491" s="3">
        <f t="shared" si="235"/>
        <v>0</v>
      </c>
      <c r="M491" s="3" t="e">
        <f t="shared" si="214"/>
        <v>#DIV/0!</v>
      </c>
      <c r="N491" s="3" t="e">
        <f t="shared" si="223"/>
        <v>#DIV/0!</v>
      </c>
      <c r="O491" s="3" t="e">
        <f t="shared" si="236"/>
        <v>#DIV/0!</v>
      </c>
      <c r="P491" s="3">
        <f t="shared" si="224"/>
        <v>0</v>
      </c>
      <c r="Q491" s="3">
        <f t="shared" si="238"/>
        <v>0</v>
      </c>
      <c r="R491" s="3">
        <f t="shared" si="226"/>
        <v>0</v>
      </c>
      <c r="S491" s="3">
        <f t="shared" si="239"/>
        <v>0</v>
      </c>
      <c r="T491" s="3">
        <f t="shared" si="211"/>
        <v>0</v>
      </c>
      <c r="U491" s="3">
        <f t="shared" si="225"/>
        <v>0</v>
      </c>
      <c r="V491" s="3">
        <f t="shared" si="212"/>
        <v>0</v>
      </c>
      <c r="W491" s="3">
        <f t="shared" si="215"/>
        <v>0</v>
      </c>
      <c r="X491" s="3">
        <f t="shared" si="216"/>
        <v>0</v>
      </c>
      <c r="Y491" s="3">
        <f t="shared" si="217"/>
        <v>0</v>
      </c>
      <c r="Z491" s="3">
        <f t="shared" si="228"/>
        <v>0</v>
      </c>
      <c r="AA491" s="3">
        <f t="shared" si="229"/>
        <v>0</v>
      </c>
      <c r="AB491" s="3" t="e">
        <f t="shared" si="230"/>
        <v>#DIV/0!</v>
      </c>
      <c r="AC491" s="3" t="str">
        <f t="shared" si="231"/>
        <v/>
      </c>
      <c r="AD491" s="3">
        <f t="shared" si="218"/>
        <v>0</v>
      </c>
      <c r="AE491" s="3">
        <f t="shared" si="213"/>
        <v>0</v>
      </c>
      <c r="AF491" s="3">
        <f t="shared" si="219"/>
        <v>0</v>
      </c>
      <c r="AG491" s="3" t="e">
        <f>AF491 / SUM(F$2:F491)</f>
        <v>#DIV/0!</v>
      </c>
      <c r="AH491" s="3" t="e">
        <f t="shared" si="220"/>
        <v>#DIV/0!</v>
      </c>
      <c r="AI491" s="3">
        <f t="shared" si="221"/>
        <v>0</v>
      </c>
      <c r="AJ491" s="3" t="e">
        <f t="shared" si="222"/>
        <v>#DIV/0!</v>
      </c>
      <c r="AK491" s="3" t="e">
        <f t="shared" si="237"/>
        <v>#DIV/0!</v>
      </c>
    </row>
    <row r="492" spans="1:37" x14ac:dyDescent="0.3">
      <c r="A492" s="24">
        <v>0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f t="shared" si="210"/>
        <v>0</v>
      </c>
      <c r="H492" s="3">
        <f t="shared" si="227"/>
        <v>0</v>
      </c>
      <c r="I492" s="3">
        <f t="shared" si="232"/>
        <v>0</v>
      </c>
      <c r="J492" s="3">
        <f t="shared" si="233"/>
        <v>0</v>
      </c>
      <c r="K492" s="3">
        <f t="shared" si="234"/>
        <v>0</v>
      </c>
      <c r="L492" s="3">
        <f t="shared" si="235"/>
        <v>0</v>
      </c>
      <c r="M492" s="3" t="e">
        <f t="shared" si="214"/>
        <v>#DIV/0!</v>
      </c>
      <c r="N492" s="3" t="e">
        <f t="shared" si="223"/>
        <v>#DIV/0!</v>
      </c>
      <c r="O492" s="3" t="e">
        <f t="shared" si="236"/>
        <v>#DIV/0!</v>
      </c>
      <c r="P492" s="3">
        <f t="shared" si="224"/>
        <v>0</v>
      </c>
      <c r="Q492" s="3">
        <f t="shared" si="238"/>
        <v>0</v>
      </c>
      <c r="R492" s="3">
        <f t="shared" si="226"/>
        <v>0</v>
      </c>
      <c r="S492" s="3">
        <f t="shared" si="239"/>
        <v>0</v>
      </c>
      <c r="T492" s="3">
        <f t="shared" si="211"/>
        <v>0</v>
      </c>
      <c r="U492" s="3">
        <f t="shared" si="225"/>
        <v>0</v>
      </c>
      <c r="V492" s="3">
        <f t="shared" si="212"/>
        <v>0</v>
      </c>
      <c r="W492" s="3">
        <f t="shared" si="215"/>
        <v>0</v>
      </c>
      <c r="X492" s="3">
        <f t="shared" si="216"/>
        <v>0</v>
      </c>
      <c r="Y492" s="3">
        <f t="shared" si="217"/>
        <v>0</v>
      </c>
      <c r="Z492" s="3">
        <f t="shared" si="228"/>
        <v>0</v>
      </c>
      <c r="AA492" s="3">
        <f t="shared" si="229"/>
        <v>0</v>
      </c>
      <c r="AB492" s="3" t="e">
        <f t="shared" si="230"/>
        <v>#DIV/0!</v>
      </c>
      <c r="AC492" s="3" t="str">
        <f t="shared" si="231"/>
        <v/>
      </c>
      <c r="AD492" s="3">
        <f t="shared" si="218"/>
        <v>0</v>
      </c>
      <c r="AE492" s="3">
        <f t="shared" si="213"/>
        <v>0</v>
      </c>
      <c r="AF492" s="3">
        <f t="shared" si="219"/>
        <v>0</v>
      </c>
      <c r="AG492" s="3" t="e">
        <f>AF492 / SUM(F$2:F492)</f>
        <v>#DIV/0!</v>
      </c>
      <c r="AH492" s="3" t="e">
        <f t="shared" si="220"/>
        <v>#DIV/0!</v>
      </c>
      <c r="AI492" s="3">
        <f t="shared" si="221"/>
        <v>0</v>
      </c>
      <c r="AJ492" s="3" t="e">
        <f t="shared" si="222"/>
        <v>#DIV/0!</v>
      </c>
      <c r="AK492" s="3" t="e">
        <f t="shared" si="237"/>
        <v>#DIV/0!</v>
      </c>
    </row>
    <row r="493" spans="1:37" x14ac:dyDescent="0.3">
      <c r="A493" s="24">
        <v>0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f t="shared" si="210"/>
        <v>0</v>
      </c>
      <c r="H493" s="3">
        <f t="shared" si="227"/>
        <v>0</v>
      </c>
      <c r="I493" s="3">
        <f t="shared" si="232"/>
        <v>0</v>
      </c>
      <c r="J493" s="3">
        <f t="shared" si="233"/>
        <v>0</v>
      </c>
      <c r="K493" s="3">
        <f t="shared" si="234"/>
        <v>0</v>
      </c>
      <c r="L493" s="3">
        <f t="shared" si="235"/>
        <v>0</v>
      </c>
      <c r="M493" s="3" t="e">
        <f t="shared" si="214"/>
        <v>#DIV/0!</v>
      </c>
      <c r="N493" s="3" t="e">
        <f t="shared" si="223"/>
        <v>#DIV/0!</v>
      </c>
      <c r="O493" s="3" t="e">
        <f t="shared" si="236"/>
        <v>#DIV/0!</v>
      </c>
      <c r="P493" s="3">
        <f t="shared" si="224"/>
        <v>0</v>
      </c>
      <c r="Q493" s="3">
        <f t="shared" si="238"/>
        <v>0</v>
      </c>
      <c r="R493" s="3">
        <f t="shared" si="226"/>
        <v>0</v>
      </c>
      <c r="S493" s="3">
        <f t="shared" si="239"/>
        <v>0</v>
      </c>
      <c r="T493" s="3">
        <f t="shared" si="211"/>
        <v>0</v>
      </c>
      <c r="U493" s="3">
        <f t="shared" si="225"/>
        <v>0</v>
      </c>
      <c r="V493" s="3">
        <f t="shared" si="212"/>
        <v>0</v>
      </c>
      <c r="W493" s="3">
        <f t="shared" si="215"/>
        <v>0</v>
      </c>
      <c r="X493" s="3">
        <f t="shared" si="216"/>
        <v>0</v>
      </c>
      <c r="Y493" s="3">
        <f t="shared" si="217"/>
        <v>0</v>
      </c>
      <c r="Z493" s="3">
        <f t="shared" si="228"/>
        <v>0</v>
      </c>
      <c r="AA493" s="3">
        <f t="shared" si="229"/>
        <v>0</v>
      </c>
      <c r="AB493" s="3" t="e">
        <f t="shared" si="230"/>
        <v>#DIV/0!</v>
      </c>
      <c r="AC493" s="3" t="str">
        <f t="shared" si="231"/>
        <v/>
      </c>
      <c r="AD493" s="3">
        <f t="shared" si="218"/>
        <v>0</v>
      </c>
      <c r="AE493" s="3">
        <f t="shared" si="213"/>
        <v>0</v>
      </c>
      <c r="AF493" s="3">
        <f t="shared" si="219"/>
        <v>0</v>
      </c>
      <c r="AG493" s="3" t="e">
        <f>AF493 / SUM(F$2:F493)</f>
        <v>#DIV/0!</v>
      </c>
      <c r="AH493" s="3" t="e">
        <f t="shared" si="220"/>
        <v>#DIV/0!</v>
      </c>
      <c r="AI493" s="3">
        <f t="shared" si="221"/>
        <v>0</v>
      </c>
      <c r="AJ493" s="3" t="e">
        <f t="shared" si="222"/>
        <v>#DIV/0!</v>
      </c>
      <c r="AK493" s="3" t="e">
        <f t="shared" si="237"/>
        <v>#DIV/0!</v>
      </c>
    </row>
    <row r="494" spans="1:37" x14ac:dyDescent="0.3">
      <c r="A494" s="24">
        <v>0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f t="shared" si="210"/>
        <v>0</v>
      </c>
      <c r="H494" s="3">
        <f t="shared" si="227"/>
        <v>0</v>
      </c>
      <c r="I494" s="3">
        <f t="shared" si="232"/>
        <v>0</v>
      </c>
      <c r="J494" s="3">
        <f t="shared" si="233"/>
        <v>0</v>
      </c>
      <c r="K494" s="3">
        <f t="shared" si="234"/>
        <v>0</v>
      </c>
      <c r="L494" s="3">
        <f t="shared" si="235"/>
        <v>0</v>
      </c>
      <c r="M494" s="3" t="e">
        <f t="shared" si="214"/>
        <v>#DIV/0!</v>
      </c>
      <c r="N494" s="3" t="e">
        <f t="shared" si="223"/>
        <v>#DIV/0!</v>
      </c>
      <c r="O494" s="3" t="e">
        <f t="shared" si="236"/>
        <v>#DIV/0!</v>
      </c>
      <c r="P494" s="3">
        <f t="shared" si="224"/>
        <v>0</v>
      </c>
      <c r="Q494" s="3">
        <f t="shared" si="238"/>
        <v>0</v>
      </c>
      <c r="R494" s="3">
        <f t="shared" si="226"/>
        <v>0</v>
      </c>
      <c r="S494" s="3">
        <f t="shared" si="239"/>
        <v>0</v>
      </c>
      <c r="T494" s="3">
        <f t="shared" si="211"/>
        <v>0</v>
      </c>
      <c r="U494" s="3">
        <f t="shared" si="225"/>
        <v>0</v>
      </c>
      <c r="V494" s="3">
        <f t="shared" si="212"/>
        <v>0</v>
      </c>
      <c r="W494" s="3">
        <f t="shared" si="215"/>
        <v>0</v>
      </c>
      <c r="X494" s="3">
        <f t="shared" si="216"/>
        <v>0</v>
      </c>
      <c r="Y494" s="3">
        <f t="shared" si="217"/>
        <v>0</v>
      </c>
      <c r="Z494" s="3">
        <f t="shared" si="228"/>
        <v>0</v>
      </c>
      <c r="AA494" s="3">
        <f t="shared" si="229"/>
        <v>0</v>
      </c>
      <c r="AB494" s="3" t="e">
        <f t="shared" si="230"/>
        <v>#DIV/0!</v>
      </c>
      <c r="AC494" s="3" t="str">
        <f t="shared" si="231"/>
        <v/>
      </c>
      <c r="AD494" s="3">
        <f t="shared" si="218"/>
        <v>0</v>
      </c>
      <c r="AE494" s="3">
        <f t="shared" si="213"/>
        <v>0</v>
      </c>
      <c r="AF494" s="3">
        <f t="shared" si="219"/>
        <v>0</v>
      </c>
      <c r="AG494" s="3" t="e">
        <f>AF494 / SUM(F$2:F494)</f>
        <v>#DIV/0!</v>
      </c>
      <c r="AH494" s="3" t="e">
        <f t="shared" si="220"/>
        <v>#DIV/0!</v>
      </c>
      <c r="AI494" s="3">
        <f t="shared" si="221"/>
        <v>0</v>
      </c>
      <c r="AJ494" s="3" t="e">
        <f t="shared" si="222"/>
        <v>#DIV/0!</v>
      </c>
      <c r="AK494" s="3" t="e">
        <f t="shared" si="237"/>
        <v>#DIV/0!</v>
      </c>
    </row>
    <row r="495" spans="1:37" x14ac:dyDescent="0.3">
      <c r="A495" s="24">
        <v>0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f t="shared" si="210"/>
        <v>0</v>
      </c>
      <c r="H495" s="3">
        <f t="shared" si="227"/>
        <v>0</v>
      </c>
      <c r="I495" s="3">
        <f t="shared" si="232"/>
        <v>0</v>
      </c>
      <c r="J495" s="3">
        <f t="shared" si="233"/>
        <v>0</v>
      </c>
      <c r="K495" s="3">
        <f t="shared" si="234"/>
        <v>0</v>
      </c>
      <c r="L495" s="3">
        <f t="shared" si="235"/>
        <v>0</v>
      </c>
      <c r="M495" s="3" t="e">
        <f t="shared" si="214"/>
        <v>#DIV/0!</v>
      </c>
      <c r="N495" s="3" t="e">
        <f t="shared" si="223"/>
        <v>#DIV/0!</v>
      </c>
      <c r="O495" s="3" t="e">
        <f t="shared" si="236"/>
        <v>#DIV/0!</v>
      </c>
      <c r="P495" s="3">
        <f t="shared" si="224"/>
        <v>0</v>
      </c>
      <c r="Q495" s="3">
        <f t="shared" si="238"/>
        <v>0</v>
      </c>
      <c r="R495" s="3">
        <f t="shared" si="226"/>
        <v>0</v>
      </c>
      <c r="S495" s="3">
        <f t="shared" si="239"/>
        <v>0</v>
      </c>
      <c r="T495" s="3">
        <f t="shared" si="211"/>
        <v>0</v>
      </c>
      <c r="U495" s="3">
        <f t="shared" si="225"/>
        <v>0</v>
      </c>
      <c r="V495" s="3">
        <f t="shared" si="212"/>
        <v>0</v>
      </c>
      <c r="W495" s="3">
        <f t="shared" si="215"/>
        <v>0</v>
      </c>
      <c r="X495" s="3">
        <f t="shared" si="216"/>
        <v>0</v>
      </c>
      <c r="Y495" s="3">
        <f t="shared" si="217"/>
        <v>0</v>
      </c>
      <c r="Z495" s="3">
        <f t="shared" si="228"/>
        <v>0</v>
      </c>
      <c r="AA495" s="3">
        <f t="shared" si="229"/>
        <v>0</v>
      </c>
      <c r="AB495" s="3" t="e">
        <f t="shared" si="230"/>
        <v>#DIV/0!</v>
      </c>
      <c r="AC495" s="3" t="str">
        <f t="shared" si="231"/>
        <v/>
      </c>
      <c r="AD495" s="3">
        <f t="shared" si="218"/>
        <v>0</v>
      </c>
      <c r="AE495" s="3">
        <f t="shared" si="213"/>
        <v>0</v>
      </c>
      <c r="AF495" s="3">
        <f t="shared" si="219"/>
        <v>0</v>
      </c>
      <c r="AG495" s="3" t="e">
        <f>AF495 / SUM(F$2:F495)</f>
        <v>#DIV/0!</v>
      </c>
      <c r="AH495" s="3" t="e">
        <f t="shared" si="220"/>
        <v>#DIV/0!</v>
      </c>
      <c r="AI495" s="3">
        <f t="shared" si="221"/>
        <v>0</v>
      </c>
      <c r="AJ495" s="3" t="e">
        <f t="shared" si="222"/>
        <v>#DIV/0!</v>
      </c>
      <c r="AK495" s="3" t="e">
        <f t="shared" si="237"/>
        <v>#DIV/0!</v>
      </c>
    </row>
    <row r="496" spans="1:37" x14ac:dyDescent="0.3">
      <c r="A496" s="24">
        <v>0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f t="shared" si="210"/>
        <v>0</v>
      </c>
      <c r="H496" s="3">
        <f t="shared" si="227"/>
        <v>0</v>
      </c>
      <c r="I496" s="3">
        <f t="shared" si="232"/>
        <v>0</v>
      </c>
      <c r="J496" s="3">
        <f t="shared" si="233"/>
        <v>0</v>
      </c>
      <c r="K496" s="3">
        <f t="shared" si="234"/>
        <v>0</v>
      </c>
      <c r="L496" s="3">
        <f t="shared" si="235"/>
        <v>0</v>
      </c>
      <c r="M496" s="3" t="e">
        <f t="shared" si="214"/>
        <v>#DIV/0!</v>
      </c>
      <c r="N496" s="3" t="e">
        <f t="shared" si="223"/>
        <v>#DIV/0!</v>
      </c>
      <c r="O496" s="3" t="e">
        <f t="shared" si="236"/>
        <v>#DIV/0!</v>
      </c>
      <c r="P496" s="3">
        <f t="shared" si="224"/>
        <v>0</v>
      </c>
      <c r="Q496" s="3">
        <f t="shared" si="238"/>
        <v>0</v>
      </c>
      <c r="R496" s="3">
        <f t="shared" si="226"/>
        <v>0</v>
      </c>
      <c r="S496" s="3">
        <f t="shared" si="239"/>
        <v>0</v>
      </c>
      <c r="T496" s="3">
        <f t="shared" si="211"/>
        <v>0</v>
      </c>
      <c r="U496" s="3">
        <f t="shared" si="225"/>
        <v>0</v>
      </c>
      <c r="V496" s="3">
        <f t="shared" si="212"/>
        <v>0</v>
      </c>
      <c r="W496" s="3">
        <f t="shared" si="215"/>
        <v>0</v>
      </c>
      <c r="X496" s="3">
        <f t="shared" si="216"/>
        <v>0</v>
      </c>
      <c r="Y496" s="3">
        <f t="shared" si="217"/>
        <v>0</v>
      </c>
      <c r="Z496" s="3">
        <f t="shared" si="228"/>
        <v>0</v>
      </c>
      <c r="AA496" s="3">
        <f t="shared" si="229"/>
        <v>0</v>
      </c>
      <c r="AB496" s="3" t="e">
        <f t="shared" si="230"/>
        <v>#DIV/0!</v>
      </c>
      <c r="AC496" s="3" t="str">
        <f t="shared" si="231"/>
        <v/>
      </c>
      <c r="AD496" s="3">
        <f t="shared" si="218"/>
        <v>0</v>
      </c>
      <c r="AE496" s="3">
        <f t="shared" si="213"/>
        <v>0</v>
      </c>
      <c r="AF496" s="3">
        <f t="shared" si="219"/>
        <v>0</v>
      </c>
      <c r="AG496" s="3" t="e">
        <f>AF496 / SUM(F$2:F496)</f>
        <v>#DIV/0!</v>
      </c>
      <c r="AH496" s="3" t="e">
        <f t="shared" si="220"/>
        <v>#DIV/0!</v>
      </c>
      <c r="AI496" s="3">
        <f t="shared" si="221"/>
        <v>0</v>
      </c>
      <c r="AJ496" s="3" t="e">
        <f t="shared" si="222"/>
        <v>#DIV/0!</v>
      </c>
      <c r="AK496" s="3" t="e">
        <f t="shared" si="237"/>
        <v>#DIV/0!</v>
      </c>
    </row>
    <row r="497" spans="1:37" x14ac:dyDescent="0.3">
      <c r="A497" s="24">
        <v>0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f t="shared" si="210"/>
        <v>0</v>
      </c>
      <c r="H497" s="3">
        <f t="shared" si="227"/>
        <v>0</v>
      </c>
      <c r="I497" s="3">
        <f t="shared" si="232"/>
        <v>0</v>
      </c>
      <c r="J497" s="3">
        <f t="shared" si="233"/>
        <v>0</v>
      </c>
      <c r="K497" s="3">
        <f t="shared" si="234"/>
        <v>0</v>
      </c>
      <c r="L497" s="3">
        <f t="shared" si="235"/>
        <v>0</v>
      </c>
      <c r="M497" s="3" t="e">
        <f t="shared" si="214"/>
        <v>#DIV/0!</v>
      </c>
      <c r="N497" s="3" t="e">
        <f t="shared" si="223"/>
        <v>#DIV/0!</v>
      </c>
      <c r="O497" s="3" t="e">
        <f t="shared" si="236"/>
        <v>#DIV/0!</v>
      </c>
      <c r="P497" s="3">
        <f t="shared" si="224"/>
        <v>0</v>
      </c>
      <c r="Q497" s="3">
        <f t="shared" si="238"/>
        <v>0</v>
      </c>
      <c r="R497" s="3">
        <f t="shared" si="226"/>
        <v>0</v>
      </c>
      <c r="S497" s="3">
        <f t="shared" si="239"/>
        <v>0</v>
      </c>
      <c r="T497" s="3">
        <f t="shared" si="211"/>
        <v>0</v>
      </c>
      <c r="U497" s="3">
        <f t="shared" si="225"/>
        <v>0</v>
      </c>
      <c r="V497" s="3">
        <f t="shared" si="212"/>
        <v>0</v>
      </c>
      <c r="W497" s="3">
        <f t="shared" si="215"/>
        <v>0</v>
      </c>
      <c r="X497" s="3">
        <f t="shared" si="216"/>
        <v>0</v>
      </c>
      <c r="Y497" s="3">
        <f t="shared" si="217"/>
        <v>0</v>
      </c>
      <c r="Z497" s="3">
        <f t="shared" si="228"/>
        <v>0</v>
      </c>
      <c r="AA497" s="3">
        <f t="shared" si="229"/>
        <v>0</v>
      </c>
      <c r="AB497" s="3" t="e">
        <f t="shared" si="230"/>
        <v>#DIV/0!</v>
      </c>
      <c r="AC497" s="3" t="str">
        <f t="shared" si="231"/>
        <v/>
      </c>
      <c r="AD497" s="3">
        <f t="shared" si="218"/>
        <v>0</v>
      </c>
      <c r="AE497" s="3">
        <f t="shared" si="213"/>
        <v>0</v>
      </c>
      <c r="AF497" s="3">
        <f t="shared" si="219"/>
        <v>0</v>
      </c>
      <c r="AG497" s="3" t="e">
        <f>AF497 / SUM(F$2:F497)</f>
        <v>#DIV/0!</v>
      </c>
      <c r="AH497" s="3" t="e">
        <f t="shared" si="220"/>
        <v>#DIV/0!</v>
      </c>
      <c r="AI497" s="3">
        <f t="shared" si="221"/>
        <v>0</v>
      </c>
      <c r="AJ497" s="3" t="e">
        <f t="shared" si="222"/>
        <v>#DIV/0!</v>
      </c>
      <c r="AK497" s="3" t="e">
        <f t="shared" si="237"/>
        <v>#DIV/0!</v>
      </c>
    </row>
    <row r="498" spans="1:37" x14ac:dyDescent="0.3">
      <c r="A498" s="24">
        <v>0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f t="shared" si="210"/>
        <v>0</v>
      </c>
      <c r="H498" s="3">
        <f t="shared" si="227"/>
        <v>0</v>
      </c>
      <c r="I498" s="3">
        <f t="shared" si="232"/>
        <v>0</v>
      </c>
      <c r="J498" s="3">
        <f t="shared" si="233"/>
        <v>0</v>
      </c>
      <c r="K498" s="3">
        <f t="shared" si="234"/>
        <v>0</v>
      </c>
      <c r="L498" s="3">
        <f t="shared" si="235"/>
        <v>0</v>
      </c>
      <c r="M498" s="3" t="e">
        <f t="shared" si="214"/>
        <v>#DIV/0!</v>
      </c>
      <c r="N498" s="3" t="e">
        <f t="shared" si="223"/>
        <v>#DIV/0!</v>
      </c>
      <c r="O498" s="3" t="e">
        <f t="shared" si="236"/>
        <v>#DIV/0!</v>
      </c>
      <c r="P498" s="3">
        <f t="shared" si="224"/>
        <v>0</v>
      </c>
      <c r="Q498" s="3">
        <f t="shared" si="238"/>
        <v>0</v>
      </c>
      <c r="R498" s="3">
        <f t="shared" si="226"/>
        <v>0</v>
      </c>
      <c r="S498" s="3">
        <f t="shared" si="239"/>
        <v>0</v>
      </c>
      <c r="T498" s="3">
        <f t="shared" si="211"/>
        <v>0</v>
      </c>
      <c r="U498" s="3">
        <f t="shared" si="225"/>
        <v>0</v>
      </c>
      <c r="V498" s="3">
        <f t="shared" si="212"/>
        <v>0</v>
      </c>
      <c r="W498" s="3">
        <f t="shared" si="215"/>
        <v>0</v>
      </c>
      <c r="X498" s="3">
        <f t="shared" si="216"/>
        <v>0</v>
      </c>
      <c r="Y498" s="3">
        <f t="shared" si="217"/>
        <v>0</v>
      </c>
      <c r="Z498" s="3">
        <f t="shared" si="228"/>
        <v>0</v>
      </c>
      <c r="AA498" s="3">
        <f t="shared" si="229"/>
        <v>0</v>
      </c>
      <c r="AB498" s="3" t="e">
        <f t="shared" si="230"/>
        <v>#DIV/0!</v>
      </c>
      <c r="AC498" s="3" t="str">
        <f t="shared" si="231"/>
        <v/>
      </c>
      <c r="AD498" s="3">
        <f t="shared" si="218"/>
        <v>0</v>
      </c>
      <c r="AE498" s="3">
        <f t="shared" si="213"/>
        <v>0</v>
      </c>
      <c r="AF498" s="3">
        <f t="shared" si="219"/>
        <v>0</v>
      </c>
      <c r="AG498" s="3" t="e">
        <f>AF498 / SUM(F$2:F498)</f>
        <v>#DIV/0!</v>
      </c>
      <c r="AH498" s="3" t="e">
        <f t="shared" si="220"/>
        <v>#DIV/0!</v>
      </c>
      <c r="AI498" s="3">
        <f t="shared" si="221"/>
        <v>0</v>
      </c>
      <c r="AJ498" s="3" t="e">
        <f t="shared" si="222"/>
        <v>#DIV/0!</v>
      </c>
      <c r="AK498" s="3" t="e">
        <f t="shared" si="237"/>
        <v>#DIV/0!</v>
      </c>
    </row>
    <row r="499" spans="1:37" x14ac:dyDescent="0.3">
      <c r="A499" s="24">
        <v>0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f t="shared" si="210"/>
        <v>0</v>
      </c>
      <c r="H499" s="3">
        <f t="shared" si="227"/>
        <v>0</v>
      </c>
      <c r="I499" s="3">
        <f t="shared" si="232"/>
        <v>0</v>
      </c>
      <c r="J499" s="3">
        <f t="shared" si="233"/>
        <v>0</v>
      </c>
      <c r="K499" s="3">
        <f t="shared" si="234"/>
        <v>0</v>
      </c>
      <c r="L499" s="3">
        <f t="shared" si="235"/>
        <v>0</v>
      </c>
      <c r="M499" s="3" t="e">
        <f t="shared" si="214"/>
        <v>#DIV/0!</v>
      </c>
      <c r="N499" s="3" t="e">
        <f t="shared" si="223"/>
        <v>#DIV/0!</v>
      </c>
      <c r="O499" s="3" t="e">
        <f t="shared" si="236"/>
        <v>#DIV/0!</v>
      </c>
      <c r="P499" s="3">
        <f t="shared" si="224"/>
        <v>0</v>
      </c>
      <c r="Q499" s="3">
        <f t="shared" si="238"/>
        <v>0</v>
      </c>
      <c r="R499" s="3">
        <f t="shared" si="226"/>
        <v>0</v>
      </c>
      <c r="S499" s="3">
        <f t="shared" si="239"/>
        <v>0</v>
      </c>
      <c r="T499" s="3">
        <f t="shared" si="211"/>
        <v>0</v>
      </c>
      <c r="U499" s="3">
        <f t="shared" si="225"/>
        <v>0</v>
      </c>
      <c r="V499" s="3">
        <f t="shared" si="212"/>
        <v>0</v>
      </c>
      <c r="W499" s="3">
        <f t="shared" si="215"/>
        <v>0</v>
      </c>
      <c r="X499" s="3">
        <f t="shared" si="216"/>
        <v>0</v>
      </c>
      <c r="Y499" s="3">
        <f t="shared" si="217"/>
        <v>0</v>
      </c>
      <c r="Z499" s="3">
        <f t="shared" si="228"/>
        <v>0</v>
      </c>
      <c r="AA499" s="3">
        <f t="shared" si="229"/>
        <v>0</v>
      </c>
      <c r="AB499" s="3" t="e">
        <f t="shared" si="230"/>
        <v>#DIV/0!</v>
      </c>
      <c r="AC499" s="3" t="str">
        <f t="shared" si="231"/>
        <v/>
      </c>
      <c r="AD499" s="3">
        <f t="shared" si="218"/>
        <v>0</v>
      </c>
      <c r="AE499" s="3">
        <f t="shared" si="213"/>
        <v>0</v>
      </c>
      <c r="AF499" s="3">
        <f t="shared" si="219"/>
        <v>0</v>
      </c>
      <c r="AG499" s="3" t="e">
        <f>AF499 / SUM(F$2:F499)</f>
        <v>#DIV/0!</v>
      </c>
      <c r="AH499" s="3" t="e">
        <f t="shared" si="220"/>
        <v>#DIV/0!</v>
      </c>
      <c r="AI499" s="3">
        <f t="shared" si="221"/>
        <v>0</v>
      </c>
      <c r="AJ499" s="3" t="e">
        <f t="shared" si="222"/>
        <v>#DIV/0!</v>
      </c>
      <c r="AK499" s="3" t="e">
        <f t="shared" si="237"/>
        <v>#DIV/0!</v>
      </c>
    </row>
    <row r="500" spans="1:37" x14ac:dyDescent="0.3">
      <c r="A500" s="24">
        <v>0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f t="shared" si="210"/>
        <v>0</v>
      </c>
      <c r="H500" s="3">
        <f t="shared" si="227"/>
        <v>0</v>
      </c>
      <c r="I500" s="3">
        <f t="shared" si="232"/>
        <v>0</v>
      </c>
      <c r="J500" s="3">
        <f t="shared" si="233"/>
        <v>0</v>
      </c>
      <c r="K500" s="3">
        <f t="shared" si="234"/>
        <v>0</v>
      </c>
      <c r="L500" s="3">
        <f t="shared" si="235"/>
        <v>0</v>
      </c>
      <c r="M500" s="3" t="e">
        <f t="shared" si="214"/>
        <v>#DIV/0!</v>
      </c>
      <c r="N500" s="3" t="e">
        <f t="shared" si="223"/>
        <v>#DIV/0!</v>
      </c>
      <c r="O500" s="3" t="e">
        <f t="shared" si="236"/>
        <v>#DIV/0!</v>
      </c>
      <c r="P500" s="3">
        <f t="shared" si="224"/>
        <v>0</v>
      </c>
      <c r="Q500" s="3">
        <f t="shared" si="238"/>
        <v>0</v>
      </c>
      <c r="R500" s="3">
        <f t="shared" si="226"/>
        <v>0</v>
      </c>
      <c r="S500" s="3">
        <f t="shared" si="239"/>
        <v>0</v>
      </c>
      <c r="T500" s="3">
        <f t="shared" si="211"/>
        <v>0</v>
      </c>
      <c r="U500" s="3">
        <f t="shared" si="225"/>
        <v>0</v>
      </c>
      <c r="V500" s="3">
        <f t="shared" si="212"/>
        <v>0</v>
      </c>
      <c r="W500" s="3">
        <f t="shared" si="215"/>
        <v>0</v>
      </c>
      <c r="X500" s="3">
        <f t="shared" si="216"/>
        <v>0</v>
      </c>
      <c r="Y500" s="3">
        <f t="shared" si="217"/>
        <v>0</v>
      </c>
      <c r="Z500" s="3">
        <f t="shared" si="228"/>
        <v>0</v>
      </c>
      <c r="AA500" s="3">
        <f t="shared" si="229"/>
        <v>0</v>
      </c>
      <c r="AB500" s="3" t="e">
        <f t="shared" si="230"/>
        <v>#DIV/0!</v>
      </c>
      <c r="AC500" s="3" t="str">
        <f t="shared" si="231"/>
        <v/>
      </c>
      <c r="AD500" s="3">
        <f t="shared" si="218"/>
        <v>0</v>
      </c>
      <c r="AE500" s="3">
        <f t="shared" si="213"/>
        <v>0</v>
      </c>
      <c r="AF500" s="3">
        <f t="shared" si="219"/>
        <v>0</v>
      </c>
      <c r="AG500" s="3" t="e">
        <f>AF500 / SUM(F$2:F500)</f>
        <v>#DIV/0!</v>
      </c>
      <c r="AH500" s="3" t="e">
        <f t="shared" si="220"/>
        <v>#DIV/0!</v>
      </c>
      <c r="AI500" s="3">
        <f t="shared" si="221"/>
        <v>0</v>
      </c>
      <c r="AJ500" s="3" t="e">
        <f t="shared" si="222"/>
        <v>#DIV/0!</v>
      </c>
      <c r="AK500" s="3" t="e">
        <f t="shared" si="237"/>
        <v>#DIV/0!</v>
      </c>
    </row>
    <row r="501" spans="1:37" x14ac:dyDescent="0.3">
      <c r="A501" s="24">
        <v>0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f t="shared" si="210"/>
        <v>0</v>
      </c>
      <c r="H501" s="3">
        <f t="shared" si="227"/>
        <v>0</v>
      </c>
      <c r="I501" s="3">
        <f t="shared" si="232"/>
        <v>0</v>
      </c>
      <c r="J501" s="3">
        <f t="shared" si="233"/>
        <v>0</v>
      </c>
      <c r="K501" s="3">
        <f t="shared" si="234"/>
        <v>0</v>
      </c>
      <c r="L501" s="3">
        <f t="shared" si="235"/>
        <v>0</v>
      </c>
      <c r="M501" s="3" t="e">
        <f t="shared" si="214"/>
        <v>#DIV/0!</v>
      </c>
      <c r="N501" s="3" t="e">
        <f t="shared" si="223"/>
        <v>#DIV/0!</v>
      </c>
      <c r="O501" s="3" t="e">
        <f t="shared" si="236"/>
        <v>#DIV/0!</v>
      </c>
      <c r="P501" s="3">
        <f t="shared" si="224"/>
        <v>0</v>
      </c>
      <c r="Q501" s="3">
        <f t="shared" si="238"/>
        <v>0</v>
      </c>
      <c r="R501" s="3">
        <f t="shared" si="226"/>
        <v>0</v>
      </c>
      <c r="S501" s="3">
        <f t="shared" si="239"/>
        <v>0</v>
      </c>
      <c r="T501" s="3">
        <f t="shared" si="211"/>
        <v>0</v>
      </c>
      <c r="U501" s="3">
        <f t="shared" si="225"/>
        <v>0</v>
      </c>
      <c r="V501" s="3">
        <f t="shared" si="212"/>
        <v>0</v>
      </c>
      <c r="W501" s="3">
        <f t="shared" si="215"/>
        <v>0</v>
      </c>
      <c r="X501" s="3">
        <f t="shared" si="216"/>
        <v>0</v>
      </c>
      <c r="Y501" s="3">
        <f t="shared" si="217"/>
        <v>0</v>
      </c>
      <c r="Z501" s="3">
        <f t="shared" si="228"/>
        <v>0</v>
      </c>
      <c r="AA501" s="3">
        <f t="shared" si="229"/>
        <v>0</v>
      </c>
      <c r="AB501" s="3" t="e">
        <f t="shared" si="230"/>
        <v>#DIV/0!</v>
      </c>
      <c r="AC501" s="3" t="str">
        <f t="shared" si="231"/>
        <v/>
      </c>
      <c r="AD501" s="3">
        <f t="shared" si="218"/>
        <v>0</v>
      </c>
      <c r="AE501" s="3">
        <f t="shared" si="213"/>
        <v>0</v>
      </c>
      <c r="AF501" s="3">
        <f t="shared" si="219"/>
        <v>0</v>
      </c>
      <c r="AG501" s="3" t="e">
        <f>AF501 / SUM(F$2:F501)</f>
        <v>#DIV/0!</v>
      </c>
      <c r="AH501" s="3" t="e">
        <f t="shared" si="220"/>
        <v>#DIV/0!</v>
      </c>
      <c r="AI501" s="3">
        <f t="shared" si="221"/>
        <v>0</v>
      </c>
      <c r="AJ501" s="3" t="e">
        <f t="shared" si="222"/>
        <v>#DIV/0!</v>
      </c>
      <c r="AK501" s="3" t="e">
        <f t="shared" si="237"/>
        <v>#DIV/0!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7215-D7AB-4F96-B580-5F83D1FD76D1}">
  <sheetPr codeName="Sheet13">
    <tabColor theme="9" tint="0.39997558519241921"/>
  </sheetPr>
  <dimension ref="B2:C6"/>
  <sheetViews>
    <sheetView zoomScaleNormal="100" workbookViewId="0">
      <selection activeCell="C2" sqref="C2"/>
    </sheetView>
  </sheetViews>
  <sheetFormatPr defaultRowHeight="14.4" x14ac:dyDescent="0.3"/>
  <cols>
    <col min="2" max="2" width="22.109375" bestFit="1" customWidth="1"/>
  </cols>
  <sheetData>
    <row r="2" spans="2:3" x14ac:dyDescent="0.3">
      <c r="B2" t="s">
        <v>6</v>
      </c>
      <c r="C2" t="str" cm="1">
        <f t="array" ref="C2">IF(
INDEX('Indicators 15m'!P:P, MAX(IF('Indicators 15m'!P:P&lt;&gt;"", ROW('Indicators 15m'!P:P)))) &gt; INDEX('Indicators 15m'!Q:Q, MAX(IF('Indicators 15m'!P:P&lt;&gt;"", ROW('Indicators 15m'!P:P)))),
"UP",
"DOWN"
)</f>
        <v>DOWN</v>
      </c>
    </row>
    <row r="3" spans="2:3" x14ac:dyDescent="0.3">
      <c r="B3" t="s">
        <v>92</v>
      </c>
    </row>
    <row r="4" spans="2:3" x14ac:dyDescent="0.3">
      <c r="B4" t="s">
        <v>93</v>
      </c>
    </row>
    <row r="5" spans="2:3" x14ac:dyDescent="0.3">
      <c r="B5" t="s">
        <v>94</v>
      </c>
    </row>
    <row r="6" spans="2:3" x14ac:dyDescent="0.3">
      <c r="B6" t="s">
        <v>95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BE52-BD9F-492C-A94D-FFD4F30173D8}">
  <sheetPr codeName="Sheet1">
    <tabColor rgb="FFFF0000"/>
  </sheetPr>
  <dimension ref="A1:Q732"/>
  <sheetViews>
    <sheetView showGridLines="0" tabSelected="1" workbookViewId="0">
      <selection activeCell="J10" sqref="J10"/>
    </sheetView>
  </sheetViews>
  <sheetFormatPr defaultRowHeight="14.4" x14ac:dyDescent="0.3"/>
  <cols>
    <col min="2" max="2" width="26.6640625" style="9" bestFit="1" customWidth="1"/>
    <col min="3" max="3" width="16.33203125" style="9" bestFit="1" customWidth="1"/>
    <col min="7" max="7" width="12.109375" bestFit="1" customWidth="1"/>
    <col min="12" max="12" width="16.21875" bestFit="1" customWidth="1"/>
    <col min="13" max="13" width="12.77734375" bestFit="1" customWidth="1"/>
    <col min="14" max="14" width="13.6640625" bestFit="1" customWidth="1"/>
    <col min="15" max="16" width="11.77734375" bestFit="1" customWidth="1"/>
    <col min="17" max="17" width="9.77734375" bestFit="1" customWidth="1"/>
  </cols>
  <sheetData>
    <row r="1" spans="1:17" x14ac:dyDescent="0.3">
      <c r="A1" s="54"/>
      <c r="B1" s="54"/>
      <c r="C1" s="54"/>
      <c r="D1" s="54"/>
      <c r="E1" s="54"/>
      <c r="L1" s="1" t="str" cm="1">
        <f t="array" aca="1" ref="L1:L732" ca="1">'Portfolio Risk Matrics'!A1:INDEX('Portfolio Risk Matrics'!A:A, 'Performance Report'!C13 + 1)</f>
        <v>OpenDateTimeIST</v>
      </c>
      <c r="M1" s="53" t="str" cm="1">
        <f t="array" aca="1" ref="M1:M732" ca="1">'Portfolio Risk Matrics'!$E$1:INDEX('Portfolio Risk Matrics'!$E:$E, 'Performance Report'!$C$13 + 1)</f>
        <v>Close</v>
      </c>
      <c r="N1" s="1" t="s">
        <v>107</v>
      </c>
      <c r="O1" s="1" t="s">
        <v>86</v>
      </c>
      <c r="P1" s="1" t="s">
        <v>108</v>
      </c>
      <c r="Q1" s="1" t="s">
        <v>58</v>
      </c>
    </row>
    <row r="2" spans="1:17" x14ac:dyDescent="0.3">
      <c r="A2" s="54"/>
      <c r="B2" s="54"/>
      <c r="C2" s="54"/>
      <c r="D2" s="54"/>
      <c r="E2" s="54"/>
      <c r="L2" s="10">
        <f ca="1"/>
        <v>46010.229166666664</v>
      </c>
      <c r="M2" s="49">
        <f ca="1"/>
        <v>88000.14</v>
      </c>
      <c r="N2" s="51">
        <f ca="1">$C$6*M2</f>
        <v>4400.0070000000005</v>
      </c>
      <c r="O2" s="51">
        <f ca="1">MAX(N2:$N$732)</f>
        <v>6232.9269999999997</v>
      </c>
      <c r="P2" s="52">
        <f ca="1">(N2 - O2)/O2</f>
        <v>-0.29407050652125388</v>
      </c>
      <c r="Q2" s="41"/>
    </row>
    <row r="3" spans="1:17" x14ac:dyDescent="0.3">
      <c r="A3" s="54"/>
      <c r="B3" s="54"/>
      <c r="C3" s="54"/>
      <c r="D3" s="54"/>
      <c r="E3" s="54"/>
      <c r="L3" s="10">
        <f ca="1"/>
        <v>46009.229166666664</v>
      </c>
      <c r="M3" s="50">
        <f ca="1"/>
        <v>85516.41</v>
      </c>
      <c r="N3" s="51">
        <f t="shared" ref="N3:N66" ca="1" si="0">$C$6*M3</f>
        <v>4275.8205000000007</v>
      </c>
      <c r="O3" s="51">
        <f ca="1">MAX(N3:$N$732)</f>
        <v>6232.9269999999997</v>
      </c>
      <c r="P3" s="52">
        <f t="shared" ref="P3:P66" ca="1" si="1">(N3 - O3)/O3</f>
        <v>-0.31399477324217001</v>
      </c>
      <c r="Q3" s="43">
        <f ca="1">LN(N3 / N2)</f>
        <v>-2.8630118034928289E-2</v>
      </c>
    </row>
    <row r="4" spans="1:17" x14ac:dyDescent="0.3">
      <c r="L4" s="10">
        <f ca="1"/>
        <v>46008.229166666664</v>
      </c>
      <c r="M4" s="50">
        <f ca="1"/>
        <v>86243.22</v>
      </c>
      <c r="N4" s="51">
        <f t="shared" ca="1" si="0"/>
        <v>4312.1610000000001</v>
      </c>
      <c r="O4" s="51">
        <f ca="1">MAX(N4:$N$732)</f>
        <v>6232.9269999999997</v>
      </c>
      <c r="P4" s="52">
        <f t="shared" ca="1" si="1"/>
        <v>-0.30816436643650724</v>
      </c>
      <c r="Q4" s="43">
        <f t="shared" ref="Q4:Q67" ca="1" si="2">LN(N4 / N3)</f>
        <v>8.4631567748878825E-3</v>
      </c>
    </row>
    <row r="5" spans="1:17" x14ac:dyDescent="0.3">
      <c r="B5" s="4" t="s">
        <v>96</v>
      </c>
      <c r="C5" s="4" t="s">
        <v>97</v>
      </c>
      <c r="L5" s="10">
        <f ca="1"/>
        <v>46007.229166666664</v>
      </c>
      <c r="M5" s="50">
        <f ca="1"/>
        <v>87863.42</v>
      </c>
      <c r="N5" s="51">
        <f t="shared" ca="1" si="0"/>
        <v>4393.1710000000003</v>
      </c>
      <c r="O5" s="51">
        <f ca="1">MAX(N5:$N$732)</f>
        <v>6232.9269999999997</v>
      </c>
      <c r="P5" s="52">
        <f t="shared" ca="1" si="1"/>
        <v>-0.2951672625076468</v>
      </c>
      <c r="Q5" s="43">
        <f t="shared" ca="1" si="2"/>
        <v>1.861211922745834E-2</v>
      </c>
    </row>
    <row r="6" spans="1:17" x14ac:dyDescent="0.3">
      <c r="B6" s="4" t="s">
        <v>98</v>
      </c>
      <c r="C6" s="4">
        <v>0.05</v>
      </c>
      <c r="L6" s="10">
        <f ca="1"/>
        <v>46006.229166666664</v>
      </c>
      <c r="M6" s="50">
        <f ca="1"/>
        <v>86432.08</v>
      </c>
      <c r="N6" s="51">
        <f t="shared" ca="1" si="0"/>
        <v>4321.6040000000003</v>
      </c>
      <c r="O6" s="51">
        <f ca="1">MAX(N6:$N$732)</f>
        <v>6232.9269999999997</v>
      </c>
      <c r="P6" s="52">
        <f t="shared" ca="1" si="1"/>
        <v>-0.30664934789064585</v>
      </c>
      <c r="Q6" s="43">
        <f t="shared" ca="1" si="2"/>
        <v>-1.6424660160555615E-2</v>
      </c>
    </row>
    <row r="7" spans="1:17" x14ac:dyDescent="0.3">
      <c r="B7" s="4" t="s">
        <v>99</v>
      </c>
      <c r="C7" s="45">
        <v>45279</v>
      </c>
      <c r="L7" s="10">
        <f ca="1"/>
        <v>46005.229166666664</v>
      </c>
      <c r="M7" s="50">
        <f ca="1"/>
        <v>88172.17</v>
      </c>
      <c r="N7" s="51">
        <f t="shared" ca="1" si="0"/>
        <v>4408.6085000000003</v>
      </c>
      <c r="O7" s="51">
        <f ca="1">MAX(N7:$N$732)</f>
        <v>6232.9269999999997</v>
      </c>
      <c r="P7" s="52">
        <f t="shared" ca="1" si="1"/>
        <v>-0.2926904967762336</v>
      </c>
      <c r="Q7" s="43">
        <f t="shared" ca="1" si="2"/>
        <v>1.9932477149059692E-2</v>
      </c>
    </row>
    <row r="8" spans="1:17" x14ac:dyDescent="0.3">
      <c r="B8" s="4" t="s">
        <v>100</v>
      </c>
      <c r="C8" s="4">
        <v>42270.53</v>
      </c>
      <c r="L8" s="10">
        <f ca="1"/>
        <v>46004.229166666664</v>
      </c>
      <c r="M8" s="50">
        <f ca="1"/>
        <v>90240.01</v>
      </c>
      <c r="N8" s="51">
        <f t="shared" ca="1" si="0"/>
        <v>4512.0005000000001</v>
      </c>
      <c r="O8" s="51">
        <f ca="1">MAX(N8:$N$732)</f>
        <v>6232.9269999999997</v>
      </c>
      <c r="P8" s="52">
        <f t="shared" ca="1" si="1"/>
        <v>-0.2761024635777059</v>
      </c>
      <c r="Q8" s="43">
        <f t="shared" ca="1" si="2"/>
        <v>2.3181518223391671E-2</v>
      </c>
    </row>
    <row r="9" spans="1:17" x14ac:dyDescent="0.3">
      <c r="B9" s="4" t="s">
        <v>101</v>
      </c>
      <c r="C9" s="3">
        <f>C6 * C8</f>
        <v>2113.5264999999999</v>
      </c>
      <c r="L9" s="10">
        <f ca="1"/>
        <v>46003.229166666664</v>
      </c>
      <c r="M9" s="50">
        <f ca="1"/>
        <v>90268.42</v>
      </c>
      <c r="N9" s="51">
        <f t="shared" ca="1" si="0"/>
        <v>4513.4210000000003</v>
      </c>
      <c r="O9" s="51">
        <f ca="1">MAX(N9:$N$732)</f>
        <v>6232.9269999999997</v>
      </c>
      <c r="P9" s="52">
        <f t="shared" ca="1" si="1"/>
        <v>-0.27587456102084934</v>
      </c>
      <c r="Q9" s="43">
        <f t="shared" ca="1" si="2"/>
        <v>3.1477754512160299E-4</v>
      </c>
    </row>
    <row r="10" spans="1:17" x14ac:dyDescent="0.3">
      <c r="B10" s="3" t="s">
        <v>102</v>
      </c>
      <c r="C10" s="3">
        <f>C6*'Ticker Streams'!B8</f>
        <v>4400.3164999999999</v>
      </c>
      <c r="L10" s="10">
        <f ca="1"/>
        <v>46002.229166666664</v>
      </c>
      <c r="M10" s="50">
        <f ca="1"/>
        <v>92513.38</v>
      </c>
      <c r="N10" s="51">
        <f t="shared" ca="1" si="0"/>
        <v>4625.6690000000008</v>
      </c>
      <c r="O10" s="51">
        <f ca="1">MAX(N10:$N$732)</f>
        <v>6232.9269999999997</v>
      </c>
      <c r="P10" s="52">
        <f t="shared" ca="1" si="1"/>
        <v>-0.25786568653860359</v>
      </c>
      <c r="Q10" s="43">
        <f t="shared" ca="1" si="2"/>
        <v>2.4565606595953998E-2</v>
      </c>
    </row>
    <row r="11" spans="1:17" x14ac:dyDescent="0.3">
      <c r="B11" s="42" t="s">
        <v>103</v>
      </c>
      <c r="C11" s="3">
        <f>C10 - C9</f>
        <v>2286.79</v>
      </c>
      <c r="L11" s="10">
        <f ca="1"/>
        <v>46001.229166666664</v>
      </c>
      <c r="M11" s="50">
        <f ca="1"/>
        <v>92015.37</v>
      </c>
      <c r="N11" s="51">
        <f t="shared" ca="1" si="0"/>
        <v>4600.7685000000001</v>
      </c>
      <c r="O11" s="51">
        <f ca="1">MAX(N11:$N$732)</f>
        <v>6232.9269999999997</v>
      </c>
      <c r="P11" s="52">
        <f t="shared" ca="1" si="1"/>
        <v>-0.2618606795811983</v>
      </c>
      <c r="Q11" s="43">
        <f t="shared" ca="1" si="2"/>
        <v>-5.39765439382892E-3</v>
      </c>
    </row>
    <row r="12" spans="1:17" x14ac:dyDescent="0.3">
      <c r="B12" s="3" t="s">
        <v>104</v>
      </c>
      <c r="C12" s="44">
        <f>('Ticker Streams'!B8-C8)/C8</f>
        <v>1.0819783901455695</v>
      </c>
      <c r="H12" t="s">
        <v>109</v>
      </c>
      <c r="L12" s="10">
        <f ca="1"/>
        <v>46000.229166666664</v>
      </c>
      <c r="M12" s="50">
        <f ca="1"/>
        <v>92678.8</v>
      </c>
      <c r="N12" s="51">
        <f t="shared" ca="1" si="0"/>
        <v>4633.9400000000005</v>
      </c>
      <c r="O12" s="51">
        <f ca="1">MAX(N12:$N$732)</f>
        <v>6232.9269999999997</v>
      </c>
      <c r="P12" s="52">
        <f t="shared" ca="1" si="1"/>
        <v>-0.25653870164049719</v>
      </c>
      <c r="Q12" s="43">
        <f t="shared" ca="1" si="2"/>
        <v>7.1841233904619195E-3</v>
      </c>
    </row>
    <row r="13" spans="1:17" x14ac:dyDescent="0.3">
      <c r="B13" s="41" t="s">
        <v>105</v>
      </c>
      <c r="C13" s="46">
        <f ca="1">TODAY() - C7</f>
        <v>731</v>
      </c>
      <c r="L13" s="10">
        <f ca="1"/>
        <v>45999.229166666664</v>
      </c>
      <c r="M13" s="50">
        <f ca="1"/>
        <v>90634.34</v>
      </c>
      <c r="N13" s="51">
        <f t="shared" ca="1" si="0"/>
        <v>4531.7169999999996</v>
      </c>
      <c r="O13" s="51">
        <f ca="1">MAX(N13:$N$732)</f>
        <v>6232.9269999999997</v>
      </c>
      <c r="P13" s="52">
        <f t="shared" ca="1" si="1"/>
        <v>-0.27293918250606819</v>
      </c>
      <c r="Q13" s="43">
        <f t="shared" ca="1" si="2"/>
        <v>-2.230658176978001E-2</v>
      </c>
    </row>
    <row r="14" spans="1:17" x14ac:dyDescent="0.3">
      <c r="B14" s="41" t="s">
        <v>106</v>
      </c>
      <c r="C14" s="44">
        <f ca="1">('Ticker Streams'!B8/C8)^(356/C13)-1</f>
        <v>0.42922046064702934</v>
      </c>
      <c r="L14" s="10">
        <f ca="1"/>
        <v>45998.229166666664</v>
      </c>
      <c r="M14" s="50">
        <f ca="1"/>
        <v>90395.31</v>
      </c>
      <c r="N14" s="51">
        <f t="shared" ca="1" si="0"/>
        <v>4519.7655000000004</v>
      </c>
      <c r="O14" s="51">
        <f ca="1">MAX(N14:$N$732)</f>
        <v>6232.9269999999997</v>
      </c>
      <c r="P14" s="52">
        <f t="shared" ca="1" si="1"/>
        <v>-0.27485666044219664</v>
      </c>
      <c r="Q14" s="43">
        <f t="shared" ca="1" si="2"/>
        <v>-2.640784411957915E-3</v>
      </c>
    </row>
    <row r="15" spans="1:17" x14ac:dyDescent="0.3">
      <c r="L15" s="10">
        <f ca="1"/>
        <v>45997.229166666664</v>
      </c>
      <c r="M15" s="50">
        <f ca="1"/>
        <v>89236.79</v>
      </c>
      <c r="N15" s="51">
        <f t="shared" ca="1" si="0"/>
        <v>4461.8395</v>
      </c>
      <c r="O15" s="51">
        <f ca="1">MAX(N15:$N$732)</f>
        <v>6232.9269999999997</v>
      </c>
      <c r="P15" s="52">
        <f t="shared" ca="1" si="1"/>
        <v>-0.28415020743865599</v>
      </c>
      <c r="Q15" s="43">
        <f t="shared" ca="1" si="2"/>
        <v>-1.2898987020788772E-2</v>
      </c>
    </row>
    <row r="16" spans="1:17" x14ac:dyDescent="0.3">
      <c r="L16" s="10">
        <f ca="1"/>
        <v>45996.229166666664</v>
      </c>
      <c r="M16" s="50">
        <f ca="1"/>
        <v>89330.04</v>
      </c>
      <c r="N16" s="51">
        <f t="shared" ca="1" si="0"/>
        <v>4466.5019999999995</v>
      </c>
      <c r="O16" s="51">
        <f ca="1">MAX(N16:$N$732)</f>
        <v>6232.9269999999997</v>
      </c>
      <c r="P16" s="52">
        <f t="shared" ca="1" si="1"/>
        <v>-0.28340216402341956</v>
      </c>
      <c r="Q16" s="43">
        <f t="shared" ca="1" si="2"/>
        <v>1.044426991022135E-3</v>
      </c>
    </row>
    <row r="17" spans="12:17" x14ac:dyDescent="0.3">
      <c r="L17" s="10">
        <f ca="1"/>
        <v>45995.229166666664</v>
      </c>
      <c r="M17" s="50">
        <f ca="1"/>
        <v>92078.06</v>
      </c>
      <c r="N17" s="51">
        <f t="shared" ca="1" si="0"/>
        <v>4603.9030000000002</v>
      </c>
      <c r="O17" s="51">
        <f ca="1">MAX(N17:$N$732)</f>
        <v>6232.9269999999997</v>
      </c>
      <c r="P17" s="52">
        <f t="shared" ca="1" si="1"/>
        <v>-0.26135778583641356</v>
      </c>
      <c r="Q17" s="43">
        <f t="shared" ca="1" si="2"/>
        <v>3.0298870064162129E-2</v>
      </c>
    </row>
    <row r="18" spans="12:17" x14ac:dyDescent="0.3">
      <c r="L18" s="10">
        <f ca="1"/>
        <v>45994.229166666664</v>
      </c>
      <c r="M18" s="50">
        <f ca="1"/>
        <v>93429.95</v>
      </c>
      <c r="N18" s="51">
        <f t="shared" ca="1" si="0"/>
        <v>4671.4975000000004</v>
      </c>
      <c r="O18" s="51">
        <f ca="1">MAX(N18:$N$732)</f>
        <v>6232.9269999999997</v>
      </c>
      <c r="P18" s="52">
        <f t="shared" ca="1" si="1"/>
        <v>-0.25051304146510933</v>
      </c>
      <c r="Q18" s="43">
        <f t="shared" ca="1" si="2"/>
        <v>1.4575262088996599E-2</v>
      </c>
    </row>
    <row r="19" spans="12:17" x14ac:dyDescent="0.3">
      <c r="L19" s="10">
        <f ca="1"/>
        <v>45993.229166666664</v>
      </c>
      <c r="M19" s="50">
        <f ca="1"/>
        <v>91277.88</v>
      </c>
      <c r="N19" s="51">
        <f t="shared" ca="1" si="0"/>
        <v>4563.8940000000002</v>
      </c>
      <c r="O19" s="51">
        <f ca="1">MAX(N19:$N$732)</f>
        <v>6232.9269999999997</v>
      </c>
      <c r="P19" s="52">
        <f t="shared" ca="1" si="1"/>
        <v>-0.26777676042090653</v>
      </c>
      <c r="Q19" s="43">
        <f t="shared" ca="1" si="2"/>
        <v>-2.3303477601614796E-2</v>
      </c>
    </row>
    <row r="20" spans="12:17" x14ac:dyDescent="0.3">
      <c r="L20" s="10">
        <f ca="1"/>
        <v>45992.229166666664</v>
      </c>
      <c r="M20" s="50">
        <f ca="1"/>
        <v>86286.01</v>
      </c>
      <c r="N20" s="51">
        <f t="shared" ca="1" si="0"/>
        <v>4314.3005000000003</v>
      </c>
      <c r="O20" s="51">
        <f ca="1">MAX(N20:$N$732)</f>
        <v>6232.9269999999997</v>
      </c>
      <c r="P20" s="52">
        <f t="shared" ca="1" si="1"/>
        <v>-0.3078211087663949</v>
      </c>
      <c r="Q20" s="43">
        <f t="shared" ca="1" si="2"/>
        <v>-5.6241004017146552E-2</v>
      </c>
    </row>
    <row r="21" spans="12:17" x14ac:dyDescent="0.3">
      <c r="L21" s="10">
        <f ca="1"/>
        <v>45991.229166666664</v>
      </c>
      <c r="M21" s="50">
        <f ca="1"/>
        <v>90360</v>
      </c>
      <c r="N21" s="51">
        <f t="shared" ca="1" si="0"/>
        <v>4518</v>
      </c>
      <c r="O21" s="51">
        <f ca="1">MAX(N21:$N$732)</f>
        <v>6232.9269999999997</v>
      </c>
      <c r="P21" s="52">
        <f t="shared" ca="1" si="1"/>
        <v>-0.27513991420082407</v>
      </c>
      <c r="Q21" s="43">
        <f t="shared" ca="1" si="2"/>
        <v>4.6134215573855608E-2</v>
      </c>
    </row>
    <row r="22" spans="12:17" x14ac:dyDescent="0.3">
      <c r="L22" s="10">
        <f ca="1"/>
        <v>45990.229166666664</v>
      </c>
      <c r="M22" s="50">
        <f ca="1"/>
        <v>90802.44</v>
      </c>
      <c r="N22" s="51">
        <f t="shared" ca="1" si="0"/>
        <v>4540.1220000000003</v>
      </c>
      <c r="O22" s="51">
        <f ca="1">MAX(N22:$N$732)</f>
        <v>6232.9269999999997</v>
      </c>
      <c r="P22" s="52">
        <f t="shared" ca="1" si="1"/>
        <v>-0.27159069888031728</v>
      </c>
      <c r="Q22" s="43">
        <f t="shared" ca="1" si="2"/>
        <v>4.8844658930888409E-3</v>
      </c>
    </row>
    <row r="23" spans="12:17" x14ac:dyDescent="0.3">
      <c r="L23" s="10">
        <f ca="1"/>
        <v>45989.229166666664</v>
      </c>
      <c r="M23" s="50">
        <f ca="1"/>
        <v>90890.7</v>
      </c>
      <c r="N23" s="51">
        <f t="shared" ca="1" si="0"/>
        <v>4544.5349999999999</v>
      </c>
      <c r="O23" s="51">
        <f ca="1">MAX(N23:$N$732)</f>
        <v>6232.9269999999997</v>
      </c>
      <c r="P23" s="52">
        <f t="shared" ca="1" si="1"/>
        <v>-0.27088268481244848</v>
      </c>
      <c r="Q23" s="43">
        <f t="shared" ca="1" si="2"/>
        <v>9.7152822546999981E-4</v>
      </c>
    </row>
    <row r="24" spans="12:17" x14ac:dyDescent="0.3">
      <c r="L24" s="10">
        <f ca="1"/>
        <v>45988.229166666664</v>
      </c>
      <c r="M24" s="50">
        <f ca="1"/>
        <v>91333.95</v>
      </c>
      <c r="N24" s="51">
        <f t="shared" ca="1" si="0"/>
        <v>4566.6975000000002</v>
      </c>
      <c r="O24" s="51">
        <f ca="1">MAX(N24:$N$732)</f>
        <v>6232.9269999999997</v>
      </c>
      <c r="P24" s="52">
        <f t="shared" ca="1" si="1"/>
        <v>-0.26732697174216857</v>
      </c>
      <c r="Q24" s="43">
        <f t="shared" ca="1" si="2"/>
        <v>4.8648838036233046E-3</v>
      </c>
    </row>
    <row r="25" spans="12:17" x14ac:dyDescent="0.3">
      <c r="L25" s="10">
        <f ca="1"/>
        <v>45987.229166666664</v>
      </c>
      <c r="M25" s="50">
        <f ca="1"/>
        <v>90484.02</v>
      </c>
      <c r="N25" s="51">
        <f t="shared" ca="1" si="0"/>
        <v>4524.201</v>
      </c>
      <c r="O25" s="51">
        <f ca="1">MAX(N25:$N$732)</f>
        <v>6232.9269999999997</v>
      </c>
      <c r="P25" s="52">
        <f t="shared" ca="1" si="1"/>
        <v>-0.27414503651334271</v>
      </c>
      <c r="Q25" s="43">
        <f t="shared" ca="1" si="2"/>
        <v>-9.3493089928670791E-3</v>
      </c>
    </row>
    <row r="26" spans="12:17" x14ac:dyDescent="0.3">
      <c r="L26" s="10">
        <f ca="1"/>
        <v>45986.229166666664</v>
      </c>
      <c r="M26" s="50">
        <f ca="1"/>
        <v>87369.96</v>
      </c>
      <c r="N26" s="51">
        <f t="shared" ca="1" si="0"/>
        <v>4368.4980000000005</v>
      </c>
      <c r="O26" s="51">
        <f ca="1">MAX(N26:$N$732)</f>
        <v>6232.9269999999997</v>
      </c>
      <c r="P26" s="52">
        <f t="shared" ca="1" si="1"/>
        <v>-0.29912575584472578</v>
      </c>
      <c r="Q26" s="43">
        <f t="shared" ca="1" si="2"/>
        <v>-3.5021744042270438E-2</v>
      </c>
    </row>
    <row r="27" spans="12:17" x14ac:dyDescent="0.3">
      <c r="L27" s="10">
        <f ca="1"/>
        <v>45985.229166666664</v>
      </c>
      <c r="M27" s="50">
        <f ca="1"/>
        <v>88300.01</v>
      </c>
      <c r="N27" s="51">
        <f t="shared" ca="1" si="0"/>
        <v>4415.0005000000001</v>
      </c>
      <c r="O27" s="51">
        <f ca="1">MAX(N27:$N$732)</f>
        <v>6232.9269999999997</v>
      </c>
      <c r="P27" s="52">
        <f t="shared" ca="1" si="1"/>
        <v>-0.29166497537994585</v>
      </c>
      <c r="Q27" s="43">
        <f t="shared" ca="1" si="2"/>
        <v>1.0588704373343857E-2</v>
      </c>
    </row>
    <row r="28" spans="12:17" x14ac:dyDescent="0.3">
      <c r="L28" s="10">
        <f ca="1"/>
        <v>45984.229166666664</v>
      </c>
      <c r="M28" s="50">
        <f ca="1"/>
        <v>86830</v>
      </c>
      <c r="N28" s="51">
        <f t="shared" ca="1" si="0"/>
        <v>4341.5</v>
      </c>
      <c r="O28" s="51">
        <f ca="1">MAX(N28:$N$732)</f>
        <v>6232.9269999999997</v>
      </c>
      <c r="P28" s="52">
        <f t="shared" ca="1" si="1"/>
        <v>-0.3034572681502607</v>
      </c>
      <c r="Q28" s="43">
        <f t="shared" ca="1" si="2"/>
        <v>-1.678803678763726E-2</v>
      </c>
    </row>
    <row r="29" spans="12:17" x14ac:dyDescent="0.3">
      <c r="L29" s="10">
        <f ca="1"/>
        <v>45983.229166666664</v>
      </c>
      <c r="M29" s="50">
        <f ca="1"/>
        <v>84739.74</v>
      </c>
      <c r="N29" s="51">
        <f t="shared" ca="1" si="0"/>
        <v>4236.9870000000001</v>
      </c>
      <c r="O29" s="51">
        <f ca="1">MAX(N29:$N$732)</f>
        <v>6232.9269999999997</v>
      </c>
      <c r="P29" s="52">
        <f t="shared" ca="1" si="1"/>
        <v>-0.3202251526449772</v>
      </c>
      <c r="Q29" s="43">
        <f t="shared" ca="1" si="2"/>
        <v>-2.436750708748581E-2</v>
      </c>
    </row>
    <row r="30" spans="12:17" x14ac:dyDescent="0.3">
      <c r="L30" s="10">
        <f ca="1"/>
        <v>45982.229166666664</v>
      </c>
      <c r="M30" s="50">
        <f ca="1"/>
        <v>85129.43</v>
      </c>
      <c r="N30" s="51">
        <f t="shared" ca="1" si="0"/>
        <v>4256.4714999999997</v>
      </c>
      <c r="O30" s="51">
        <f ca="1">MAX(N30:$N$732)</f>
        <v>6232.9269999999997</v>
      </c>
      <c r="P30" s="52">
        <f t="shared" ca="1" si="1"/>
        <v>-0.31709909325105207</v>
      </c>
      <c r="Q30" s="43">
        <f t="shared" ca="1" si="2"/>
        <v>4.5881272465222046E-3</v>
      </c>
    </row>
    <row r="31" spans="12:17" x14ac:dyDescent="0.3">
      <c r="L31" s="10">
        <f ca="1"/>
        <v>45981.229166666664</v>
      </c>
      <c r="M31" s="50">
        <f ca="1"/>
        <v>86637.23</v>
      </c>
      <c r="N31" s="51">
        <f t="shared" ca="1" si="0"/>
        <v>4331.8615</v>
      </c>
      <c r="O31" s="51">
        <f ca="1">MAX(N31:$N$732)</f>
        <v>6232.9269999999997</v>
      </c>
      <c r="P31" s="52">
        <f t="shared" ca="1" si="1"/>
        <v>-0.30500365237712551</v>
      </c>
      <c r="Q31" s="43">
        <f t="shared" ca="1" si="2"/>
        <v>1.7556826574241579E-2</v>
      </c>
    </row>
    <row r="32" spans="12:17" x14ac:dyDescent="0.3">
      <c r="L32" s="10">
        <f ca="1"/>
        <v>45980.229166666664</v>
      </c>
      <c r="M32" s="50">
        <f ca="1"/>
        <v>91554.96</v>
      </c>
      <c r="N32" s="51">
        <f t="shared" ca="1" si="0"/>
        <v>4577.7480000000005</v>
      </c>
      <c r="O32" s="51">
        <f ca="1">MAX(N32:$N$732)</f>
        <v>6232.9269999999997</v>
      </c>
      <c r="P32" s="52">
        <f t="shared" ca="1" si="1"/>
        <v>-0.26555404868370819</v>
      </c>
      <c r="Q32" s="43">
        <f t="shared" ca="1" si="2"/>
        <v>5.5209816891894928E-2</v>
      </c>
    </row>
    <row r="33" spans="12:17" x14ac:dyDescent="0.3">
      <c r="L33" s="10">
        <f ca="1"/>
        <v>45979.229166666664</v>
      </c>
      <c r="M33" s="50">
        <f ca="1"/>
        <v>92960.83</v>
      </c>
      <c r="N33" s="51">
        <f t="shared" ca="1" si="0"/>
        <v>4648.0415000000003</v>
      </c>
      <c r="O33" s="51">
        <f ca="1">MAX(N33:$N$732)</f>
        <v>6232.9269999999997</v>
      </c>
      <c r="P33" s="52">
        <f t="shared" ca="1" si="1"/>
        <v>-0.25427628143246334</v>
      </c>
      <c r="Q33" s="43">
        <f t="shared" ca="1" si="2"/>
        <v>1.5238773937443471E-2</v>
      </c>
    </row>
    <row r="34" spans="12:17" x14ac:dyDescent="0.3">
      <c r="L34" s="10">
        <f ca="1"/>
        <v>45978.229166666664</v>
      </c>
      <c r="M34" s="50">
        <f ca="1"/>
        <v>92215.14</v>
      </c>
      <c r="N34" s="51">
        <f t="shared" ca="1" si="0"/>
        <v>4610.7570000000005</v>
      </c>
      <c r="O34" s="51">
        <f ca="1">MAX(N34:$N$732)</f>
        <v>6232.9269999999997</v>
      </c>
      <c r="P34" s="52">
        <f t="shared" ca="1" si="1"/>
        <v>-0.26025814196123254</v>
      </c>
      <c r="Q34" s="43">
        <f t="shared" ca="1" si="2"/>
        <v>-8.0538963103697157E-3</v>
      </c>
    </row>
    <row r="35" spans="12:17" x14ac:dyDescent="0.3">
      <c r="L35" s="10">
        <f ca="1"/>
        <v>45977.229166666664</v>
      </c>
      <c r="M35" s="50">
        <f ca="1"/>
        <v>94261.440000000002</v>
      </c>
      <c r="N35" s="51">
        <f t="shared" ca="1" si="0"/>
        <v>4713.0720000000001</v>
      </c>
      <c r="O35" s="51">
        <f ca="1">MAX(N35:$N$732)</f>
        <v>6232.9269999999997</v>
      </c>
      <c r="P35" s="52">
        <f t="shared" ca="1" si="1"/>
        <v>-0.24384290077518952</v>
      </c>
      <c r="Q35" s="43">
        <f t="shared" ca="1" si="2"/>
        <v>2.1947872947791859E-2</v>
      </c>
    </row>
    <row r="36" spans="12:17" x14ac:dyDescent="0.3">
      <c r="L36" s="10">
        <f ca="1"/>
        <v>45976.229166666664</v>
      </c>
      <c r="M36" s="50">
        <f ca="1"/>
        <v>95596.24</v>
      </c>
      <c r="N36" s="51">
        <f t="shared" ca="1" si="0"/>
        <v>4779.8120000000008</v>
      </c>
      <c r="O36" s="51">
        <f ca="1">MAX(N36:$N$732)</f>
        <v>6232.9269999999997</v>
      </c>
      <c r="P36" s="52">
        <f t="shared" ca="1" si="1"/>
        <v>-0.23313525090218432</v>
      </c>
      <c r="Q36" s="43">
        <f t="shared" ca="1" si="2"/>
        <v>1.4061290467363948E-2</v>
      </c>
    </row>
    <row r="37" spans="12:17" x14ac:dyDescent="0.3">
      <c r="L37" s="10">
        <f ca="1"/>
        <v>45975.229166666664</v>
      </c>
      <c r="M37" s="50">
        <f ca="1"/>
        <v>94594</v>
      </c>
      <c r="N37" s="51">
        <f t="shared" ca="1" si="0"/>
        <v>4729.7</v>
      </c>
      <c r="O37" s="51">
        <f ca="1">MAX(N37:$N$732)</f>
        <v>6232.9269999999997</v>
      </c>
      <c r="P37" s="52">
        <f t="shared" ca="1" si="1"/>
        <v>-0.24117513328810042</v>
      </c>
      <c r="Q37" s="43">
        <f t="shared" ca="1" si="2"/>
        <v>-1.0539439640716901E-2</v>
      </c>
    </row>
    <row r="38" spans="12:17" x14ac:dyDescent="0.3">
      <c r="L38" s="10">
        <f ca="1"/>
        <v>45974.229166666664</v>
      </c>
      <c r="M38" s="50">
        <f ca="1"/>
        <v>99692.02</v>
      </c>
      <c r="N38" s="51">
        <f t="shared" ca="1" si="0"/>
        <v>4984.6010000000006</v>
      </c>
      <c r="O38" s="51">
        <f ca="1">MAX(N38:$N$732)</f>
        <v>6232.9269999999997</v>
      </c>
      <c r="P38" s="52">
        <f t="shared" ca="1" si="1"/>
        <v>-0.20027925884580378</v>
      </c>
      <c r="Q38" s="43">
        <f t="shared" ca="1" si="2"/>
        <v>5.2491584544810628E-2</v>
      </c>
    </row>
    <row r="39" spans="12:17" x14ac:dyDescent="0.3">
      <c r="L39" s="10">
        <f ca="1"/>
        <v>45973.229166666664</v>
      </c>
      <c r="M39" s="50">
        <f ca="1"/>
        <v>101654.37</v>
      </c>
      <c r="N39" s="51">
        <f t="shared" ca="1" si="0"/>
        <v>5082.7184999999999</v>
      </c>
      <c r="O39" s="51">
        <f ca="1">MAX(N39:$N$732)</f>
        <v>6232.9269999999997</v>
      </c>
      <c r="P39" s="52">
        <f t="shared" ca="1" si="1"/>
        <v>-0.18453745728130616</v>
      </c>
      <c r="Q39" s="43">
        <f t="shared" ca="1" si="2"/>
        <v>1.9492896160439224E-2</v>
      </c>
    </row>
    <row r="40" spans="12:17" x14ac:dyDescent="0.3">
      <c r="L40" s="10">
        <f ca="1"/>
        <v>45972.229166666664</v>
      </c>
      <c r="M40" s="50">
        <f ca="1"/>
        <v>103058.99</v>
      </c>
      <c r="N40" s="51">
        <f t="shared" ca="1" si="0"/>
        <v>5152.9495000000006</v>
      </c>
      <c r="O40" s="51">
        <f ca="1">MAX(N40:$N$732)</f>
        <v>6232.9269999999997</v>
      </c>
      <c r="P40" s="52">
        <f t="shared" ca="1" si="1"/>
        <v>-0.17326971742168634</v>
      </c>
      <c r="Q40" s="43">
        <f t="shared" ca="1" si="2"/>
        <v>1.3723012931130239E-2</v>
      </c>
    </row>
    <row r="41" spans="12:17" x14ac:dyDescent="0.3">
      <c r="L41" s="10">
        <f ca="1"/>
        <v>45971.229166666664</v>
      </c>
      <c r="M41" s="50">
        <f ca="1"/>
        <v>106011.13</v>
      </c>
      <c r="N41" s="51">
        <f t="shared" ca="1" si="0"/>
        <v>5300.5565000000006</v>
      </c>
      <c r="O41" s="51">
        <f ca="1">MAX(N41:$N$732)</f>
        <v>6232.9269999999997</v>
      </c>
      <c r="P41" s="52">
        <f t="shared" ca="1" si="1"/>
        <v>-0.1495879062918592</v>
      </c>
      <c r="Q41" s="43">
        <f t="shared" ca="1" si="2"/>
        <v>2.8242545864333227E-2</v>
      </c>
    </row>
    <row r="42" spans="12:17" x14ac:dyDescent="0.3">
      <c r="L42" s="10">
        <f ca="1"/>
        <v>45970.229166666664</v>
      </c>
      <c r="M42" s="50">
        <f ca="1"/>
        <v>104722.96</v>
      </c>
      <c r="N42" s="51">
        <f t="shared" ca="1" si="0"/>
        <v>5236.148000000001</v>
      </c>
      <c r="O42" s="51">
        <f ca="1">MAX(N42:$N$732)</f>
        <v>6232.9269999999997</v>
      </c>
      <c r="P42" s="52">
        <f t="shared" ca="1" si="1"/>
        <v>-0.15992149434767947</v>
      </c>
      <c r="Q42" s="43">
        <f t="shared" ca="1" si="2"/>
        <v>-1.2225701545984843E-2</v>
      </c>
    </row>
    <row r="43" spans="12:17" x14ac:dyDescent="0.3">
      <c r="L43" s="10">
        <f ca="1"/>
        <v>45969.229166666664</v>
      </c>
      <c r="M43" s="50">
        <f ca="1"/>
        <v>102312.94</v>
      </c>
      <c r="N43" s="51">
        <f t="shared" ca="1" si="0"/>
        <v>5115.6470000000008</v>
      </c>
      <c r="O43" s="51">
        <f ca="1">MAX(N43:$N$732)</f>
        <v>6232.9269999999997</v>
      </c>
      <c r="P43" s="52">
        <f t="shared" ca="1" si="1"/>
        <v>-0.17925446583924357</v>
      </c>
      <c r="Q43" s="43">
        <f t="shared" ca="1" si="2"/>
        <v>-2.3282231382075587E-2</v>
      </c>
    </row>
    <row r="44" spans="12:17" x14ac:dyDescent="0.3">
      <c r="L44" s="10">
        <f ca="1"/>
        <v>45968.229166666664</v>
      </c>
      <c r="M44" s="50">
        <f ca="1"/>
        <v>103339.08</v>
      </c>
      <c r="N44" s="51">
        <f t="shared" ca="1" si="0"/>
        <v>5166.9540000000006</v>
      </c>
      <c r="O44" s="51">
        <f ca="1">MAX(N44:$N$732)</f>
        <v>6232.9269999999997</v>
      </c>
      <c r="P44" s="52">
        <f t="shared" ca="1" si="1"/>
        <v>-0.1710228597254547</v>
      </c>
      <c r="Q44" s="43">
        <f t="shared" ca="1" si="2"/>
        <v>9.9794644960753444E-3</v>
      </c>
    </row>
    <row r="45" spans="12:17" x14ac:dyDescent="0.3">
      <c r="L45" s="10">
        <f ca="1"/>
        <v>45967.229166666664</v>
      </c>
      <c r="M45" s="50">
        <f ca="1"/>
        <v>101346.04</v>
      </c>
      <c r="N45" s="51">
        <f t="shared" ca="1" si="0"/>
        <v>5067.3019999999997</v>
      </c>
      <c r="O45" s="51">
        <f ca="1">MAX(N45:$N$732)</f>
        <v>6232.9269999999997</v>
      </c>
      <c r="P45" s="52">
        <f t="shared" ca="1" si="1"/>
        <v>-0.18701085380913335</v>
      </c>
      <c r="Q45" s="43">
        <f t="shared" ca="1" si="2"/>
        <v>-1.9474820554276798E-2</v>
      </c>
    </row>
    <row r="46" spans="12:17" x14ac:dyDescent="0.3">
      <c r="L46" s="10">
        <f ca="1"/>
        <v>45966.229166666664</v>
      </c>
      <c r="M46" s="50">
        <f ca="1"/>
        <v>103885.16</v>
      </c>
      <c r="N46" s="51">
        <f t="shared" ca="1" si="0"/>
        <v>5194.2580000000007</v>
      </c>
      <c r="O46" s="51">
        <f ca="1">MAX(N46:$N$732)</f>
        <v>6232.9269999999997</v>
      </c>
      <c r="P46" s="52">
        <f t="shared" ca="1" si="1"/>
        <v>-0.16664225331052313</v>
      </c>
      <c r="Q46" s="43">
        <f t="shared" ca="1" si="2"/>
        <v>2.4745258646477294E-2</v>
      </c>
    </row>
    <row r="47" spans="12:17" x14ac:dyDescent="0.3">
      <c r="L47" s="10">
        <f ca="1"/>
        <v>45965.229166666664</v>
      </c>
      <c r="M47" s="50">
        <f ca="1"/>
        <v>101497.22</v>
      </c>
      <c r="N47" s="51">
        <f t="shared" ca="1" si="0"/>
        <v>5074.8610000000008</v>
      </c>
      <c r="O47" s="51">
        <f ca="1">MAX(N47:$N$732)</f>
        <v>6232.9269999999997</v>
      </c>
      <c r="P47" s="52">
        <f t="shared" ca="1" si="1"/>
        <v>-0.18579810095642046</v>
      </c>
      <c r="Q47" s="43">
        <f t="shared" ca="1" si="2"/>
        <v>-2.3254649315977923E-2</v>
      </c>
    </row>
    <row r="48" spans="12:17" x14ac:dyDescent="0.3">
      <c r="L48" s="10">
        <f ca="1"/>
        <v>45964.229166666664</v>
      </c>
      <c r="M48" s="50">
        <f ca="1"/>
        <v>106583.03999999999</v>
      </c>
      <c r="N48" s="51">
        <f t="shared" ca="1" si="0"/>
        <v>5329.152</v>
      </c>
      <c r="O48" s="51">
        <f ca="1">MAX(N48:$N$732)</f>
        <v>6232.9269999999997</v>
      </c>
      <c r="P48" s="52">
        <f t="shared" ca="1" si="1"/>
        <v>-0.14500009385638557</v>
      </c>
      <c r="Q48" s="43">
        <f t="shared" ca="1" si="2"/>
        <v>4.8892990692747322E-2</v>
      </c>
    </row>
    <row r="49" spans="12:17" x14ac:dyDescent="0.3">
      <c r="L49" s="10">
        <f ca="1"/>
        <v>45963.229166666664</v>
      </c>
      <c r="M49" s="50">
        <f ca="1"/>
        <v>110540.68</v>
      </c>
      <c r="N49" s="51">
        <f t="shared" ca="1" si="0"/>
        <v>5527.0339999999997</v>
      </c>
      <c r="O49" s="51">
        <f ca="1">MAX(N49:$N$732)</f>
        <v>6232.9269999999997</v>
      </c>
      <c r="P49" s="52">
        <f t="shared" ca="1" si="1"/>
        <v>-0.11325224890328413</v>
      </c>
      <c r="Q49" s="43">
        <f t="shared" ca="1" si="2"/>
        <v>3.6459198368581115E-2</v>
      </c>
    </row>
    <row r="50" spans="12:17" x14ac:dyDescent="0.3">
      <c r="L50" s="10">
        <f ca="1"/>
        <v>45962.229166666664</v>
      </c>
      <c r="M50" s="50">
        <f ca="1"/>
        <v>110098.1</v>
      </c>
      <c r="N50" s="51">
        <f t="shared" ca="1" si="0"/>
        <v>5504.9050000000007</v>
      </c>
      <c r="O50" s="51">
        <f ca="1">MAX(N50:$N$732)</f>
        <v>6232.9269999999997</v>
      </c>
      <c r="P50" s="52">
        <f t="shared" ca="1" si="1"/>
        <v>-0.11680258729165272</v>
      </c>
      <c r="Q50" s="43">
        <f t="shared" ca="1" si="2"/>
        <v>-4.0118114648444022E-3</v>
      </c>
    </row>
    <row r="51" spans="12:17" x14ac:dyDescent="0.3">
      <c r="L51" s="10">
        <f ca="1"/>
        <v>45961.229166666664</v>
      </c>
      <c r="M51" s="50">
        <f ca="1"/>
        <v>109608.01</v>
      </c>
      <c r="N51" s="51">
        <f t="shared" ca="1" si="0"/>
        <v>5480.4004999999997</v>
      </c>
      <c r="O51" s="51">
        <f ca="1">MAX(N51:$N$732)</f>
        <v>6232.9269999999997</v>
      </c>
      <c r="P51" s="52">
        <f t="shared" ca="1" si="1"/>
        <v>-0.12073404678091047</v>
      </c>
      <c r="Q51" s="43">
        <f t="shared" ca="1" si="2"/>
        <v>-4.461330755654731E-3</v>
      </c>
    </row>
    <row r="52" spans="12:17" x14ac:dyDescent="0.3">
      <c r="L52" s="10">
        <f ca="1"/>
        <v>45960.229166666664</v>
      </c>
      <c r="M52" s="50">
        <f ca="1"/>
        <v>108322.88</v>
      </c>
      <c r="N52" s="51">
        <f t="shared" ca="1" si="0"/>
        <v>5416.1440000000002</v>
      </c>
      <c r="O52" s="51">
        <f ca="1">MAX(N52:$N$732)</f>
        <v>6232.9269999999997</v>
      </c>
      <c r="P52" s="52">
        <f t="shared" ca="1" si="1"/>
        <v>-0.13104324822029834</v>
      </c>
      <c r="Q52" s="43">
        <f t="shared" ca="1" si="2"/>
        <v>-1.1794059086766487E-2</v>
      </c>
    </row>
    <row r="53" spans="12:17" x14ac:dyDescent="0.3">
      <c r="L53" s="10">
        <f ca="1"/>
        <v>45959.229166666664</v>
      </c>
      <c r="M53" s="50">
        <f ca="1"/>
        <v>110021.29</v>
      </c>
      <c r="N53" s="51">
        <f t="shared" ca="1" si="0"/>
        <v>5501.0645000000004</v>
      </c>
      <c r="O53" s="51">
        <f ca="1">MAX(N53:$N$732)</f>
        <v>6232.9269999999997</v>
      </c>
      <c r="P53" s="52">
        <f t="shared" ca="1" si="1"/>
        <v>-0.11741875045223525</v>
      </c>
      <c r="Q53" s="43">
        <f t="shared" ca="1" si="2"/>
        <v>1.5557495821203403E-2</v>
      </c>
    </row>
    <row r="54" spans="12:17" x14ac:dyDescent="0.3">
      <c r="L54" s="10">
        <f ca="1"/>
        <v>45958.229166666664</v>
      </c>
      <c r="M54" s="50">
        <f ca="1"/>
        <v>112898.45</v>
      </c>
      <c r="N54" s="51">
        <f t="shared" ca="1" si="0"/>
        <v>5644.9225000000006</v>
      </c>
      <c r="O54" s="51">
        <f ca="1">MAX(N54:$N$732)</f>
        <v>6232.9269999999997</v>
      </c>
      <c r="P54" s="52">
        <f t="shared" ca="1" si="1"/>
        <v>-9.4338422381651368E-2</v>
      </c>
      <c r="Q54" s="43">
        <f t="shared" ca="1" si="2"/>
        <v>2.5814849578232005E-2</v>
      </c>
    </row>
    <row r="55" spans="12:17" x14ac:dyDescent="0.3">
      <c r="L55" s="10">
        <f ca="1"/>
        <v>45957.229166666664</v>
      </c>
      <c r="M55" s="50">
        <f ca="1"/>
        <v>114107.65</v>
      </c>
      <c r="N55" s="51">
        <f t="shared" ca="1" si="0"/>
        <v>5705.3824999999997</v>
      </c>
      <c r="O55" s="51">
        <f ca="1">MAX(N55:$N$732)</f>
        <v>6232.9269999999997</v>
      </c>
      <c r="P55" s="52">
        <f t="shared" ca="1" si="1"/>
        <v>-8.463832481914195E-2</v>
      </c>
      <c r="Q55" s="43">
        <f t="shared" ca="1" si="2"/>
        <v>1.0653558973310415E-2</v>
      </c>
    </row>
    <row r="56" spans="12:17" x14ac:dyDescent="0.3">
      <c r="L56" s="10">
        <f ca="1"/>
        <v>45956.229166666664</v>
      </c>
      <c r="M56" s="50">
        <f ca="1"/>
        <v>114559.4</v>
      </c>
      <c r="N56" s="51">
        <f t="shared" ca="1" si="0"/>
        <v>5727.97</v>
      </c>
      <c r="O56" s="51">
        <f ca="1">MAX(N56:$N$732)</f>
        <v>6232.9269999999997</v>
      </c>
      <c r="P56" s="52">
        <f t="shared" ca="1" si="1"/>
        <v>-8.101442548581099E-2</v>
      </c>
      <c r="Q56" s="43">
        <f t="shared" ca="1" si="2"/>
        <v>3.9511646974535099E-3</v>
      </c>
    </row>
    <row r="57" spans="12:17" x14ac:dyDescent="0.3">
      <c r="L57" s="10">
        <f ca="1"/>
        <v>45955.229166666664</v>
      </c>
      <c r="M57" s="50">
        <f ca="1"/>
        <v>111646.27</v>
      </c>
      <c r="N57" s="51">
        <f t="shared" ca="1" si="0"/>
        <v>5582.3135000000002</v>
      </c>
      <c r="O57" s="51">
        <f ca="1">MAX(N57:$N$732)</f>
        <v>6232.9269999999997</v>
      </c>
      <c r="P57" s="52">
        <f t="shared" ca="1" si="1"/>
        <v>-0.10438330177780031</v>
      </c>
      <c r="Q57" s="43">
        <f t="shared" ca="1" si="2"/>
        <v>-2.5757896011683372E-2</v>
      </c>
    </row>
    <row r="58" spans="12:17" x14ac:dyDescent="0.3">
      <c r="L58" s="10">
        <f ca="1"/>
        <v>45954.229166666664</v>
      </c>
      <c r="M58" s="50">
        <f ca="1"/>
        <v>111004.89</v>
      </c>
      <c r="N58" s="51">
        <f t="shared" ca="1" si="0"/>
        <v>5550.2445000000007</v>
      </c>
      <c r="O58" s="51">
        <f ca="1">MAX(N58:$N$732)</f>
        <v>6232.9269999999997</v>
      </c>
      <c r="P58" s="52">
        <f t="shared" ca="1" si="1"/>
        <v>-0.10952839653023355</v>
      </c>
      <c r="Q58" s="43">
        <f t="shared" ca="1" si="2"/>
        <v>-5.7613153607322561E-3</v>
      </c>
    </row>
    <row r="59" spans="12:17" x14ac:dyDescent="0.3">
      <c r="L59" s="10">
        <f ca="1"/>
        <v>45953.229166666664</v>
      </c>
      <c r="M59" s="50">
        <f ca="1"/>
        <v>110078.18</v>
      </c>
      <c r="N59" s="51">
        <f t="shared" ca="1" si="0"/>
        <v>5503.9089999999997</v>
      </c>
      <c r="O59" s="51">
        <f ca="1">MAX(N59:$N$732)</f>
        <v>6232.9269999999997</v>
      </c>
      <c r="P59" s="52">
        <f t="shared" ca="1" si="1"/>
        <v>-0.11696238380459134</v>
      </c>
      <c r="Q59" s="43">
        <f t="shared" ca="1" si="2"/>
        <v>-8.383413777914718E-3</v>
      </c>
    </row>
    <row r="60" spans="12:17" x14ac:dyDescent="0.3">
      <c r="L60" s="10">
        <f ca="1"/>
        <v>45952.229166666664</v>
      </c>
      <c r="M60" s="50">
        <f ca="1"/>
        <v>107567.44</v>
      </c>
      <c r="N60" s="51">
        <f t="shared" ca="1" si="0"/>
        <v>5378.3720000000003</v>
      </c>
      <c r="O60" s="51">
        <f ca="1">MAX(N60:$N$732)</f>
        <v>6232.9269999999997</v>
      </c>
      <c r="P60" s="52">
        <f t="shared" ca="1" si="1"/>
        <v>-0.13710332240374376</v>
      </c>
      <c r="Q60" s="43">
        <f t="shared" ca="1" si="2"/>
        <v>-2.307284091421475E-2</v>
      </c>
    </row>
    <row r="61" spans="12:17" x14ac:dyDescent="0.3">
      <c r="L61" s="10">
        <f ca="1"/>
        <v>45951.229166666664</v>
      </c>
      <c r="M61" s="50">
        <f ca="1"/>
        <v>108297.67</v>
      </c>
      <c r="N61" s="51">
        <f t="shared" ca="1" si="0"/>
        <v>5414.8834999999999</v>
      </c>
      <c r="O61" s="51">
        <f ca="1">MAX(N61:$N$732)</f>
        <v>6232.9269999999997</v>
      </c>
      <c r="P61" s="52">
        <f t="shared" ca="1" si="1"/>
        <v>-0.13124548065459452</v>
      </c>
      <c r="Q61" s="43">
        <f t="shared" ca="1" si="2"/>
        <v>6.7656397595053036E-3</v>
      </c>
    </row>
    <row r="62" spans="12:17" x14ac:dyDescent="0.3">
      <c r="L62" s="10">
        <f ca="1"/>
        <v>45950.229166666664</v>
      </c>
      <c r="M62" s="50">
        <f ca="1"/>
        <v>110532.09</v>
      </c>
      <c r="N62" s="51">
        <f t="shared" ca="1" si="0"/>
        <v>5526.6045000000004</v>
      </c>
      <c r="O62" s="51">
        <f ca="1">MAX(N62:$N$732)</f>
        <v>6232.9269999999997</v>
      </c>
      <c r="P62" s="52">
        <f t="shared" ca="1" si="1"/>
        <v>-0.11332115713853208</v>
      </c>
      <c r="Q62" s="43">
        <f t="shared" ca="1" si="2"/>
        <v>2.0422246574193524E-2</v>
      </c>
    </row>
    <row r="63" spans="12:17" x14ac:dyDescent="0.3">
      <c r="L63" s="10">
        <f ca="1"/>
        <v>45949.229166666664</v>
      </c>
      <c r="M63" s="50">
        <f ca="1"/>
        <v>108642.78</v>
      </c>
      <c r="N63" s="51">
        <f t="shared" ca="1" si="0"/>
        <v>5432.1390000000001</v>
      </c>
      <c r="O63" s="51">
        <f ca="1">MAX(N63:$N$732)</f>
        <v>6232.9269999999997</v>
      </c>
      <c r="P63" s="52">
        <f t="shared" ca="1" si="1"/>
        <v>-0.12847703815558881</v>
      </c>
      <c r="Q63" s="43">
        <f t="shared" ca="1" si="2"/>
        <v>-1.7240633452995695E-2</v>
      </c>
    </row>
    <row r="64" spans="12:17" x14ac:dyDescent="0.3">
      <c r="L64" s="10">
        <f ca="1"/>
        <v>45948.229166666664</v>
      </c>
      <c r="M64" s="50">
        <f ca="1"/>
        <v>107185.01</v>
      </c>
      <c r="N64" s="51">
        <f t="shared" ca="1" si="0"/>
        <v>5359.2505000000001</v>
      </c>
      <c r="O64" s="51">
        <f ca="1">MAX(N64:$N$732)</f>
        <v>6232.9269999999997</v>
      </c>
      <c r="P64" s="52">
        <f t="shared" ca="1" si="1"/>
        <v>-0.14017114270711009</v>
      </c>
      <c r="Q64" s="43">
        <f t="shared" ca="1" si="2"/>
        <v>-1.3508845814879275E-2</v>
      </c>
    </row>
    <row r="65" spans="12:17" x14ac:dyDescent="0.3">
      <c r="L65" s="10">
        <f ca="1"/>
        <v>45947.229166666664</v>
      </c>
      <c r="M65" s="50">
        <f ca="1"/>
        <v>106431.67999999999</v>
      </c>
      <c r="N65" s="51">
        <f t="shared" ca="1" si="0"/>
        <v>5321.5839999999998</v>
      </c>
      <c r="O65" s="51">
        <f ca="1">MAX(N65:$N$732)</f>
        <v>6232.9269999999997</v>
      </c>
      <c r="P65" s="52">
        <f t="shared" ca="1" si="1"/>
        <v>-0.14621429065349231</v>
      </c>
      <c r="Q65" s="43">
        <f t="shared" ca="1" si="2"/>
        <v>-7.0531298183407216E-3</v>
      </c>
    </row>
    <row r="66" spans="12:17" x14ac:dyDescent="0.3">
      <c r="L66" s="10">
        <f ca="1"/>
        <v>45946.229166666664</v>
      </c>
      <c r="M66" s="50">
        <f ca="1"/>
        <v>108194.28</v>
      </c>
      <c r="N66" s="51">
        <f t="shared" ca="1" si="0"/>
        <v>5409.7139999999999</v>
      </c>
      <c r="O66" s="51">
        <f ca="1">MAX(N66:$N$732)</f>
        <v>6232.9269999999997</v>
      </c>
      <c r="P66" s="52">
        <f t="shared" ca="1" si="1"/>
        <v>-0.13207486627069429</v>
      </c>
      <c r="Q66" s="43">
        <f t="shared" ca="1" si="2"/>
        <v>1.6425222998888864E-2</v>
      </c>
    </row>
    <row r="67" spans="12:17" x14ac:dyDescent="0.3">
      <c r="L67" s="10">
        <f ca="1"/>
        <v>45945.229166666664</v>
      </c>
      <c r="M67" s="50">
        <f ca="1"/>
        <v>110763.28</v>
      </c>
      <c r="N67" s="51">
        <f t="shared" ref="N67:N130" ca="1" si="3">$C$6*M67</f>
        <v>5538.1640000000007</v>
      </c>
      <c r="O67" s="51">
        <f ca="1">MAX(N67:$N$732)</f>
        <v>6232.9269999999997</v>
      </c>
      <c r="P67" s="52">
        <f t="shared" ref="P67:P130" ca="1" si="4">(N67 - O67)/O67</f>
        <v>-0.11146657100267644</v>
      </c>
      <c r="Q67" s="43">
        <f t="shared" ca="1" si="2"/>
        <v>2.3466811492917836E-2</v>
      </c>
    </row>
    <row r="68" spans="12:17" x14ac:dyDescent="0.3">
      <c r="L68" s="10">
        <f ca="1"/>
        <v>45944.229166666664</v>
      </c>
      <c r="M68" s="50">
        <f ca="1"/>
        <v>113028.14</v>
      </c>
      <c r="N68" s="51">
        <f t="shared" ca="1" si="3"/>
        <v>5651.4070000000002</v>
      </c>
      <c r="O68" s="51">
        <f ca="1">MAX(N68:$N$732)</f>
        <v>6232.9269999999997</v>
      </c>
      <c r="P68" s="52">
        <f t="shared" ca="1" si="4"/>
        <v>-9.3298060445758405E-2</v>
      </c>
      <c r="Q68" s="43">
        <f t="shared" ref="Q68:Q131" ca="1" si="5">LN(N68 / N67)</f>
        <v>2.0241502815851686E-2</v>
      </c>
    </row>
    <row r="69" spans="12:17" x14ac:dyDescent="0.3">
      <c r="L69" s="10">
        <f ca="1"/>
        <v>45943.229166666664</v>
      </c>
      <c r="M69" s="50">
        <f ca="1"/>
        <v>115166</v>
      </c>
      <c r="N69" s="51">
        <f t="shared" ca="1" si="3"/>
        <v>5758.3</v>
      </c>
      <c r="O69" s="51">
        <f ca="1">MAX(N69:$N$732)</f>
        <v>6232.9269999999997</v>
      </c>
      <c r="P69" s="52">
        <f t="shared" ca="1" si="4"/>
        <v>-7.6148332877955985E-2</v>
      </c>
      <c r="Q69" s="43">
        <f t="shared" ca="1" si="5"/>
        <v>1.8737751551799752E-2</v>
      </c>
    </row>
    <row r="70" spans="12:17" x14ac:dyDescent="0.3">
      <c r="L70" s="10">
        <f ca="1"/>
        <v>45942.229166666664</v>
      </c>
      <c r="M70" s="50">
        <f ca="1"/>
        <v>114958.8</v>
      </c>
      <c r="N70" s="51">
        <f t="shared" ca="1" si="3"/>
        <v>5747.9400000000005</v>
      </c>
      <c r="O70" s="51">
        <f ca="1">MAX(N70:$N$732)</f>
        <v>6232.9269999999997</v>
      </c>
      <c r="P70" s="52">
        <f t="shared" ca="1" si="4"/>
        <v>-7.7810473313741552E-2</v>
      </c>
      <c r="Q70" s="43">
        <f t="shared" ca="1" si="5"/>
        <v>-1.8007625079209293E-3</v>
      </c>
    </row>
    <row r="71" spans="12:17" x14ac:dyDescent="0.3">
      <c r="L71" s="10">
        <f ca="1"/>
        <v>45941.229166666664</v>
      </c>
      <c r="M71" s="50">
        <f ca="1"/>
        <v>110644.4</v>
      </c>
      <c r="N71" s="51">
        <f t="shared" ca="1" si="3"/>
        <v>5532.22</v>
      </c>
      <c r="O71" s="51">
        <f ca="1">MAX(N71:$N$732)</f>
        <v>6232.9269999999997</v>
      </c>
      <c r="P71" s="52">
        <f t="shared" ca="1" si="4"/>
        <v>-0.11242021605579521</v>
      </c>
      <c r="Q71" s="43">
        <f t="shared" ca="1" si="5"/>
        <v>-3.8252348118231159E-2</v>
      </c>
    </row>
    <row r="72" spans="12:17" x14ac:dyDescent="0.3">
      <c r="L72" s="10">
        <f ca="1"/>
        <v>45940.229166666664</v>
      </c>
      <c r="M72" s="50">
        <f ca="1"/>
        <v>112774.5</v>
      </c>
      <c r="N72" s="51">
        <f t="shared" ca="1" si="3"/>
        <v>5638.7250000000004</v>
      </c>
      <c r="O72" s="51">
        <f ca="1">MAX(N72:$N$732)</f>
        <v>6232.9269999999997</v>
      </c>
      <c r="P72" s="52">
        <f t="shared" ca="1" si="4"/>
        <v>-9.533273853520173E-2</v>
      </c>
      <c r="Q72" s="43">
        <f t="shared" ca="1" si="5"/>
        <v>1.9068794493195613E-2</v>
      </c>
    </row>
    <row r="73" spans="12:17" x14ac:dyDescent="0.3">
      <c r="L73" s="10">
        <f ca="1"/>
        <v>45939.229166666664</v>
      </c>
      <c r="M73" s="50">
        <f ca="1"/>
        <v>121662.39999999999</v>
      </c>
      <c r="N73" s="51">
        <f t="shared" ca="1" si="3"/>
        <v>6083.12</v>
      </c>
      <c r="O73" s="51">
        <f ca="1">MAX(N73:$N$732)</f>
        <v>6232.9269999999997</v>
      </c>
      <c r="P73" s="52">
        <f t="shared" ca="1" si="4"/>
        <v>-2.4034775315032536E-2</v>
      </c>
      <c r="Q73" s="43">
        <f t="shared" ca="1" si="5"/>
        <v>7.5859746128424985E-2</v>
      </c>
    </row>
    <row r="74" spans="12:17" x14ac:dyDescent="0.3">
      <c r="L74" s="10">
        <f ca="1"/>
        <v>45938.229166666664</v>
      </c>
      <c r="M74" s="50">
        <f ca="1"/>
        <v>123306</v>
      </c>
      <c r="N74" s="51">
        <f t="shared" ca="1" si="3"/>
        <v>6165.3</v>
      </c>
      <c r="O74" s="51">
        <f ca="1">MAX(N74:$N$732)</f>
        <v>6232.9269999999997</v>
      </c>
      <c r="P74" s="52">
        <f t="shared" ca="1" si="4"/>
        <v>-1.0849958614949204E-2</v>
      </c>
      <c r="Q74" s="43">
        <f t="shared" ca="1" si="5"/>
        <v>1.341907498052123E-2</v>
      </c>
    </row>
    <row r="75" spans="12:17" x14ac:dyDescent="0.3">
      <c r="L75" s="10">
        <f ca="1"/>
        <v>45937.229166666664</v>
      </c>
      <c r="M75" s="50">
        <f ca="1"/>
        <v>121332.95</v>
      </c>
      <c r="N75" s="51">
        <f t="shared" ca="1" si="3"/>
        <v>6066.6475</v>
      </c>
      <c r="O75" s="51">
        <f ca="1">MAX(N75:$N$732)</f>
        <v>6232.9269999999997</v>
      </c>
      <c r="P75" s="52">
        <f t="shared" ca="1" si="4"/>
        <v>-2.6677594651758261E-2</v>
      </c>
      <c r="Q75" s="43">
        <f t="shared" ca="1" si="5"/>
        <v>-1.6130651163857326E-2</v>
      </c>
    </row>
    <row r="76" spans="12:17" x14ac:dyDescent="0.3">
      <c r="L76" s="10">
        <f ca="1"/>
        <v>45936.229166666664</v>
      </c>
      <c r="M76" s="50">
        <f ca="1"/>
        <v>124658.54</v>
      </c>
      <c r="N76" s="51">
        <f t="shared" ca="1" si="3"/>
        <v>6232.9269999999997</v>
      </c>
      <c r="O76" s="51">
        <f ca="1">MAX(N76:$N$732)</f>
        <v>6232.9269999999997</v>
      </c>
      <c r="P76" s="52">
        <f t="shared" ca="1" si="4"/>
        <v>0</v>
      </c>
      <c r="Q76" s="43">
        <f t="shared" ca="1" si="5"/>
        <v>2.7039899832890298E-2</v>
      </c>
    </row>
    <row r="77" spans="12:17" x14ac:dyDescent="0.3">
      <c r="L77" s="10">
        <f ca="1"/>
        <v>45935.229166666664</v>
      </c>
      <c r="M77" s="50">
        <f ca="1"/>
        <v>123482.31</v>
      </c>
      <c r="N77" s="51">
        <f t="shared" ca="1" si="3"/>
        <v>6174.1154999999999</v>
      </c>
      <c r="O77" s="51">
        <f ca="1">MAX(N77:$N$732)</f>
        <v>6174.1154999999999</v>
      </c>
      <c r="P77" s="52">
        <f t="shared" ca="1" si="4"/>
        <v>0</v>
      </c>
      <c r="Q77" s="43">
        <f t="shared" ca="1" si="5"/>
        <v>-9.4804125139021974E-3</v>
      </c>
    </row>
    <row r="78" spans="12:17" x14ac:dyDescent="0.3">
      <c r="L78" s="10">
        <f ca="1"/>
        <v>45934.229166666664</v>
      </c>
      <c r="M78" s="50">
        <f ca="1"/>
        <v>122391</v>
      </c>
      <c r="N78" s="51">
        <f t="shared" ca="1" si="3"/>
        <v>6119.55</v>
      </c>
      <c r="O78" s="51">
        <f ca="1">MAX(N78:$N$732)</f>
        <v>6165.3215</v>
      </c>
      <c r="P78" s="52">
        <f t="shared" ca="1" si="4"/>
        <v>-7.4240248460684223E-3</v>
      </c>
      <c r="Q78" s="43">
        <f t="shared" ca="1" si="5"/>
        <v>-8.8770689789276786E-3</v>
      </c>
    </row>
    <row r="79" spans="12:17" x14ac:dyDescent="0.3">
      <c r="L79" s="10">
        <f ca="1"/>
        <v>45933.229166666664</v>
      </c>
      <c r="M79" s="50">
        <f ca="1"/>
        <v>122232</v>
      </c>
      <c r="N79" s="51">
        <f t="shared" ca="1" si="3"/>
        <v>6111.6</v>
      </c>
      <c r="O79" s="51">
        <f ca="1">MAX(N79:$N$732)</f>
        <v>6165.3215</v>
      </c>
      <c r="P79" s="52">
        <f t="shared" ca="1" si="4"/>
        <v>-8.7134953140723722E-3</v>
      </c>
      <c r="Q79" s="43">
        <f t="shared" ca="1" si="5"/>
        <v>-1.2999597126281115E-3</v>
      </c>
    </row>
    <row r="80" spans="12:17" x14ac:dyDescent="0.3">
      <c r="L80" s="10">
        <f ca="1"/>
        <v>45932.229166666664</v>
      </c>
      <c r="M80" s="50">
        <f ca="1"/>
        <v>120529.35</v>
      </c>
      <c r="N80" s="51">
        <f t="shared" ca="1" si="3"/>
        <v>6026.4675000000007</v>
      </c>
      <c r="O80" s="51">
        <f ca="1">MAX(N80:$N$732)</f>
        <v>6165.3215</v>
      </c>
      <c r="P80" s="52">
        <f t="shared" ca="1" si="4"/>
        <v>-2.252177765587721E-2</v>
      </c>
      <c r="Q80" s="43">
        <f t="shared" ca="1" si="5"/>
        <v>-1.4027586512955978E-2</v>
      </c>
    </row>
    <row r="81" spans="12:17" x14ac:dyDescent="0.3">
      <c r="L81" s="10">
        <f ca="1"/>
        <v>45931.229166666664</v>
      </c>
      <c r="M81" s="50">
        <f ca="1"/>
        <v>118594.99</v>
      </c>
      <c r="N81" s="51">
        <f t="shared" ca="1" si="3"/>
        <v>5929.7495000000008</v>
      </c>
      <c r="O81" s="51">
        <f ca="1">MAX(N81:$N$732)</f>
        <v>6165.3215</v>
      </c>
      <c r="P81" s="52">
        <f t="shared" ca="1" si="4"/>
        <v>-3.8209199633790256E-2</v>
      </c>
      <c r="Q81" s="43">
        <f t="shared" ca="1" si="5"/>
        <v>-1.6179048899137977E-2</v>
      </c>
    </row>
    <row r="82" spans="12:17" x14ac:dyDescent="0.3">
      <c r="L82" s="10">
        <f ca="1"/>
        <v>45930.229166666664</v>
      </c>
      <c r="M82" s="50">
        <f ca="1"/>
        <v>114048.93</v>
      </c>
      <c r="N82" s="51">
        <f t="shared" ca="1" si="3"/>
        <v>5702.4465</v>
      </c>
      <c r="O82" s="51">
        <f ca="1">MAX(N82:$N$732)</f>
        <v>6165.3215</v>
      </c>
      <c r="P82" s="52">
        <f t="shared" ca="1" si="4"/>
        <v>-7.5077187783313487E-2</v>
      </c>
      <c r="Q82" s="43">
        <f t="shared" ca="1" si="5"/>
        <v>-3.908667600199791E-2</v>
      </c>
    </row>
    <row r="83" spans="12:17" x14ac:dyDescent="0.3">
      <c r="L83" s="10">
        <f ca="1"/>
        <v>45929.229166666664</v>
      </c>
      <c r="M83" s="50">
        <f ca="1"/>
        <v>114311.96</v>
      </c>
      <c r="N83" s="51">
        <f t="shared" ca="1" si="3"/>
        <v>5715.5980000000009</v>
      </c>
      <c r="O83" s="51">
        <f ca="1">MAX(N83:$N$732)</f>
        <v>6165.3215</v>
      </c>
      <c r="P83" s="52">
        <f t="shared" ca="1" si="4"/>
        <v>-7.2944046794639852E-2</v>
      </c>
      <c r="Q83" s="43">
        <f t="shared" ca="1" si="5"/>
        <v>2.3036354107679145E-3</v>
      </c>
    </row>
    <row r="84" spans="12:17" x14ac:dyDescent="0.3">
      <c r="L84" s="10">
        <f ca="1"/>
        <v>45928.229166666664</v>
      </c>
      <c r="M84" s="50">
        <f ca="1"/>
        <v>112163.95</v>
      </c>
      <c r="N84" s="51">
        <f t="shared" ca="1" si="3"/>
        <v>5608.1975000000002</v>
      </c>
      <c r="O84" s="51">
        <f ca="1">MAX(N84:$N$732)</f>
        <v>6165.3215</v>
      </c>
      <c r="P84" s="52">
        <f t="shared" ca="1" si="4"/>
        <v>-9.0364144027201138E-2</v>
      </c>
      <c r="Q84" s="43">
        <f t="shared" ca="1" si="5"/>
        <v>-1.896956203457028E-2</v>
      </c>
    </row>
    <row r="85" spans="12:17" x14ac:dyDescent="0.3">
      <c r="L85" s="10">
        <f ca="1"/>
        <v>45927.229166666664</v>
      </c>
      <c r="M85" s="50">
        <f ca="1"/>
        <v>109635.85</v>
      </c>
      <c r="N85" s="51">
        <f t="shared" ca="1" si="3"/>
        <v>5481.7925000000005</v>
      </c>
      <c r="O85" s="51">
        <f ca="1">MAX(N85:$N$732)</f>
        <v>6165.3215</v>
      </c>
      <c r="P85" s="52">
        <f t="shared" ca="1" si="4"/>
        <v>-0.11086672446846438</v>
      </c>
      <c r="Q85" s="43">
        <f t="shared" ca="1" si="5"/>
        <v>-2.2797220643522423E-2</v>
      </c>
    </row>
    <row r="86" spans="12:17" x14ac:dyDescent="0.3">
      <c r="L86" s="10">
        <f ca="1"/>
        <v>45926.229166666664</v>
      </c>
      <c r="M86" s="50">
        <f ca="1"/>
        <v>109643.46</v>
      </c>
      <c r="N86" s="51">
        <f t="shared" ca="1" si="3"/>
        <v>5482.1730000000007</v>
      </c>
      <c r="O86" s="51">
        <f ca="1">MAX(N86:$N$732)</f>
        <v>6165.3215</v>
      </c>
      <c r="P86" s="52">
        <f t="shared" ca="1" si="4"/>
        <v>-0.11080500830329762</v>
      </c>
      <c r="Q86" s="43">
        <f t="shared" ca="1" si="5"/>
        <v>6.9409193261795875E-5</v>
      </c>
    </row>
    <row r="87" spans="12:17" x14ac:dyDescent="0.3">
      <c r="L87" s="10">
        <f ca="1"/>
        <v>45925.229166666664</v>
      </c>
      <c r="M87" s="50">
        <f ca="1"/>
        <v>108994.49</v>
      </c>
      <c r="N87" s="51">
        <f t="shared" ca="1" si="3"/>
        <v>5449.7245000000003</v>
      </c>
      <c r="O87" s="51">
        <f ca="1">MAX(N87:$N$732)</f>
        <v>6165.3215</v>
      </c>
      <c r="P87" s="52">
        <f t="shared" ca="1" si="4"/>
        <v>-0.11606807528204324</v>
      </c>
      <c r="Q87" s="43">
        <f t="shared" ca="1" si="5"/>
        <v>-5.9364982695478625E-3</v>
      </c>
    </row>
    <row r="88" spans="12:17" x14ac:dyDescent="0.3">
      <c r="L88" s="10">
        <f ca="1"/>
        <v>45924.229166666664</v>
      </c>
      <c r="M88" s="50">
        <f ca="1"/>
        <v>113307</v>
      </c>
      <c r="N88" s="51">
        <f t="shared" ca="1" si="3"/>
        <v>5665.35</v>
      </c>
      <c r="O88" s="51">
        <f ca="1">MAX(N88:$N$732)</f>
        <v>6165.3215</v>
      </c>
      <c r="P88" s="52">
        <f t="shared" ca="1" si="4"/>
        <v>-8.1094148942597671E-2</v>
      </c>
      <c r="Q88" s="43">
        <f t="shared" ca="1" si="5"/>
        <v>3.880361851008355E-2</v>
      </c>
    </row>
    <row r="89" spans="12:17" x14ac:dyDescent="0.3">
      <c r="L89" s="10">
        <f ca="1"/>
        <v>45923.229166666664</v>
      </c>
      <c r="M89" s="50">
        <f ca="1"/>
        <v>111998.8</v>
      </c>
      <c r="N89" s="51">
        <f t="shared" ca="1" si="3"/>
        <v>5599.9400000000005</v>
      </c>
      <c r="O89" s="51">
        <f ca="1">MAX(N89:$N$732)</f>
        <v>6165.3215</v>
      </c>
      <c r="P89" s="52">
        <f t="shared" ca="1" si="4"/>
        <v>-9.1703490239722213E-2</v>
      </c>
      <c r="Q89" s="43">
        <f t="shared" ca="1" si="5"/>
        <v>-1.1612792050812174E-2</v>
      </c>
    </row>
    <row r="90" spans="12:17" x14ac:dyDescent="0.3">
      <c r="L90" s="10">
        <f ca="1"/>
        <v>45922.229166666664</v>
      </c>
      <c r="M90" s="50">
        <f ca="1"/>
        <v>112650.99</v>
      </c>
      <c r="N90" s="51">
        <f t="shared" ca="1" si="3"/>
        <v>5632.549500000001</v>
      </c>
      <c r="O90" s="51">
        <f ca="1">MAX(N90:$N$732)</f>
        <v>6165.3215</v>
      </c>
      <c r="P90" s="52">
        <f t="shared" ca="1" si="4"/>
        <v>-8.6414309456530211E-2</v>
      </c>
      <c r="Q90" s="43">
        <f t="shared" ca="1" si="5"/>
        <v>5.806298169945134E-3</v>
      </c>
    </row>
    <row r="91" spans="12:17" x14ac:dyDescent="0.3">
      <c r="L91" s="10">
        <f ca="1"/>
        <v>45921.229166666664</v>
      </c>
      <c r="M91" s="50">
        <f ca="1"/>
        <v>115232.29</v>
      </c>
      <c r="N91" s="51">
        <f t="shared" ca="1" si="3"/>
        <v>5761.6144999999997</v>
      </c>
      <c r="O91" s="51">
        <f ca="1">MAX(N91:$N$732)</f>
        <v>6165.3215</v>
      </c>
      <c r="P91" s="52">
        <f t="shared" ca="1" si="4"/>
        <v>-6.5480283550501034E-2</v>
      </c>
      <c r="Q91" s="43">
        <f t="shared" ca="1" si="5"/>
        <v>2.2655549003409037E-2</v>
      </c>
    </row>
    <row r="92" spans="12:17" x14ac:dyDescent="0.3">
      <c r="L92" s="10">
        <f ca="1"/>
        <v>45920.229166666664</v>
      </c>
      <c r="M92" s="50">
        <f ca="1"/>
        <v>115685.63</v>
      </c>
      <c r="N92" s="51">
        <f t="shared" ca="1" si="3"/>
        <v>5784.281500000001</v>
      </c>
      <c r="O92" s="51">
        <f ca="1">MAX(N92:$N$732)</f>
        <v>6165.3215</v>
      </c>
      <c r="P92" s="52">
        <f t="shared" ca="1" si="4"/>
        <v>-6.1803751840029598E-2</v>
      </c>
      <c r="Q92" s="43">
        <f t="shared" ca="1" si="5"/>
        <v>3.9264218421891329E-3</v>
      </c>
    </row>
    <row r="93" spans="12:17" x14ac:dyDescent="0.3">
      <c r="L93" s="10">
        <f ca="1"/>
        <v>45919.229166666664</v>
      </c>
      <c r="M93" s="50">
        <f ca="1"/>
        <v>115632.38</v>
      </c>
      <c r="N93" s="51">
        <f t="shared" ca="1" si="3"/>
        <v>5781.6190000000006</v>
      </c>
      <c r="O93" s="51">
        <f ca="1">MAX(N93:$N$732)</f>
        <v>6165.3215</v>
      </c>
      <c r="P93" s="52">
        <f t="shared" ca="1" si="4"/>
        <v>-6.223560279865363E-2</v>
      </c>
      <c r="Q93" s="43">
        <f t="shared" ca="1" si="5"/>
        <v>-4.6040514476709116E-4</v>
      </c>
    </row>
    <row r="94" spans="12:17" x14ac:dyDescent="0.3">
      <c r="L94" s="10">
        <f ca="1"/>
        <v>45918.229166666664</v>
      </c>
      <c r="M94" s="50">
        <f ca="1"/>
        <v>117073.53</v>
      </c>
      <c r="N94" s="51">
        <f t="shared" ca="1" si="3"/>
        <v>5853.6765000000005</v>
      </c>
      <c r="O94" s="51">
        <f ca="1">MAX(N94:$N$732)</f>
        <v>6165.3215</v>
      </c>
      <c r="P94" s="52">
        <f t="shared" ca="1" si="4"/>
        <v>-5.0548053333471663E-2</v>
      </c>
      <c r="Q94" s="43">
        <f t="shared" ca="1" si="5"/>
        <v>1.238617811420769E-2</v>
      </c>
    </row>
    <row r="95" spans="12:17" x14ac:dyDescent="0.3">
      <c r="L95" s="10">
        <f ca="1"/>
        <v>45917.229166666664</v>
      </c>
      <c r="M95" s="50">
        <f ca="1"/>
        <v>116447.59</v>
      </c>
      <c r="N95" s="51">
        <f t="shared" ca="1" si="3"/>
        <v>5822.3795</v>
      </c>
      <c r="O95" s="51">
        <f ca="1">MAX(N95:$N$732)</f>
        <v>6165.3215</v>
      </c>
      <c r="P95" s="52">
        <f t="shared" ca="1" si="4"/>
        <v>-5.5624349841285649E-2</v>
      </c>
      <c r="Q95" s="43">
        <f t="shared" ca="1" si="5"/>
        <v>-5.3608983982734943E-3</v>
      </c>
    </row>
    <row r="96" spans="12:17" x14ac:dyDescent="0.3">
      <c r="L96" s="10">
        <f ca="1"/>
        <v>45916.229166666664</v>
      </c>
      <c r="M96" s="50">
        <f ca="1"/>
        <v>116788.96</v>
      </c>
      <c r="N96" s="51">
        <f t="shared" ca="1" si="3"/>
        <v>5839.4480000000003</v>
      </c>
      <c r="O96" s="51">
        <f ca="1">MAX(N96:$N$732)</f>
        <v>6165.3215</v>
      </c>
      <c r="P96" s="52">
        <f t="shared" ca="1" si="4"/>
        <v>-5.2855881076112526E-2</v>
      </c>
      <c r="Q96" s="43">
        <f t="shared" ca="1" si="5"/>
        <v>2.9272448401405598E-3</v>
      </c>
    </row>
    <row r="97" spans="12:17" x14ac:dyDescent="0.3">
      <c r="L97" s="10">
        <f ca="1"/>
        <v>45915.229166666664</v>
      </c>
      <c r="M97" s="50">
        <f ca="1"/>
        <v>115349.71</v>
      </c>
      <c r="N97" s="51">
        <f t="shared" ca="1" si="3"/>
        <v>5767.4855000000007</v>
      </c>
      <c r="O97" s="51">
        <f ca="1">MAX(N97:$N$732)</f>
        <v>6165.3215</v>
      </c>
      <c r="P97" s="52">
        <f t="shared" ca="1" si="4"/>
        <v>-6.452802177469566E-2</v>
      </c>
      <c r="Q97" s="43">
        <f t="shared" ca="1" si="5"/>
        <v>-1.2400074849790122E-2</v>
      </c>
    </row>
    <row r="98" spans="12:17" x14ac:dyDescent="0.3">
      <c r="L98" s="10">
        <f ca="1"/>
        <v>45914.229166666664</v>
      </c>
      <c r="M98" s="50">
        <f ca="1"/>
        <v>115268.01</v>
      </c>
      <c r="N98" s="51">
        <f t="shared" ca="1" si="3"/>
        <v>5763.4004999999997</v>
      </c>
      <c r="O98" s="51">
        <f ca="1">MAX(N98:$N$732)</f>
        <v>6165.3215</v>
      </c>
      <c r="P98" s="52">
        <f t="shared" ca="1" si="4"/>
        <v>-6.5190598738443781E-2</v>
      </c>
      <c r="Q98" s="43">
        <f t="shared" ca="1" si="5"/>
        <v>-7.0853188053301573E-4</v>
      </c>
    </row>
    <row r="99" spans="12:17" x14ac:dyDescent="0.3">
      <c r="L99" s="10">
        <f ca="1"/>
        <v>45913.229166666664</v>
      </c>
      <c r="M99" s="50">
        <f ca="1"/>
        <v>115918.29</v>
      </c>
      <c r="N99" s="51">
        <f t="shared" ca="1" si="3"/>
        <v>5795.9144999999999</v>
      </c>
      <c r="O99" s="51">
        <f ca="1">MAX(N99:$N$732)</f>
        <v>6165.3215</v>
      </c>
      <c r="P99" s="52">
        <f t="shared" ca="1" si="4"/>
        <v>-5.9916907820622194E-2</v>
      </c>
      <c r="Q99" s="43">
        <f t="shared" ca="1" si="5"/>
        <v>5.6256077023168951E-3</v>
      </c>
    </row>
    <row r="100" spans="12:17" x14ac:dyDescent="0.3">
      <c r="L100" s="10">
        <f ca="1"/>
        <v>45912.229166666664</v>
      </c>
      <c r="M100" s="50">
        <f ca="1"/>
        <v>116029.42</v>
      </c>
      <c r="N100" s="51">
        <f t="shared" ca="1" si="3"/>
        <v>5801.4710000000005</v>
      </c>
      <c r="O100" s="51">
        <f ca="1">MAX(N100:$N$732)</f>
        <v>6165.3215</v>
      </c>
      <c r="P100" s="52">
        <f t="shared" ca="1" si="4"/>
        <v>-5.9015657172136048E-2</v>
      </c>
      <c r="Q100" s="43">
        <f t="shared" ca="1" si="5"/>
        <v>9.5823328890307861E-4</v>
      </c>
    </row>
    <row r="101" spans="12:17" x14ac:dyDescent="0.3">
      <c r="L101" s="10">
        <f ca="1"/>
        <v>45911.229166666664</v>
      </c>
      <c r="M101" s="50">
        <f ca="1"/>
        <v>115482.69</v>
      </c>
      <c r="N101" s="51">
        <f t="shared" ca="1" si="3"/>
        <v>5774.1345000000001</v>
      </c>
      <c r="O101" s="51">
        <f ca="1">MAX(N101:$N$732)</f>
        <v>6165.3215</v>
      </c>
      <c r="P101" s="52">
        <f t="shared" ca="1" si="4"/>
        <v>-6.3449570310323625E-2</v>
      </c>
      <c r="Q101" s="43">
        <f t="shared" ca="1" si="5"/>
        <v>-4.7231310394017251E-3</v>
      </c>
    </row>
    <row r="102" spans="12:17" x14ac:dyDescent="0.3">
      <c r="L102" s="10">
        <f ca="1"/>
        <v>45910.229166666664</v>
      </c>
      <c r="M102" s="50">
        <f ca="1"/>
        <v>113960</v>
      </c>
      <c r="N102" s="51">
        <f t="shared" ca="1" si="3"/>
        <v>5698</v>
      </c>
      <c r="O102" s="51">
        <f ca="1">MAX(N102:$N$732)</f>
        <v>6165.3215</v>
      </c>
      <c r="P102" s="52">
        <f t="shared" ca="1" si="4"/>
        <v>-7.5798399158908417E-2</v>
      </c>
      <c r="Q102" s="43">
        <f t="shared" ca="1" si="5"/>
        <v>-1.3273138970620491E-2</v>
      </c>
    </row>
    <row r="103" spans="12:17" x14ac:dyDescent="0.3">
      <c r="L103" s="10">
        <f ca="1"/>
        <v>45909.229166666664</v>
      </c>
      <c r="M103" s="50">
        <f ca="1"/>
        <v>111546.39</v>
      </c>
      <c r="N103" s="51">
        <f t="shared" ca="1" si="3"/>
        <v>5577.3195000000005</v>
      </c>
      <c r="O103" s="51">
        <f ca="1">MAX(N103:$N$732)</f>
        <v>6165.3215</v>
      </c>
      <c r="P103" s="52">
        <f t="shared" ca="1" si="4"/>
        <v>-9.5372479764437176E-2</v>
      </c>
      <c r="Q103" s="43">
        <f t="shared" ca="1" si="5"/>
        <v>-2.1406951444262929E-2</v>
      </c>
    </row>
    <row r="104" spans="12:17" x14ac:dyDescent="0.3">
      <c r="L104" s="10">
        <f ca="1"/>
        <v>45908.229166666664</v>
      </c>
      <c r="M104" s="50">
        <f ca="1"/>
        <v>112065.23</v>
      </c>
      <c r="N104" s="51">
        <f t="shared" ca="1" si="3"/>
        <v>5603.2615000000005</v>
      </c>
      <c r="O104" s="51">
        <f ca="1">MAX(N104:$N$732)</f>
        <v>6165.3215</v>
      </c>
      <c r="P104" s="52">
        <f t="shared" ca="1" si="4"/>
        <v>-9.1164751100165572E-2</v>
      </c>
      <c r="Q104" s="43">
        <f t="shared" ca="1" si="5"/>
        <v>4.6405542886386684E-3</v>
      </c>
    </row>
    <row r="105" spans="12:17" x14ac:dyDescent="0.3">
      <c r="L105" s="10">
        <f ca="1"/>
        <v>45907.229166666664</v>
      </c>
      <c r="M105" s="50">
        <f ca="1"/>
        <v>111137.34</v>
      </c>
      <c r="N105" s="51">
        <f t="shared" ca="1" si="3"/>
        <v>5556.8670000000002</v>
      </c>
      <c r="O105" s="51">
        <f ca="1">MAX(N105:$N$732)</f>
        <v>6165.3215</v>
      </c>
      <c r="P105" s="52">
        <f t="shared" ca="1" si="4"/>
        <v>-9.8689825015613519E-2</v>
      </c>
      <c r="Q105" s="43">
        <f t="shared" ca="1" si="5"/>
        <v>-8.3143786859433549E-3</v>
      </c>
    </row>
    <row r="106" spans="12:17" x14ac:dyDescent="0.3">
      <c r="L106" s="10">
        <f ca="1"/>
        <v>45906.229166666664</v>
      </c>
      <c r="M106" s="50">
        <f ca="1"/>
        <v>110187.97</v>
      </c>
      <c r="N106" s="51">
        <f t="shared" ca="1" si="3"/>
        <v>5509.3985000000002</v>
      </c>
      <c r="O106" s="51">
        <f ca="1">MAX(N106:$N$732)</f>
        <v>6165.3215</v>
      </c>
      <c r="P106" s="52">
        <f t="shared" ca="1" si="4"/>
        <v>-0.10638909909239928</v>
      </c>
      <c r="Q106" s="43">
        <f t="shared" ca="1" si="5"/>
        <v>-8.579008182539833E-3</v>
      </c>
    </row>
    <row r="107" spans="12:17" x14ac:dyDescent="0.3">
      <c r="L107" s="10">
        <f ca="1"/>
        <v>45905.229166666664</v>
      </c>
      <c r="M107" s="50">
        <f ca="1"/>
        <v>110659.99</v>
      </c>
      <c r="N107" s="51">
        <f t="shared" ca="1" si="3"/>
        <v>5532.9995000000008</v>
      </c>
      <c r="O107" s="51">
        <f ca="1">MAX(N107:$N$732)</f>
        <v>6165.3215</v>
      </c>
      <c r="P107" s="52">
        <f t="shared" ca="1" si="4"/>
        <v>-0.1025610748766304</v>
      </c>
      <c r="Q107" s="43">
        <f t="shared" ca="1" si="5"/>
        <v>4.2746214974701642E-3</v>
      </c>
    </row>
    <row r="108" spans="12:17" x14ac:dyDescent="0.3">
      <c r="L108" s="10">
        <f ca="1"/>
        <v>45904.229166666664</v>
      </c>
      <c r="M108" s="50">
        <f ca="1"/>
        <v>110730.87</v>
      </c>
      <c r="N108" s="51">
        <f t="shared" ca="1" si="3"/>
        <v>5536.5434999999998</v>
      </c>
      <c r="O108" s="51">
        <f ca="1">MAX(N108:$N$732)</f>
        <v>6165.3215</v>
      </c>
      <c r="P108" s="52">
        <f t="shared" ca="1" si="4"/>
        <v>-0.10198624678372413</v>
      </c>
      <c r="Q108" s="43">
        <f t="shared" ca="1" si="5"/>
        <v>6.4031552541733499E-4</v>
      </c>
    </row>
    <row r="109" spans="12:17" x14ac:dyDescent="0.3">
      <c r="L109" s="10">
        <f ca="1"/>
        <v>45903.229166666664</v>
      </c>
      <c r="M109" s="50">
        <f ca="1"/>
        <v>111705.71</v>
      </c>
      <c r="N109" s="51">
        <f t="shared" ca="1" si="3"/>
        <v>5585.2855000000009</v>
      </c>
      <c r="O109" s="51">
        <f ca="1">MAX(N109:$N$732)</f>
        <v>6165.3215</v>
      </c>
      <c r="P109" s="52">
        <f t="shared" ca="1" si="4"/>
        <v>-9.4080414135742821E-2</v>
      </c>
      <c r="Q109" s="43">
        <f t="shared" ca="1" si="5"/>
        <v>8.7651612090672657E-3</v>
      </c>
    </row>
    <row r="110" spans="12:17" x14ac:dyDescent="0.3">
      <c r="L110" s="10">
        <f ca="1"/>
        <v>45902.229166666664</v>
      </c>
      <c r="M110" s="50">
        <f ca="1"/>
        <v>111240.01</v>
      </c>
      <c r="N110" s="51">
        <f t="shared" ca="1" si="3"/>
        <v>5562.0005000000001</v>
      </c>
      <c r="O110" s="51">
        <f ca="1">MAX(N110:$N$732)</f>
        <v>6165.3215</v>
      </c>
      <c r="P110" s="52">
        <f t="shared" ca="1" si="4"/>
        <v>-9.7857183927877872E-2</v>
      </c>
      <c r="Q110" s="43">
        <f t="shared" ca="1" si="5"/>
        <v>-4.1777045760737225E-3</v>
      </c>
    </row>
    <row r="111" spans="12:17" x14ac:dyDescent="0.3">
      <c r="L111" s="10">
        <f ca="1"/>
        <v>45901.229166666664</v>
      </c>
      <c r="M111" s="50">
        <f ca="1"/>
        <v>109237.42</v>
      </c>
      <c r="N111" s="51">
        <f t="shared" ca="1" si="3"/>
        <v>5461.8710000000001</v>
      </c>
      <c r="O111" s="51">
        <f ca="1">MAX(N111:$N$732)</f>
        <v>6165.3215</v>
      </c>
      <c r="P111" s="52">
        <f t="shared" ca="1" si="4"/>
        <v>-0.11409794282423065</v>
      </c>
      <c r="Q111" s="43">
        <f t="shared" ca="1" si="5"/>
        <v>-1.8166440657325523E-2</v>
      </c>
    </row>
    <row r="112" spans="12:17" x14ac:dyDescent="0.3">
      <c r="L112" s="10">
        <f ca="1"/>
        <v>45900.229166666664</v>
      </c>
      <c r="M112" s="50">
        <f ca="1"/>
        <v>108246.35</v>
      </c>
      <c r="N112" s="51">
        <f t="shared" ca="1" si="3"/>
        <v>5412.317500000001</v>
      </c>
      <c r="O112" s="51">
        <f ca="1">MAX(N112:$N$732)</f>
        <v>6165.3215</v>
      </c>
      <c r="P112" s="52">
        <f t="shared" ca="1" si="4"/>
        <v>-0.12213539877847392</v>
      </c>
      <c r="Q112" s="43">
        <f t="shared" ca="1" si="5"/>
        <v>-9.1140305348325727E-3</v>
      </c>
    </row>
    <row r="113" spans="12:17" x14ac:dyDescent="0.3">
      <c r="L113" s="10">
        <f ca="1"/>
        <v>45899.229166666664</v>
      </c>
      <c r="M113" s="50">
        <f ca="1"/>
        <v>108816.33</v>
      </c>
      <c r="N113" s="51">
        <f t="shared" ca="1" si="3"/>
        <v>5440.8165000000008</v>
      </c>
      <c r="O113" s="51">
        <f ca="1">MAX(N113:$N$732)</f>
        <v>6165.3215</v>
      </c>
      <c r="P113" s="52">
        <f t="shared" ca="1" si="4"/>
        <v>-0.11751293099638019</v>
      </c>
      <c r="Q113" s="43">
        <f t="shared" ca="1" si="5"/>
        <v>5.2517670016201737E-3</v>
      </c>
    </row>
    <row r="114" spans="12:17" x14ac:dyDescent="0.3">
      <c r="L114" s="10">
        <f ca="1"/>
        <v>45898.229166666664</v>
      </c>
      <c r="M114" s="50">
        <f ca="1"/>
        <v>108377.4</v>
      </c>
      <c r="N114" s="51">
        <f t="shared" ca="1" si="3"/>
        <v>5418.87</v>
      </c>
      <c r="O114" s="51">
        <f ca="1">MAX(N114:$N$732)</f>
        <v>6165.3215</v>
      </c>
      <c r="P114" s="52">
        <f t="shared" ca="1" si="4"/>
        <v>-0.12107259937701548</v>
      </c>
      <c r="Q114" s="43">
        <f t="shared" ca="1" si="5"/>
        <v>-4.0418348867216252E-3</v>
      </c>
    </row>
    <row r="115" spans="12:17" x14ac:dyDescent="0.3">
      <c r="L115" s="10">
        <f ca="1"/>
        <v>45897.229166666664</v>
      </c>
      <c r="M115" s="50">
        <f ca="1"/>
        <v>112566.9</v>
      </c>
      <c r="N115" s="51">
        <f t="shared" ca="1" si="3"/>
        <v>5628.3450000000003</v>
      </c>
      <c r="O115" s="51">
        <f ca="1">MAX(N115:$N$732)</f>
        <v>6165.3215</v>
      </c>
      <c r="P115" s="52">
        <f t="shared" ca="1" si="4"/>
        <v>-8.7096269026684131E-2</v>
      </c>
      <c r="Q115" s="43">
        <f t="shared" ca="1" si="5"/>
        <v>3.792813138276354E-2</v>
      </c>
    </row>
    <row r="116" spans="12:17" x14ac:dyDescent="0.3">
      <c r="L116" s="10">
        <f ca="1"/>
        <v>45896.229166666664</v>
      </c>
      <c r="M116" s="50">
        <f ca="1"/>
        <v>111262.01</v>
      </c>
      <c r="N116" s="51">
        <f t="shared" ca="1" si="3"/>
        <v>5563.1005000000005</v>
      </c>
      <c r="O116" s="51">
        <f ca="1">MAX(N116:$N$732)</f>
        <v>6165.3215</v>
      </c>
      <c r="P116" s="52">
        <f t="shared" ca="1" si="4"/>
        <v>-9.7678766630418148E-2</v>
      </c>
      <c r="Q116" s="43">
        <f t="shared" ca="1" si="5"/>
        <v>-1.1659841291183406E-2</v>
      </c>
    </row>
    <row r="117" spans="12:17" x14ac:dyDescent="0.3">
      <c r="L117" s="10">
        <f ca="1"/>
        <v>45895.229166666664</v>
      </c>
      <c r="M117" s="50">
        <f ca="1"/>
        <v>111763.22</v>
      </c>
      <c r="N117" s="51">
        <f t="shared" ca="1" si="3"/>
        <v>5588.1610000000001</v>
      </c>
      <c r="O117" s="51">
        <f ca="1">MAX(N117:$N$732)</f>
        <v>6165.3215</v>
      </c>
      <c r="P117" s="52">
        <f t="shared" ca="1" si="4"/>
        <v>-9.3614015100429063E-2</v>
      </c>
      <c r="Q117" s="43">
        <f t="shared" ca="1" si="5"/>
        <v>4.4946559972962206E-3</v>
      </c>
    </row>
    <row r="118" spans="12:17" x14ac:dyDescent="0.3">
      <c r="L118" s="10">
        <f ca="1"/>
        <v>45894.229166666664</v>
      </c>
      <c r="M118" s="50">
        <f ca="1"/>
        <v>110111.98</v>
      </c>
      <c r="N118" s="51">
        <f t="shared" ca="1" si="3"/>
        <v>5505.5990000000002</v>
      </c>
      <c r="O118" s="51">
        <f ca="1">MAX(N118:$N$732)</f>
        <v>6165.3215</v>
      </c>
      <c r="P118" s="52">
        <f t="shared" ca="1" si="4"/>
        <v>-0.10700536865757931</v>
      </c>
      <c r="Q118" s="43">
        <f t="shared" ca="1" si="5"/>
        <v>-1.4884678291290561E-2</v>
      </c>
    </row>
    <row r="119" spans="12:17" x14ac:dyDescent="0.3">
      <c r="L119" s="10">
        <f ca="1"/>
        <v>45893.229166666664</v>
      </c>
      <c r="M119" s="50">
        <f ca="1"/>
        <v>113493.59</v>
      </c>
      <c r="N119" s="51">
        <f t="shared" ca="1" si="3"/>
        <v>5674.6795000000002</v>
      </c>
      <c r="O119" s="51">
        <f ca="1">MAX(N119:$N$732)</f>
        <v>6165.3215</v>
      </c>
      <c r="P119" s="52">
        <f t="shared" ca="1" si="4"/>
        <v>-7.9580926963824974E-2</v>
      </c>
      <c r="Q119" s="43">
        <f t="shared" ca="1" si="5"/>
        <v>3.0248511573908617E-2</v>
      </c>
    </row>
    <row r="120" spans="12:17" x14ac:dyDescent="0.3">
      <c r="L120" s="10">
        <f ca="1"/>
        <v>45892.229166666664</v>
      </c>
      <c r="M120" s="50">
        <f ca="1"/>
        <v>115438.05</v>
      </c>
      <c r="N120" s="51">
        <f t="shared" ca="1" si="3"/>
        <v>5771.9025000000001</v>
      </c>
      <c r="O120" s="51">
        <f ca="1">MAX(N120:$N$732)</f>
        <v>6165.3215</v>
      </c>
      <c r="P120" s="52">
        <f t="shared" ca="1" si="4"/>
        <v>-6.3811595226623608E-2</v>
      </c>
      <c r="Q120" s="43">
        <f t="shared" ca="1" si="5"/>
        <v>1.6987662875338136E-2</v>
      </c>
    </row>
    <row r="121" spans="12:17" x14ac:dyDescent="0.3">
      <c r="L121" s="10">
        <f ca="1"/>
        <v>45891.229166666664</v>
      </c>
      <c r="M121" s="50">
        <f ca="1"/>
        <v>116935.99</v>
      </c>
      <c r="N121" s="51">
        <f t="shared" ca="1" si="3"/>
        <v>5846.799500000001</v>
      </c>
      <c r="O121" s="51">
        <f ca="1">MAX(N121:$N$732)</f>
        <v>6165.3215</v>
      </c>
      <c r="P121" s="52">
        <f t="shared" ca="1" si="4"/>
        <v>-5.1663485837680816E-2</v>
      </c>
      <c r="Q121" s="43">
        <f t="shared" ca="1" si="5"/>
        <v>1.2892668639070298E-2</v>
      </c>
    </row>
    <row r="122" spans="12:17" x14ac:dyDescent="0.3">
      <c r="L122" s="10">
        <f ca="1"/>
        <v>45890.229166666664</v>
      </c>
      <c r="M122" s="50">
        <f ca="1"/>
        <v>112500</v>
      </c>
      <c r="N122" s="51">
        <f t="shared" ca="1" si="3"/>
        <v>5625</v>
      </c>
      <c r="O122" s="51">
        <f ca="1">MAX(N122:$N$732)</f>
        <v>6165.3215</v>
      </c>
      <c r="P122" s="52">
        <f t="shared" ca="1" si="4"/>
        <v>-8.7638819808504714E-2</v>
      </c>
      <c r="Q122" s="43">
        <f t="shared" ca="1" si="5"/>
        <v>-3.8673469425649358E-2</v>
      </c>
    </row>
    <row r="123" spans="12:17" x14ac:dyDescent="0.3">
      <c r="L123" s="10">
        <f ca="1"/>
        <v>45889.229166666664</v>
      </c>
      <c r="M123" s="50">
        <f ca="1"/>
        <v>114271.24</v>
      </c>
      <c r="N123" s="51">
        <f t="shared" ca="1" si="3"/>
        <v>5713.5620000000008</v>
      </c>
      <c r="O123" s="51">
        <f ca="1">MAX(N123:$N$732)</f>
        <v>6165.3215</v>
      </c>
      <c r="P123" s="52">
        <f t="shared" ca="1" si="4"/>
        <v>-7.3274280992483398E-2</v>
      </c>
      <c r="Q123" s="43">
        <f t="shared" ca="1" si="5"/>
        <v>1.5621698947350778E-2</v>
      </c>
    </row>
    <row r="124" spans="12:17" x14ac:dyDescent="0.3">
      <c r="L124" s="10">
        <f ca="1"/>
        <v>45888.229166666664</v>
      </c>
      <c r="M124" s="50">
        <f ca="1"/>
        <v>112872.94</v>
      </c>
      <c r="N124" s="51">
        <f t="shared" ca="1" si="3"/>
        <v>5643.6470000000008</v>
      </c>
      <c r="O124" s="51">
        <f ca="1">MAX(N124:$N$732)</f>
        <v>6165.3215</v>
      </c>
      <c r="P124" s="52">
        <f t="shared" ca="1" si="4"/>
        <v>-8.4614322221476884E-2</v>
      </c>
      <c r="Q124" s="43">
        <f t="shared" ca="1" si="5"/>
        <v>-1.2312159298069275E-2</v>
      </c>
    </row>
    <row r="125" spans="12:17" x14ac:dyDescent="0.3">
      <c r="L125" s="10">
        <f ca="1"/>
        <v>45887.229166666664</v>
      </c>
      <c r="M125" s="50">
        <f ca="1"/>
        <v>116227.05</v>
      </c>
      <c r="N125" s="51">
        <f t="shared" ca="1" si="3"/>
        <v>5811.3525000000009</v>
      </c>
      <c r="O125" s="51">
        <f ca="1">MAX(N125:$N$732)</f>
        <v>6165.3215</v>
      </c>
      <c r="P125" s="52">
        <f t="shared" ca="1" si="4"/>
        <v>-5.7412902149547133E-2</v>
      </c>
      <c r="Q125" s="43">
        <f t="shared" ca="1" si="5"/>
        <v>2.9282844329104836E-2</v>
      </c>
    </row>
    <row r="126" spans="12:17" x14ac:dyDescent="0.3">
      <c r="L126" s="10">
        <f ca="1"/>
        <v>45886.229166666664</v>
      </c>
      <c r="M126" s="50">
        <f ca="1"/>
        <v>117405.01</v>
      </c>
      <c r="N126" s="51">
        <f t="shared" ca="1" si="3"/>
        <v>5870.2505000000001</v>
      </c>
      <c r="O126" s="51">
        <f ca="1">MAX(N126:$N$732)</f>
        <v>6165.3215</v>
      </c>
      <c r="P126" s="52">
        <f t="shared" ca="1" si="4"/>
        <v>-4.7859791253383931E-2</v>
      </c>
      <c r="Q126" s="43">
        <f t="shared" ca="1" si="5"/>
        <v>1.0083975477294555E-2</v>
      </c>
    </row>
    <row r="127" spans="12:17" x14ac:dyDescent="0.3">
      <c r="L127" s="10">
        <f ca="1"/>
        <v>45885.229166666664</v>
      </c>
      <c r="M127" s="50">
        <f ca="1"/>
        <v>117380.66</v>
      </c>
      <c r="N127" s="51">
        <f t="shared" ca="1" si="3"/>
        <v>5869.0330000000004</v>
      </c>
      <c r="O127" s="51">
        <f ca="1">MAX(N127:$N$732)</f>
        <v>6165.3215</v>
      </c>
      <c r="P127" s="52">
        <f t="shared" ca="1" si="4"/>
        <v>-4.8057266762163119E-2</v>
      </c>
      <c r="Q127" s="43">
        <f t="shared" ca="1" si="5"/>
        <v>-2.07423222101231E-4</v>
      </c>
    </row>
    <row r="128" spans="12:17" x14ac:dyDescent="0.3">
      <c r="L128" s="10">
        <f ca="1"/>
        <v>45884.229166666664</v>
      </c>
      <c r="M128" s="50">
        <f ca="1"/>
        <v>117342.05</v>
      </c>
      <c r="N128" s="51">
        <f t="shared" ca="1" si="3"/>
        <v>5867.1025000000009</v>
      </c>
      <c r="O128" s="51">
        <f ca="1">MAX(N128:$N$732)</f>
        <v>6165.3215</v>
      </c>
      <c r="P128" s="52">
        <f t="shared" ca="1" si="4"/>
        <v>-4.8370389119204757E-2</v>
      </c>
      <c r="Q128" s="43">
        <f t="shared" ca="1" si="5"/>
        <v>-3.2898393468800444E-4</v>
      </c>
    </row>
    <row r="129" spans="12:17" x14ac:dyDescent="0.3">
      <c r="L129" s="10">
        <f ca="1"/>
        <v>45883.229166666664</v>
      </c>
      <c r="M129" s="50">
        <f ca="1"/>
        <v>118295.09</v>
      </c>
      <c r="N129" s="51">
        <f t="shared" ca="1" si="3"/>
        <v>5914.7545</v>
      </c>
      <c r="O129" s="51">
        <f ca="1">MAX(N129:$N$732)</f>
        <v>6165.3215</v>
      </c>
      <c r="P129" s="52">
        <f t="shared" ca="1" si="4"/>
        <v>-4.0641351793251984E-2</v>
      </c>
      <c r="Q129" s="43">
        <f t="shared" ca="1" si="5"/>
        <v>8.0890915304360315E-3</v>
      </c>
    </row>
    <row r="130" spans="12:17" x14ac:dyDescent="0.3">
      <c r="L130" s="10">
        <f ca="1"/>
        <v>45882.229166666664</v>
      </c>
      <c r="M130" s="50">
        <f ca="1"/>
        <v>123306.43</v>
      </c>
      <c r="N130" s="51">
        <f t="shared" ca="1" si="3"/>
        <v>6165.3215</v>
      </c>
      <c r="O130" s="51">
        <f ca="1">MAX(N130:$N$732)</f>
        <v>6165.3215</v>
      </c>
      <c r="P130" s="52">
        <f t="shared" ca="1" si="4"/>
        <v>0</v>
      </c>
      <c r="Q130" s="43">
        <f t="shared" ca="1" si="5"/>
        <v>4.149029256629394E-2</v>
      </c>
    </row>
    <row r="131" spans="12:17" x14ac:dyDescent="0.3">
      <c r="L131" s="10">
        <f ca="1"/>
        <v>45881.229166666664</v>
      </c>
      <c r="M131" s="50">
        <f ca="1"/>
        <v>120134.08</v>
      </c>
      <c r="N131" s="51">
        <f t="shared" ref="N131:N194" ca="1" si="6">$C$6*M131</f>
        <v>6006.7040000000006</v>
      </c>
      <c r="O131" s="51">
        <f ca="1">MAX(N131:$N$732)</f>
        <v>6006.7040000000006</v>
      </c>
      <c r="P131" s="52">
        <f t="shared" ref="P131:P194" ca="1" si="7">(N131 - O131)/O131</f>
        <v>0</v>
      </c>
      <c r="Q131" s="43">
        <f t="shared" ca="1" si="5"/>
        <v>-2.6064105677022876E-2</v>
      </c>
    </row>
    <row r="132" spans="12:17" x14ac:dyDescent="0.3">
      <c r="L132" s="10">
        <f ca="1"/>
        <v>45880.229166666664</v>
      </c>
      <c r="M132" s="50">
        <f ca="1"/>
        <v>118686</v>
      </c>
      <c r="N132" s="51">
        <f t="shared" ca="1" si="6"/>
        <v>5934.3</v>
      </c>
      <c r="O132" s="51">
        <f ca="1">MAX(N132:$N$732)</f>
        <v>5997.7210000000005</v>
      </c>
      <c r="P132" s="52">
        <f t="shared" ca="1" si="7"/>
        <v>-1.0574183093878536E-2</v>
      </c>
      <c r="Q132" s="43">
        <f t="shared" ref="Q132:Q195" ca="1" si="8">LN(N132 / N131)</f>
        <v>-1.2127102101079576E-2</v>
      </c>
    </row>
    <row r="133" spans="12:17" x14ac:dyDescent="0.3">
      <c r="L133" s="10">
        <f ca="1"/>
        <v>45879.229166666664</v>
      </c>
      <c r="M133" s="50">
        <f ca="1"/>
        <v>119294.01</v>
      </c>
      <c r="N133" s="51">
        <f t="shared" ca="1" si="6"/>
        <v>5964.7004999999999</v>
      </c>
      <c r="O133" s="51">
        <f ca="1">MAX(N133:$N$732)</f>
        <v>5997.7210000000005</v>
      </c>
      <c r="P133" s="52">
        <f t="shared" ca="1" si="7"/>
        <v>-5.5055078420620995E-3</v>
      </c>
      <c r="Q133" s="43">
        <f t="shared" ca="1" si="8"/>
        <v>5.10976802559288E-3</v>
      </c>
    </row>
    <row r="134" spans="12:17" x14ac:dyDescent="0.3">
      <c r="L134" s="10">
        <f ca="1"/>
        <v>45878.229166666664</v>
      </c>
      <c r="M134" s="50">
        <f ca="1"/>
        <v>116462.25</v>
      </c>
      <c r="N134" s="51">
        <f t="shared" ca="1" si="6"/>
        <v>5823.1125000000002</v>
      </c>
      <c r="O134" s="51">
        <f ca="1">MAX(N134:$N$732)</f>
        <v>5997.7210000000005</v>
      </c>
      <c r="P134" s="52">
        <f t="shared" ca="1" si="7"/>
        <v>-2.9112474554918485E-2</v>
      </c>
      <c r="Q134" s="43">
        <f t="shared" ca="1" si="8"/>
        <v>-2.40239321270641E-2</v>
      </c>
    </row>
    <row r="135" spans="12:17" x14ac:dyDescent="0.3">
      <c r="L135" s="10">
        <f ca="1"/>
        <v>45877.229166666664</v>
      </c>
      <c r="M135" s="50">
        <f ca="1"/>
        <v>116674.74</v>
      </c>
      <c r="N135" s="51">
        <f t="shared" ca="1" si="6"/>
        <v>5833.737000000001</v>
      </c>
      <c r="O135" s="51">
        <f ca="1">MAX(N135:$N$732)</f>
        <v>5997.7210000000005</v>
      </c>
      <c r="P135" s="52">
        <f t="shared" ca="1" si="7"/>
        <v>-2.7341051709474224E-2</v>
      </c>
      <c r="Q135" s="43">
        <f t="shared" ca="1" si="8"/>
        <v>1.8228772606178085E-3</v>
      </c>
    </row>
    <row r="136" spans="12:17" x14ac:dyDescent="0.3">
      <c r="L136" s="10">
        <f ca="1"/>
        <v>45876.229166666664</v>
      </c>
      <c r="M136" s="50">
        <f ca="1"/>
        <v>117472.01</v>
      </c>
      <c r="N136" s="51">
        <f t="shared" ca="1" si="6"/>
        <v>5873.6005000000005</v>
      </c>
      <c r="O136" s="51">
        <f ca="1">MAX(N136:$N$732)</f>
        <v>5997.7210000000005</v>
      </c>
      <c r="P136" s="52">
        <f t="shared" ca="1" si="7"/>
        <v>-2.0694610502889343E-2</v>
      </c>
      <c r="Q136" s="43">
        <f t="shared" ca="1" si="8"/>
        <v>6.8100290199485354E-3</v>
      </c>
    </row>
    <row r="137" spans="12:17" x14ac:dyDescent="0.3">
      <c r="L137" s="10">
        <f ca="1"/>
        <v>45875.229166666664</v>
      </c>
      <c r="M137" s="50">
        <f ca="1"/>
        <v>114992.27</v>
      </c>
      <c r="N137" s="51">
        <f t="shared" ca="1" si="6"/>
        <v>5749.6135000000004</v>
      </c>
      <c r="O137" s="51">
        <f ca="1">MAX(N137:$N$732)</f>
        <v>5997.7210000000005</v>
      </c>
      <c r="P137" s="52">
        <f t="shared" ca="1" si="7"/>
        <v>-4.1366962551275734E-2</v>
      </c>
      <c r="Q137" s="43">
        <f t="shared" ca="1" si="8"/>
        <v>-2.1335183728333075E-2</v>
      </c>
    </row>
    <row r="138" spans="12:17" x14ac:dyDescent="0.3">
      <c r="L138" s="10">
        <f ca="1"/>
        <v>45874.229166666664</v>
      </c>
      <c r="M138" s="50">
        <f ca="1"/>
        <v>114129.75</v>
      </c>
      <c r="N138" s="51">
        <f t="shared" ca="1" si="6"/>
        <v>5706.4875000000002</v>
      </c>
      <c r="O138" s="51">
        <f ca="1">MAX(N138:$N$732)</f>
        <v>5997.7210000000005</v>
      </c>
      <c r="P138" s="52">
        <f t="shared" ca="1" si="7"/>
        <v>-4.8557360370714182E-2</v>
      </c>
      <c r="Q138" s="43">
        <f t="shared" ca="1" si="8"/>
        <v>-7.5289496341812692E-3</v>
      </c>
    </row>
    <row r="139" spans="12:17" x14ac:dyDescent="0.3">
      <c r="L139" s="10">
        <f ca="1"/>
        <v>45873.229166666664</v>
      </c>
      <c r="M139" s="50">
        <f ca="1"/>
        <v>115055.03</v>
      </c>
      <c r="N139" s="51">
        <f t="shared" ca="1" si="6"/>
        <v>5752.7515000000003</v>
      </c>
      <c r="O139" s="51">
        <f ca="1">MAX(N139:$N$732)</f>
        <v>5997.7210000000005</v>
      </c>
      <c r="P139" s="52">
        <f t="shared" ca="1" si="7"/>
        <v>-4.0843763822958776E-2</v>
      </c>
      <c r="Q139" s="43">
        <f t="shared" ca="1" si="8"/>
        <v>8.0745765687901521E-3</v>
      </c>
    </row>
    <row r="140" spans="12:17" x14ac:dyDescent="0.3">
      <c r="L140" s="10">
        <f ca="1"/>
        <v>45872.229166666664</v>
      </c>
      <c r="M140" s="50">
        <f ca="1"/>
        <v>114208.8</v>
      </c>
      <c r="N140" s="51">
        <f t="shared" ca="1" si="6"/>
        <v>5710.4400000000005</v>
      </c>
      <c r="O140" s="51">
        <f ca="1">MAX(N140:$N$732)</f>
        <v>5997.7210000000005</v>
      </c>
      <c r="P140" s="52">
        <f t="shared" ca="1" si="7"/>
        <v>-4.7898360060429607E-2</v>
      </c>
      <c r="Q140" s="43">
        <f t="shared" ca="1" si="8"/>
        <v>-7.3821836009087599E-3</v>
      </c>
    </row>
    <row r="141" spans="12:17" x14ac:dyDescent="0.3">
      <c r="L141" s="10">
        <f ca="1"/>
        <v>45871.229166666664</v>
      </c>
      <c r="M141" s="50">
        <f ca="1"/>
        <v>112546.35</v>
      </c>
      <c r="N141" s="51">
        <f t="shared" ca="1" si="6"/>
        <v>5627.317500000001</v>
      </c>
      <c r="O141" s="51">
        <f ca="1">MAX(N141:$N$732)</f>
        <v>5997.7210000000005</v>
      </c>
      <c r="P141" s="52">
        <f t="shared" ca="1" si="7"/>
        <v>-6.1757374175957738E-2</v>
      </c>
      <c r="Q141" s="43">
        <f t="shared" ca="1" si="8"/>
        <v>-1.4663215250676386E-2</v>
      </c>
    </row>
    <row r="142" spans="12:17" x14ac:dyDescent="0.3">
      <c r="L142" s="10">
        <f ca="1"/>
        <v>45870.229166666664</v>
      </c>
      <c r="M142" s="50">
        <f ca="1"/>
        <v>113297.93</v>
      </c>
      <c r="N142" s="51">
        <f t="shared" ca="1" si="6"/>
        <v>5664.8964999999998</v>
      </c>
      <c r="O142" s="51">
        <f ca="1">MAX(N142:$N$732)</f>
        <v>5997.7210000000005</v>
      </c>
      <c r="P142" s="52">
        <f t="shared" ca="1" si="7"/>
        <v>-5.5491827645867589E-2</v>
      </c>
      <c r="Q142" s="43">
        <f t="shared" ca="1" si="8"/>
        <v>6.6557609918461236E-3</v>
      </c>
    </row>
    <row r="143" spans="12:17" x14ac:dyDescent="0.3">
      <c r="L143" s="10">
        <f ca="1"/>
        <v>45869.229166666664</v>
      </c>
      <c r="M143" s="50">
        <f ca="1"/>
        <v>115764.08</v>
      </c>
      <c r="N143" s="51">
        <f t="shared" ca="1" si="6"/>
        <v>5788.2040000000006</v>
      </c>
      <c r="O143" s="51">
        <f ca="1">MAX(N143:$N$732)</f>
        <v>5997.7210000000005</v>
      </c>
      <c r="P143" s="52">
        <f t="shared" ca="1" si="7"/>
        <v>-3.4932768629951247E-2</v>
      </c>
      <c r="Q143" s="43">
        <f t="shared" ca="1" si="8"/>
        <v>2.1533429249676939E-2</v>
      </c>
    </row>
    <row r="144" spans="12:17" x14ac:dyDescent="0.3">
      <c r="L144" s="10">
        <f ca="1"/>
        <v>45868.229166666664</v>
      </c>
      <c r="M144" s="50">
        <f ca="1"/>
        <v>117840.3</v>
      </c>
      <c r="N144" s="51">
        <f t="shared" ca="1" si="6"/>
        <v>5892.0150000000003</v>
      </c>
      <c r="O144" s="51">
        <f ca="1">MAX(N144:$N$732)</f>
        <v>5997.7210000000005</v>
      </c>
      <c r="P144" s="52">
        <f t="shared" ca="1" si="7"/>
        <v>-1.762436098644804E-2</v>
      </c>
      <c r="Q144" s="43">
        <f t="shared" ca="1" si="8"/>
        <v>1.777599093867905E-2</v>
      </c>
    </row>
    <row r="145" spans="12:17" x14ac:dyDescent="0.3">
      <c r="L145" s="10">
        <f ca="1"/>
        <v>45867.229166666664</v>
      </c>
      <c r="M145" s="50">
        <f ca="1"/>
        <v>117950.76</v>
      </c>
      <c r="N145" s="51">
        <f t="shared" ca="1" si="6"/>
        <v>5897.5380000000005</v>
      </c>
      <c r="O145" s="51">
        <f ca="1">MAX(N145:$N$732)</f>
        <v>5997.7210000000005</v>
      </c>
      <c r="P145" s="52">
        <f t="shared" ca="1" si="7"/>
        <v>-1.6703511217010591E-2</v>
      </c>
      <c r="Q145" s="43">
        <f t="shared" ca="1" si="8"/>
        <v>9.3693126516769163E-4</v>
      </c>
    </row>
    <row r="146" spans="12:17" x14ac:dyDescent="0.3">
      <c r="L146" s="10">
        <f ca="1"/>
        <v>45866.229166666664</v>
      </c>
      <c r="M146" s="50">
        <f ca="1"/>
        <v>118062.32</v>
      </c>
      <c r="N146" s="51">
        <f t="shared" ca="1" si="6"/>
        <v>5903.1160000000009</v>
      </c>
      <c r="O146" s="51">
        <f ca="1">MAX(N146:$N$732)</f>
        <v>5997.7210000000005</v>
      </c>
      <c r="P146" s="52">
        <f t="shared" ca="1" si="7"/>
        <v>-1.5773491297777865E-2</v>
      </c>
      <c r="Q146" s="43">
        <f t="shared" ca="1" si="8"/>
        <v>9.4537140321801472E-4</v>
      </c>
    </row>
    <row r="147" spans="12:17" x14ac:dyDescent="0.3">
      <c r="L147" s="10">
        <f ca="1"/>
        <v>45865.229166666664</v>
      </c>
      <c r="M147" s="50">
        <f ca="1"/>
        <v>119415.55</v>
      </c>
      <c r="N147" s="51">
        <f t="shared" ca="1" si="6"/>
        <v>5970.7775000000001</v>
      </c>
      <c r="O147" s="51">
        <f ca="1">MAX(N147:$N$732)</f>
        <v>5997.7210000000005</v>
      </c>
      <c r="P147" s="52">
        <f t="shared" ca="1" si="7"/>
        <v>-4.4922896546872237E-3</v>
      </c>
      <c r="Q147" s="43">
        <f t="shared" ca="1" si="8"/>
        <v>1.1396806340220104E-2</v>
      </c>
    </row>
    <row r="148" spans="12:17" x14ac:dyDescent="0.3">
      <c r="L148" s="10">
        <f ca="1"/>
        <v>45864.229166666664</v>
      </c>
      <c r="M148" s="50">
        <f ca="1"/>
        <v>117919.99</v>
      </c>
      <c r="N148" s="51">
        <f t="shared" ca="1" si="6"/>
        <v>5895.9995000000008</v>
      </c>
      <c r="O148" s="51">
        <f ca="1">MAX(N148:$N$732)</f>
        <v>5997.7210000000005</v>
      </c>
      <c r="P148" s="52">
        <f t="shared" ca="1" si="7"/>
        <v>-1.6960025316282577E-2</v>
      </c>
      <c r="Q148" s="43">
        <f t="shared" ca="1" si="8"/>
        <v>-1.2603083346820825E-2</v>
      </c>
    </row>
    <row r="149" spans="12:17" x14ac:dyDescent="0.3">
      <c r="L149" s="10">
        <f ca="1"/>
        <v>45863.229166666664</v>
      </c>
      <c r="M149" s="50">
        <f ca="1"/>
        <v>117614.31</v>
      </c>
      <c r="N149" s="51">
        <f t="shared" ca="1" si="6"/>
        <v>5880.7155000000002</v>
      </c>
      <c r="O149" s="51">
        <f ca="1">MAX(N149:$N$732)</f>
        <v>5997.7210000000005</v>
      </c>
      <c r="P149" s="52">
        <f t="shared" ca="1" si="7"/>
        <v>-1.95083265793791E-2</v>
      </c>
      <c r="Q149" s="43">
        <f t="shared" ca="1" si="8"/>
        <v>-2.5956319026282518E-3</v>
      </c>
    </row>
    <row r="150" spans="12:17" x14ac:dyDescent="0.3">
      <c r="L150" s="10">
        <f ca="1"/>
        <v>45862.229166666664</v>
      </c>
      <c r="M150" s="50">
        <f ca="1"/>
        <v>118340.99</v>
      </c>
      <c r="N150" s="51">
        <f t="shared" ca="1" si="6"/>
        <v>5917.049500000001</v>
      </c>
      <c r="O150" s="51">
        <f ca="1">MAX(N150:$N$732)</f>
        <v>5997.7210000000005</v>
      </c>
      <c r="P150" s="52">
        <f t="shared" ca="1" si="7"/>
        <v>-1.3450358894653396E-2</v>
      </c>
      <c r="Q150" s="43">
        <f t="shared" ca="1" si="8"/>
        <v>6.1594912042919701E-3</v>
      </c>
    </row>
    <row r="151" spans="12:17" x14ac:dyDescent="0.3">
      <c r="L151" s="10">
        <f ca="1"/>
        <v>45861.229166666664</v>
      </c>
      <c r="M151" s="50">
        <f ca="1"/>
        <v>118755.99</v>
      </c>
      <c r="N151" s="51">
        <f t="shared" ca="1" si="6"/>
        <v>5937.799500000001</v>
      </c>
      <c r="O151" s="51">
        <f ca="1">MAX(N151:$N$732)</f>
        <v>5997.7210000000005</v>
      </c>
      <c r="P151" s="52">
        <f t="shared" ca="1" si="7"/>
        <v>-9.9907114719073233E-3</v>
      </c>
      <c r="Q151" s="43">
        <f t="shared" ca="1" si="8"/>
        <v>3.5006808084234757E-3</v>
      </c>
    </row>
    <row r="152" spans="12:17" x14ac:dyDescent="0.3">
      <c r="L152" s="10">
        <f ca="1"/>
        <v>45860.229166666664</v>
      </c>
      <c r="M152" s="50">
        <f ca="1"/>
        <v>119954.42</v>
      </c>
      <c r="N152" s="51">
        <f t="shared" ca="1" si="6"/>
        <v>5997.7210000000005</v>
      </c>
      <c r="O152" s="51">
        <f ca="1">MAX(N152:$N$732)</f>
        <v>5997.7210000000005</v>
      </c>
      <c r="P152" s="52">
        <f t="shared" ca="1" si="7"/>
        <v>0</v>
      </c>
      <c r="Q152" s="43">
        <f t="shared" ca="1" si="8"/>
        <v>1.0040953545906707E-2</v>
      </c>
    </row>
    <row r="153" spans="12:17" x14ac:dyDescent="0.3">
      <c r="L153" s="10">
        <f ca="1"/>
        <v>45859.229166666664</v>
      </c>
      <c r="M153" s="50">
        <f ca="1"/>
        <v>117380.36</v>
      </c>
      <c r="N153" s="51">
        <f t="shared" ca="1" si="6"/>
        <v>5869.018</v>
      </c>
      <c r="O153" s="51">
        <f ca="1">MAX(N153:$N$732)</f>
        <v>5992.0590000000002</v>
      </c>
      <c r="P153" s="52">
        <f t="shared" ca="1" si="7"/>
        <v>-2.0534010095695013E-2</v>
      </c>
      <c r="Q153" s="43">
        <f t="shared" ca="1" si="8"/>
        <v>-2.169223520627131E-2</v>
      </c>
    </row>
    <row r="154" spans="12:17" x14ac:dyDescent="0.3">
      <c r="L154" s="10">
        <f ca="1"/>
        <v>45858.229166666664</v>
      </c>
      <c r="M154" s="50">
        <f ca="1"/>
        <v>117265.12</v>
      </c>
      <c r="N154" s="51">
        <f t="shared" ca="1" si="6"/>
        <v>5863.2560000000003</v>
      </c>
      <c r="O154" s="51">
        <f ca="1">MAX(N154:$N$732)</f>
        <v>5992.0590000000002</v>
      </c>
      <c r="P154" s="52">
        <f t="shared" ca="1" si="7"/>
        <v>-2.1495616114594312E-2</v>
      </c>
      <c r="Q154" s="43">
        <f t="shared" ca="1" si="8"/>
        <v>-9.8224785122982654E-4</v>
      </c>
    </row>
    <row r="155" spans="12:17" x14ac:dyDescent="0.3">
      <c r="L155" s="10">
        <f ca="1"/>
        <v>45857.229166666664</v>
      </c>
      <c r="M155" s="50">
        <f ca="1"/>
        <v>117840</v>
      </c>
      <c r="N155" s="51">
        <f t="shared" ca="1" si="6"/>
        <v>5892</v>
      </c>
      <c r="O155" s="51">
        <f ca="1">MAX(N155:$N$732)</f>
        <v>5992.0590000000002</v>
      </c>
      <c r="P155" s="52">
        <f t="shared" ca="1" si="7"/>
        <v>-1.6698600597891342E-2</v>
      </c>
      <c r="Q155" s="43">
        <f t="shared" ca="1" si="8"/>
        <v>4.8904179181155534E-3</v>
      </c>
    </row>
    <row r="156" spans="12:17" x14ac:dyDescent="0.3">
      <c r="L156" s="10">
        <f ca="1"/>
        <v>45856.229166666664</v>
      </c>
      <c r="M156" s="50">
        <f ca="1"/>
        <v>117924.84</v>
      </c>
      <c r="N156" s="51">
        <f t="shared" ca="1" si="6"/>
        <v>5896.2420000000002</v>
      </c>
      <c r="O156" s="51">
        <f ca="1">MAX(N156:$N$732)</f>
        <v>5992.0590000000002</v>
      </c>
      <c r="P156" s="52">
        <f t="shared" ca="1" si="7"/>
        <v>-1.5990663643331949E-2</v>
      </c>
      <c r="Q156" s="43">
        <f t="shared" ca="1" si="8"/>
        <v>7.1970022045739917E-4</v>
      </c>
    </row>
    <row r="157" spans="12:17" x14ac:dyDescent="0.3">
      <c r="L157" s="10">
        <f ca="1"/>
        <v>45855.229166666664</v>
      </c>
      <c r="M157" s="50">
        <f ca="1"/>
        <v>119177.56</v>
      </c>
      <c r="N157" s="51">
        <f t="shared" ca="1" si="6"/>
        <v>5958.8780000000006</v>
      </c>
      <c r="O157" s="51">
        <f ca="1">MAX(N157:$N$732)</f>
        <v>5992.0590000000002</v>
      </c>
      <c r="P157" s="52">
        <f t="shared" ca="1" si="7"/>
        <v>-5.5374955420164559E-3</v>
      </c>
      <c r="Q157" s="43">
        <f t="shared" ca="1" si="8"/>
        <v>1.0567009500657268E-2</v>
      </c>
    </row>
    <row r="158" spans="12:17" x14ac:dyDescent="0.3">
      <c r="L158" s="10">
        <f ca="1"/>
        <v>45854.229166666664</v>
      </c>
      <c r="M158" s="50">
        <f ca="1"/>
        <v>118630.43</v>
      </c>
      <c r="N158" s="51">
        <f t="shared" ca="1" si="6"/>
        <v>5931.5214999999998</v>
      </c>
      <c r="O158" s="51">
        <f ca="1">MAX(N158:$N$732)</f>
        <v>5992.0590000000002</v>
      </c>
      <c r="P158" s="52">
        <f t="shared" ca="1" si="7"/>
        <v>-1.0102954593738207E-2</v>
      </c>
      <c r="Q158" s="43">
        <f t="shared" ca="1" si="8"/>
        <v>-4.6014514935448043E-3</v>
      </c>
    </row>
    <row r="159" spans="12:17" x14ac:dyDescent="0.3">
      <c r="L159" s="10">
        <f ca="1"/>
        <v>45853.229166666664</v>
      </c>
      <c r="M159" s="50">
        <f ca="1"/>
        <v>117758.09</v>
      </c>
      <c r="N159" s="51">
        <f t="shared" ca="1" si="6"/>
        <v>5887.9045000000006</v>
      </c>
      <c r="O159" s="51">
        <f ca="1">MAX(N159:$N$732)</f>
        <v>5992.0590000000002</v>
      </c>
      <c r="P159" s="52">
        <f t="shared" ca="1" si="7"/>
        <v>-1.738208852749942E-2</v>
      </c>
      <c r="Q159" s="43">
        <f t="shared" ca="1" si="8"/>
        <v>-7.3805949622626184E-3</v>
      </c>
    </row>
    <row r="160" spans="12:17" x14ac:dyDescent="0.3">
      <c r="L160" s="10">
        <f ca="1"/>
        <v>45852.229166666664</v>
      </c>
      <c r="M160" s="50">
        <f ca="1"/>
        <v>119841.18</v>
      </c>
      <c r="N160" s="51">
        <f t="shared" ca="1" si="6"/>
        <v>5992.0590000000002</v>
      </c>
      <c r="O160" s="51">
        <f ca="1">MAX(N160:$N$732)</f>
        <v>5992.0590000000002</v>
      </c>
      <c r="P160" s="52">
        <f t="shared" ca="1" si="7"/>
        <v>0</v>
      </c>
      <c r="Q160" s="43">
        <f t="shared" ca="1" si="8"/>
        <v>1.7534930762700542E-2</v>
      </c>
    </row>
    <row r="161" spans="12:17" x14ac:dyDescent="0.3">
      <c r="L161" s="10">
        <f ca="1"/>
        <v>45851.229166666664</v>
      </c>
      <c r="M161" s="50">
        <f ca="1"/>
        <v>119086.64</v>
      </c>
      <c r="N161" s="51">
        <f t="shared" ca="1" si="6"/>
        <v>5954.3320000000003</v>
      </c>
      <c r="O161" s="51">
        <f ca="1">MAX(N161:$N$732)</f>
        <v>5954.3320000000003</v>
      </c>
      <c r="P161" s="52">
        <f t="shared" ca="1" si="7"/>
        <v>0</v>
      </c>
      <c r="Q161" s="43">
        <f t="shared" ca="1" si="8"/>
        <v>-6.316070756330912E-3</v>
      </c>
    </row>
    <row r="162" spans="12:17" x14ac:dyDescent="0.3">
      <c r="L162" s="10">
        <f ca="1"/>
        <v>45850.229166666664</v>
      </c>
      <c r="M162" s="50">
        <f ca="1"/>
        <v>117420</v>
      </c>
      <c r="N162" s="51">
        <f t="shared" ca="1" si="6"/>
        <v>5871</v>
      </c>
      <c r="O162" s="51">
        <f ca="1">MAX(N162:$N$732)</f>
        <v>5876.3830000000007</v>
      </c>
      <c r="P162" s="52">
        <f t="shared" ca="1" si="7"/>
        <v>-9.1603967951046071E-4</v>
      </c>
      <c r="Q162" s="43">
        <f t="shared" ca="1" si="8"/>
        <v>-1.4094044790011728E-2</v>
      </c>
    </row>
    <row r="163" spans="12:17" x14ac:dyDescent="0.3">
      <c r="L163" s="10">
        <f ca="1"/>
        <v>45849.229166666664</v>
      </c>
      <c r="M163" s="50">
        <f ca="1"/>
        <v>117527.66</v>
      </c>
      <c r="N163" s="51">
        <f t="shared" ca="1" si="6"/>
        <v>5876.3830000000007</v>
      </c>
      <c r="O163" s="51">
        <f ca="1">MAX(N163:$N$732)</f>
        <v>5876.3830000000007</v>
      </c>
      <c r="P163" s="52">
        <f t="shared" ca="1" si="7"/>
        <v>0</v>
      </c>
      <c r="Q163" s="43">
        <f t="shared" ca="1" si="8"/>
        <v>9.1645950025894755E-4</v>
      </c>
    </row>
    <row r="164" spans="12:17" x14ac:dyDescent="0.3">
      <c r="L164" s="10">
        <f ca="1"/>
        <v>45848.229166666664</v>
      </c>
      <c r="M164" s="50">
        <f ca="1"/>
        <v>116010</v>
      </c>
      <c r="N164" s="51">
        <f t="shared" ca="1" si="6"/>
        <v>5800.5</v>
      </c>
      <c r="O164" s="51">
        <f ca="1">MAX(N164:$N$732)</f>
        <v>5800.5</v>
      </c>
      <c r="P164" s="52">
        <f t="shared" ca="1" si="7"/>
        <v>0</v>
      </c>
      <c r="Q164" s="43">
        <f t="shared" ca="1" si="8"/>
        <v>-1.2997315848983344E-2</v>
      </c>
    </row>
    <row r="165" spans="12:17" x14ac:dyDescent="0.3">
      <c r="L165" s="10">
        <f ca="1"/>
        <v>45847.229166666664</v>
      </c>
      <c r="M165" s="50">
        <f ca="1"/>
        <v>111233.99</v>
      </c>
      <c r="N165" s="51">
        <f t="shared" ca="1" si="6"/>
        <v>5561.6995000000006</v>
      </c>
      <c r="O165" s="51">
        <f ca="1">MAX(N165:$N$732)</f>
        <v>5584.8105000000005</v>
      </c>
      <c r="P165" s="52">
        <f t="shared" ca="1" si="7"/>
        <v>-4.1381887532262506E-3</v>
      </c>
      <c r="Q165" s="43">
        <f t="shared" ca="1" si="8"/>
        <v>-4.2040393709378995E-2</v>
      </c>
    </row>
    <row r="166" spans="12:17" x14ac:dyDescent="0.3">
      <c r="L166" s="10">
        <f ca="1"/>
        <v>45846.229166666664</v>
      </c>
      <c r="M166" s="50">
        <f ca="1"/>
        <v>108922.98</v>
      </c>
      <c r="N166" s="51">
        <f t="shared" ca="1" si="6"/>
        <v>5446.1490000000003</v>
      </c>
      <c r="O166" s="51">
        <f ca="1">MAX(N166:$N$732)</f>
        <v>5584.8105000000005</v>
      </c>
      <c r="P166" s="52">
        <f t="shared" ca="1" si="7"/>
        <v>-2.482832676238525E-2</v>
      </c>
      <c r="Q166" s="43">
        <f t="shared" ca="1" si="8"/>
        <v>-2.0994973616712365E-2</v>
      </c>
    </row>
    <row r="167" spans="12:17" x14ac:dyDescent="0.3">
      <c r="L167" s="10">
        <f ca="1"/>
        <v>45845.229166666664</v>
      </c>
      <c r="M167" s="50">
        <f ca="1"/>
        <v>108262.94</v>
      </c>
      <c r="N167" s="51">
        <f t="shared" ca="1" si="6"/>
        <v>5413.1470000000008</v>
      </c>
      <c r="O167" s="51">
        <f ca="1">MAX(N167:$N$732)</f>
        <v>5584.8105000000005</v>
      </c>
      <c r="P167" s="52">
        <f t="shared" ca="1" si="7"/>
        <v>-3.0737569340982946E-2</v>
      </c>
      <c r="Q167" s="43">
        <f t="shared" ca="1" si="8"/>
        <v>-6.0781291164991444E-3</v>
      </c>
    </row>
    <row r="168" spans="12:17" x14ac:dyDescent="0.3">
      <c r="L168" s="10">
        <f ca="1"/>
        <v>45844.229166666664</v>
      </c>
      <c r="M168" s="50">
        <f ca="1"/>
        <v>109203.84</v>
      </c>
      <c r="N168" s="51">
        <f t="shared" ca="1" si="6"/>
        <v>5460.192</v>
      </c>
      <c r="O168" s="51">
        <f ca="1">MAX(N168:$N$732)</f>
        <v>5584.8105000000005</v>
      </c>
      <c r="P168" s="52">
        <f t="shared" ca="1" si="7"/>
        <v>-2.2313827837130817E-2</v>
      </c>
      <c r="Q168" s="43">
        <f t="shared" ca="1" si="8"/>
        <v>8.6533296829762723E-3</v>
      </c>
    </row>
    <row r="169" spans="12:17" x14ac:dyDescent="0.3">
      <c r="L169" s="10">
        <f ca="1"/>
        <v>45843.229166666664</v>
      </c>
      <c r="M169" s="50">
        <f ca="1"/>
        <v>108198.12</v>
      </c>
      <c r="N169" s="51">
        <f t="shared" ca="1" si="6"/>
        <v>5409.9059999999999</v>
      </c>
      <c r="O169" s="51">
        <f ca="1">MAX(N169:$N$732)</f>
        <v>5584.8105000000005</v>
      </c>
      <c r="P169" s="52">
        <f t="shared" ca="1" si="7"/>
        <v>-3.1317893418227986E-2</v>
      </c>
      <c r="Q169" s="43">
        <f t="shared" ca="1" si="8"/>
        <v>-9.2522364973247201E-3</v>
      </c>
    </row>
    <row r="170" spans="12:17" x14ac:dyDescent="0.3">
      <c r="L170" s="10">
        <f ca="1"/>
        <v>45842.229166666664</v>
      </c>
      <c r="M170" s="50">
        <f ca="1"/>
        <v>107984.24</v>
      </c>
      <c r="N170" s="51">
        <f t="shared" ca="1" si="6"/>
        <v>5399.2120000000004</v>
      </c>
      <c r="O170" s="51">
        <f ca="1">MAX(N170:$N$732)</f>
        <v>5584.8105000000005</v>
      </c>
      <c r="P170" s="52">
        <f t="shared" ca="1" si="7"/>
        <v>-3.3232730098899516E-2</v>
      </c>
      <c r="Q170" s="43">
        <f t="shared" ca="1" si="8"/>
        <v>-1.978700480306423E-3</v>
      </c>
    </row>
    <row r="171" spans="12:17" x14ac:dyDescent="0.3">
      <c r="L171" s="10">
        <f ca="1"/>
        <v>45841.229166666664</v>
      </c>
      <c r="M171" s="50">
        <f ca="1"/>
        <v>109584.78</v>
      </c>
      <c r="N171" s="51">
        <f t="shared" ca="1" si="6"/>
        <v>5479.2390000000005</v>
      </c>
      <c r="O171" s="51">
        <f ca="1">MAX(N171:$N$732)</f>
        <v>5584.8105000000005</v>
      </c>
      <c r="P171" s="52">
        <f t="shared" ca="1" si="7"/>
        <v>-1.8903327158549067E-2</v>
      </c>
      <c r="Q171" s="43">
        <f t="shared" ca="1" si="8"/>
        <v>1.4713205707567871E-2</v>
      </c>
    </row>
    <row r="172" spans="12:17" x14ac:dyDescent="0.3">
      <c r="L172" s="10">
        <f ca="1"/>
        <v>45840.229166666664</v>
      </c>
      <c r="M172" s="50">
        <f ca="1"/>
        <v>108849.60000000001</v>
      </c>
      <c r="N172" s="51">
        <f t="shared" ca="1" si="6"/>
        <v>5442.4800000000005</v>
      </c>
      <c r="O172" s="51">
        <f ca="1">MAX(N172:$N$732)</f>
        <v>5584.8105000000005</v>
      </c>
      <c r="P172" s="52">
        <f t="shared" ca="1" si="7"/>
        <v>-2.5485287280562163E-2</v>
      </c>
      <c r="Q172" s="43">
        <f t="shared" ca="1" si="8"/>
        <v>-6.7313833656432636E-3</v>
      </c>
    </row>
    <row r="173" spans="12:17" x14ac:dyDescent="0.3">
      <c r="L173" s="10">
        <f ca="1"/>
        <v>45839.229166666664</v>
      </c>
      <c r="M173" s="50">
        <f ca="1"/>
        <v>105681.14</v>
      </c>
      <c r="N173" s="51">
        <f t="shared" ca="1" si="6"/>
        <v>5284.0570000000007</v>
      </c>
      <c r="O173" s="51">
        <f ca="1">MAX(N173:$N$732)</f>
        <v>5584.8105000000005</v>
      </c>
      <c r="P173" s="52">
        <f t="shared" ca="1" si="7"/>
        <v>-5.385205102303825E-2</v>
      </c>
      <c r="Q173" s="43">
        <f t="shared" ca="1" si="8"/>
        <v>-2.9540665453745132E-2</v>
      </c>
    </row>
    <row r="174" spans="12:17" x14ac:dyDescent="0.3">
      <c r="L174" s="10">
        <f ca="1"/>
        <v>45838.229166666664</v>
      </c>
      <c r="M174" s="50">
        <f ca="1"/>
        <v>107146.5</v>
      </c>
      <c r="N174" s="51">
        <f t="shared" ca="1" si="6"/>
        <v>5357.3250000000007</v>
      </c>
      <c r="O174" s="51">
        <f ca="1">MAX(N174:$N$732)</f>
        <v>5584.8105000000005</v>
      </c>
      <c r="P174" s="52">
        <f t="shared" ca="1" si="7"/>
        <v>-4.0732895055257429E-2</v>
      </c>
      <c r="Q174" s="43">
        <f t="shared" ca="1" si="8"/>
        <v>1.3770609458806503E-2</v>
      </c>
    </row>
    <row r="175" spans="12:17" x14ac:dyDescent="0.3">
      <c r="L175" s="10">
        <f ca="1"/>
        <v>45837.229166666664</v>
      </c>
      <c r="M175" s="50">
        <f ca="1"/>
        <v>108356.93</v>
      </c>
      <c r="N175" s="51">
        <f t="shared" ca="1" si="6"/>
        <v>5417.8464999999997</v>
      </c>
      <c r="O175" s="51">
        <f ca="1">MAX(N175:$N$732)</f>
        <v>5584.8105000000005</v>
      </c>
      <c r="P175" s="52">
        <f t="shared" ca="1" si="7"/>
        <v>-2.9896090476122839E-2</v>
      </c>
      <c r="Q175" s="43">
        <f t="shared" ca="1" si="8"/>
        <v>1.1233628430860228E-2</v>
      </c>
    </row>
    <row r="176" spans="12:17" x14ac:dyDescent="0.3">
      <c r="L176" s="10">
        <f ca="1"/>
        <v>45836.229166666664</v>
      </c>
      <c r="M176" s="50">
        <f ca="1"/>
        <v>107296.79</v>
      </c>
      <c r="N176" s="51">
        <f t="shared" ca="1" si="6"/>
        <v>5364.8395</v>
      </c>
      <c r="O176" s="51">
        <f ca="1">MAX(N176:$N$732)</f>
        <v>5584.8105000000005</v>
      </c>
      <c r="P176" s="52">
        <f t="shared" ca="1" si="7"/>
        <v>-3.9387370439874447E-2</v>
      </c>
      <c r="Q176" s="43">
        <f t="shared" ca="1" si="8"/>
        <v>-9.8319522617791658E-3</v>
      </c>
    </row>
    <row r="177" spans="12:17" x14ac:dyDescent="0.3">
      <c r="L177" s="10">
        <f ca="1"/>
        <v>45835.229166666664</v>
      </c>
      <c r="M177" s="50">
        <f ca="1"/>
        <v>107047.59</v>
      </c>
      <c r="N177" s="51">
        <f t="shared" ca="1" si="6"/>
        <v>5352.3795</v>
      </c>
      <c r="O177" s="51">
        <f ca="1">MAX(N177:$N$732)</f>
        <v>5584.8105000000005</v>
      </c>
      <c r="P177" s="52">
        <f t="shared" ca="1" si="7"/>
        <v>-4.1618421967943312E-2</v>
      </c>
      <c r="Q177" s="43">
        <f t="shared" ca="1" si="8"/>
        <v>-2.3252311283283224E-3</v>
      </c>
    </row>
    <row r="178" spans="12:17" x14ac:dyDescent="0.3">
      <c r="L178" s="10">
        <f ca="1"/>
        <v>45834.229166666664</v>
      </c>
      <c r="M178" s="50">
        <f ca="1"/>
        <v>106947.06</v>
      </c>
      <c r="N178" s="51">
        <f t="shared" ca="1" si="6"/>
        <v>5347.3530000000001</v>
      </c>
      <c r="O178" s="51">
        <f ca="1">MAX(N178:$N$732)</f>
        <v>5584.8105000000005</v>
      </c>
      <c r="P178" s="52">
        <f t="shared" ca="1" si="7"/>
        <v>-4.2518452506132558E-2</v>
      </c>
      <c r="Q178" s="43">
        <f t="shared" ca="1" si="8"/>
        <v>-9.3955626830269064E-4</v>
      </c>
    </row>
    <row r="179" spans="12:17" x14ac:dyDescent="0.3">
      <c r="L179" s="10">
        <f ca="1"/>
        <v>45833.229166666664</v>
      </c>
      <c r="M179" s="50">
        <f ca="1"/>
        <v>107340.58</v>
      </c>
      <c r="N179" s="51">
        <f t="shared" ca="1" si="6"/>
        <v>5367.0290000000005</v>
      </c>
      <c r="O179" s="51">
        <f ca="1">MAX(N179:$N$732)</f>
        <v>5584.8105000000005</v>
      </c>
      <c r="P179" s="52">
        <f t="shared" ca="1" si="7"/>
        <v>-3.8995324908517495E-2</v>
      </c>
      <c r="Q179" s="43">
        <f t="shared" ca="1" si="8"/>
        <v>3.6728244556723383E-3</v>
      </c>
    </row>
    <row r="180" spans="12:17" x14ac:dyDescent="0.3">
      <c r="L180" s="10">
        <f ca="1"/>
        <v>45832.229166666664</v>
      </c>
      <c r="M180" s="50">
        <f ca="1"/>
        <v>106083</v>
      </c>
      <c r="N180" s="51">
        <f t="shared" ca="1" si="6"/>
        <v>5304.1500000000005</v>
      </c>
      <c r="O180" s="51">
        <f ca="1">MAX(N180:$N$732)</f>
        <v>5584.8105000000005</v>
      </c>
      <c r="P180" s="52">
        <f t="shared" ca="1" si="7"/>
        <v>-5.0254256612646021E-2</v>
      </c>
      <c r="Q180" s="43">
        <f t="shared" ca="1" si="8"/>
        <v>-1.1784963544526458E-2</v>
      </c>
    </row>
    <row r="181" spans="12:17" x14ac:dyDescent="0.3">
      <c r="L181" s="10">
        <f ca="1"/>
        <v>45831.229166666664</v>
      </c>
      <c r="M181" s="50">
        <f ca="1"/>
        <v>105333.93</v>
      </c>
      <c r="N181" s="51">
        <f t="shared" ca="1" si="6"/>
        <v>5266.6965</v>
      </c>
      <c r="O181" s="51">
        <f ca="1">MAX(N181:$N$732)</f>
        <v>5584.8105000000005</v>
      </c>
      <c r="P181" s="52">
        <f t="shared" ca="1" si="7"/>
        <v>-5.6960571894068827E-2</v>
      </c>
      <c r="Q181" s="43">
        <f t="shared" ca="1" si="8"/>
        <v>-7.0862171209309316E-3</v>
      </c>
    </row>
    <row r="182" spans="12:17" x14ac:dyDescent="0.3">
      <c r="L182" s="10">
        <f ca="1"/>
        <v>45830.229166666664</v>
      </c>
      <c r="M182" s="50">
        <f ca="1"/>
        <v>100963.87</v>
      </c>
      <c r="N182" s="51">
        <f t="shared" ca="1" si="6"/>
        <v>5048.1935000000003</v>
      </c>
      <c r="O182" s="51">
        <f ca="1">MAX(N182:$N$732)</f>
        <v>5584.8105000000005</v>
      </c>
      <c r="P182" s="52">
        <f t="shared" ca="1" si="7"/>
        <v>-9.6085086503830366E-2</v>
      </c>
      <c r="Q182" s="43">
        <f t="shared" ca="1" si="8"/>
        <v>-4.2372859388792358E-2</v>
      </c>
    </row>
    <row r="183" spans="12:17" x14ac:dyDescent="0.3">
      <c r="L183" s="10">
        <f ca="1"/>
        <v>45829.229166666664</v>
      </c>
      <c r="M183" s="50">
        <f ca="1"/>
        <v>102120.01</v>
      </c>
      <c r="N183" s="51">
        <f t="shared" ca="1" si="6"/>
        <v>5106.0005000000001</v>
      </c>
      <c r="O183" s="51">
        <f ca="1">MAX(N183:$N$732)</f>
        <v>5584.8105000000005</v>
      </c>
      <c r="P183" s="52">
        <f t="shared" ca="1" si="7"/>
        <v>-8.5734332436167779E-2</v>
      </c>
      <c r="Q183" s="43">
        <f t="shared" ca="1" si="8"/>
        <v>1.1385960226360804E-2</v>
      </c>
    </row>
    <row r="184" spans="12:17" x14ac:dyDescent="0.3">
      <c r="L184" s="10">
        <f ca="1"/>
        <v>45828.229166666664</v>
      </c>
      <c r="M184" s="50">
        <f ca="1"/>
        <v>103297.99</v>
      </c>
      <c r="N184" s="51">
        <f t="shared" ca="1" si="6"/>
        <v>5164.8995000000004</v>
      </c>
      <c r="O184" s="51">
        <f ca="1">MAX(N184:$N$732)</f>
        <v>5584.8105000000005</v>
      </c>
      <c r="P184" s="52">
        <f t="shared" ca="1" si="7"/>
        <v>-7.5188048009865338E-2</v>
      </c>
      <c r="Q184" s="43">
        <f t="shared" ca="1" si="8"/>
        <v>1.1469227749354693E-2</v>
      </c>
    </row>
    <row r="185" spans="12:17" x14ac:dyDescent="0.3">
      <c r="L185" s="10">
        <f ca="1"/>
        <v>45827.229166666664</v>
      </c>
      <c r="M185" s="50">
        <f ca="1"/>
        <v>104658.59</v>
      </c>
      <c r="N185" s="51">
        <f t="shared" ca="1" si="6"/>
        <v>5232.9295000000002</v>
      </c>
      <c r="O185" s="51">
        <f ca="1">MAX(N185:$N$732)</f>
        <v>5584.8105000000005</v>
      </c>
      <c r="P185" s="52">
        <f t="shared" ca="1" si="7"/>
        <v>-6.3006793157977387E-2</v>
      </c>
      <c r="Q185" s="43">
        <f t="shared" ca="1" si="8"/>
        <v>1.3085610610985775E-2</v>
      </c>
    </row>
    <row r="186" spans="12:17" x14ac:dyDescent="0.3">
      <c r="L186" s="10">
        <f ca="1"/>
        <v>45826.229166666664</v>
      </c>
      <c r="M186" s="50">
        <f ca="1"/>
        <v>104886.78</v>
      </c>
      <c r="N186" s="51">
        <f t="shared" ca="1" si="6"/>
        <v>5244.3389999999999</v>
      </c>
      <c r="O186" s="51">
        <f ca="1">MAX(N186:$N$732)</f>
        <v>5584.8105000000005</v>
      </c>
      <c r="P186" s="52">
        <f t="shared" ca="1" si="7"/>
        <v>-6.0963841118691589E-2</v>
      </c>
      <c r="Q186" s="43">
        <f t="shared" ca="1" si="8"/>
        <v>2.1779540173213398E-3</v>
      </c>
    </row>
    <row r="187" spans="12:17" x14ac:dyDescent="0.3">
      <c r="L187" s="10">
        <f ca="1"/>
        <v>45825.229166666664</v>
      </c>
      <c r="M187" s="50">
        <f ca="1"/>
        <v>104551.17</v>
      </c>
      <c r="N187" s="51">
        <f t="shared" ca="1" si="6"/>
        <v>5227.5585000000001</v>
      </c>
      <c r="O187" s="51">
        <f ca="1">MAX(N187:$N$732)</f>
        <v>5584.8105000000005</v>
      </c>
      <c r="P187" s="52">
        <f t="shared" ca="1" si="7"/>
        <v>-6.3968508868832763E-2</v>
      </c>
      <c r="Q187" s="43">
        <f t="shared" ca="1" si="8"/>
        <v>-3.2048660451344992E-3</v>
      </c>
    </row>
    <row r="188" spans="12:17" x14ac:dyDescent="0.3">
      <c r="L188" s="10">
        <f ca="1"/>
        <v>45824.229166666664</v>
      </c>
      <c r="M188" s="50">
        <f ca="1"/>
        <v>106794.53</v>
      </c>
      <c r="N188" s="51">
        <f t="shared" ca="1" si="6"/>
        <v>5339.7265000000007</v>
      </c>
      <c r="O188" s="51">
        <f ca="1">MAX(N188:$N$732)</f>
        <v>5584.8105000000005</v>
      </c>
      <c r="P188" s="52">
        <f t="shared" ca="1" si="7"/>
        <v>-4.3884031517273471E-2</v>
      </c>
      <c r="Q188" s="43">
        <f t="shared" ca="1" si="8"/>
        <v>2.1230091356166814E-2</v>
      </c>
    </row>
    <row r="189" spans="12:17" x14ac:dyDescent="0.3">
      <c r="L189" s="10">
        <f ca="1"/>
        <v>45823.229166666664</v>
      </c>
      <c r="M189" s="50">
        <f ca="1"/>
        <v>105594.01</v>
      </c>
      <c r="N189" s="51">
        <f t="shared" ca="1" si="6"/>
        <v>5279.7004999999999</v>
      </c>
      <c r="O189" s="51">
        <f ca="1">MAX(N189:$N$732)</f>
        <v>5584.8105000000005</v>
      </c>
      <c r="P189" s="52">
        <f t="shared" ca="1" si="7"/>
        <v>-5.4632113300890073E-2</v>
      </c>
      <c r="Q189" s="43">
        <f t="shared" ca="1" si="8"/>
        <v>-1.1305061807508218E-2</v>
      </c>
    </row>
    <row r="190" spans="12:17" x14ac:dyDescent="0.3">
      <c r="L190" s="10">
        <f ca="1"/>
        <v>45822.229166666664</v>
      </c>
      <c r="M190" s="50">
        <f ca="1"/>
        <v>105414.64</v>
      </c>
      <c r="N190" s="51">
        <f t="shared" ca="1" si="6"/>
        <v>5270.732</v>
      </c>
      <c r="O190" s="51">
        <f ca="1">MAX(N190:$N$732)</f>
        <v>5584.8105000000005</v>
      </c>
      <c r="P190" s="52">
        <f t="shared" ca="1" si="7"/>
        <v>-5.6237986946916195E-2</v>
      </c>
      <c r="Q190" s="43">
        <f t="shared" ca="1" si="8"/>
        <v>-1.700120286105613E-3</v>
      </c>
    </row>
    <row r="191" spans="12:17" x14ac:dyDescent="0.3">
      <c r="L191" s="10">
        <f ca="1"/>
        <v>45821.229166666664</v>
      </c>
      <c r="M191" s="50">
        <f ca="1"/>
        <v>106066.59</v>
      </c>
      <c r="N191" s="51">
        <f t="shared" ca="1" si="6"/>
        <v>5303.3294999999998</v>
      </c>
      <c r="O191" s="51">
        <f ca="1">MAX(N191:$N$732)</f>
        <v>5584.8105000000005</v>
      </c>
      <c r="P191" s="52">
        <f t="shared" ca="1" si="7"/>
        <v>-5.0401172967283428E-2</v>
      </c>
      <c r="Q191" s="43">
        <f t="shared" ca="1" si="8"/>
        <v>6.1655785271071501E-3</v>
      </c>
    </row>
    <row r="192" spans="12:17" x14ac:dyDescent="0.3">
      <c r="L192" s="10">
        <f ca="1"/>
        <v>45820.229166666664</v>
      </c>
      <c r="M192" s="50">
        <f ca="1"/>
        <v>105671.73</v>
      </c>
      <c r="N192" s="51">
        <f t="shared" ca="1" si="6"/>
        <v>5283.5865000000003</v>
      </c>
      <c r="O192" s="51">
        <f ca="1">MAX(N192:$N$732)</f>
        <v>5584.8105000000005</v>
      </c>
      <c r="P192" s="52">
        <f t="shared" ca="1" si="7"/>
        <v>-5.3936297390932086E-2</v>
      </c>
      <c r="Q192" s="43">
        <f t="shared" ca="1" si="8"/>
        <v>-3.7297023772626657E-3</v>
      </c>
    </row>
    <row r="193" spans="12:17" x14ac:dyDescent="0.3">
      <c r="L193" s="10">
        <f ca="1"/>
        <v>45819.229166666664</v>
      </c>
      <c r="M193" s="50">
        <f ca="1"/>
        <v>108645.12</v>
      </c>
      <c r="N193" s="51">
        <f t="shared" ca="1" si="6"/>
        <v>5432.2560000000003</v>
      </c>
      <c r="O193" s="51">
        <f ca="1">MAX(N193:$N$732)</f>
        <v>5584.8105000000005</v>
      </c>
      <c r="P193" s="52">
        <f t="shared" ca="1" si="7"/>
        <v>-2.7315967121892527E-2</v>
      </c>
      <c r="Q193" s="43">
        <f t="shared" ca="1" si="8"/>
        <v>2.774938878727929E-2</v>
      </c>
    </row>
    <row r="194" spans="12:17" x14ac:dyDescent="0.3">
      <c r="L194" s="10">
        <f ca="1"/>
        <v>45818.229166666664</v>
      </c>
      <c r="M194" s="50">
        <f ca="1"/>
        <v>110274.39</v>
      </c>
      <c r="N194" s="51">
        <f t="shared" ca="1" si="6"/>
        <v>5513.7195000000002</v>
      </c>
      <c r="O194" s="51">
        <f ca="1">MAX(N194:$N$732)</f>
        <v>5584.8105000000005</v>
      </c>
      <c r="P194" s="52">
        <f t="shared" ca="1" si="7"/>
        <v>-1.2729348650236269E-2</v>
      </c>
      <c r="Q194" s="43">
        <f t="shared" ca="1" si="8"/>
        <v>1.488492352072919E-2</v>
      </c>
    </row>
    <row r="195" spans="12:17" x14ac:dyDescent="0.3">
      <c r="L195" s="10">
        <f ca="1"/>
        <v>45817.229166666664</v>
      </c>
      <c r="M195" s="50">
        <f ca="1"/>
        <v>110263.02</v>
      </c>
      <c r="N195" s="51">
        <f t="shared" ref="N195:N258" ca="1" si="9">$C$6*M195</f>
        <v>5513.1510000000007</v>
      </c>
      <c r="O195" s="51">
        <f ca="1">MAX(N195:$N$732)</f>
        <v>5584.8105000000005</v>
      </c>
      <c r="P195" s="52">
        <f t="shared" ref="P195:P258" ca="1" si="10">(N195 - O195)/O195</f>
        <v>-1.2831142614418116E-2</v>
      </c>
      <c r="Q195" s="43">
        <f t="shared" ca="1" si="8"/>
        <v>-1.0311175786508233E-4</v>
      </c>
    </row>
    <row r="196" spans="12:17" x14ac:dyDescent="0.3">
      <c r="L196" s="10">
        <f ca="1"/>
        <v>45816.229166666664</v>
      </c>
      <c r="M196" s="50">
        <f ca="1"/>
        <v>105734</v>
      </c>
      <c r="N196" s="51">
        <f t="shared" ca="1" si="9"/>
        <v>5286.7000000000007</v>
      </c>
      <c r="O196" s="51">
        <f ca="1">MAX(N196:$N$732)</f>
        <v>5584.8105000000005</v>
      </c>
      <c r="P196" s="52">
        <f t="shared" ca="1" si="10"/>
        <v>-5.3378803094572276E-2</v>
      </c>
      <c r="Q196" s="43">
        <f t="shared" ref="Q196:Q259" ca="1" si="11">LN(N196 / N195)</f>
        <v>-4.1942096349411574E-2</v>
      </c>
    </row>
    <row r="197" spans="12:17" x14ac:dyDescent="0.3">
      <c r="L197" s="10">
        <f ca="1"/>
        <v>45815.229166666664</v>
      </c>
      <c r="M197" s="50">
        <f ca="1"/>
        <v>105552.15</v>
      </c>
      <c r="N197" s="51">
        <f t="shared" ca="1" si="9"/>
        <v>5277.6075000000001</v>
      </c>
      <c r="O197" s="51">
        <f ca="1">MAX(N197:$N$732)</f>
        <v>5584.8105000000005</v>
      </c>
      <c r="P197" s="52">
        <f t="shared" ca="1" si="10"/>
        <v>-5.5006879821616221E-2</v>
      </c>
      <c r="Q197" s="43">
        <f t="shared" ca="1" si="11"/>
        <v>-1.7213626629399407E-3</v>
      </c>
    </row>
    <row r="198" spans="12:17" x14ac:dyDescent="0.3">
      <c r="L198" s="10">
        <f ca="1"/>
        <v>45814.229166666664</v>
      </c>
      <c r="M198" s="50">
        <f ca="1"/>
        <v>104288.44</v>
      </c>
      <c r="N198" s="51">
        <f t="shared" ca="1" si="9"/>
        <v>5214.4220000000005</v>
      </c>
      <c r="O198" s="51">
        <f ca="1">MAX(N198:$N$732)</f>
        <v>5584.8105000000005</v>
      </c>
      <c r="P198" s="52">
        <f t="shared" ca="1" si="10"/>
        <v>-6.6320692528421502E-2</v>
      </c>
      <c r="Q198" s="43">
        <f t="shared" ca="1" si="11"/>
        <v>-1.2044621848145679E-2</v>
      </c>
    </row>
    <row r="199" spans="12:17" x14ac:dyDescent="0.3">
      <c r="L199" s="10">
        <f ca="1"/>
        <v>45813.229166666664</v>
      </c>
      <c r="M199" s="50">
        <f ca="1"/>
        <v>101508.68</v>
      </c>
      <c r="N199" s="51">
        <f t="shared" ca="1" si="9"/>
        <v>5075.4340000000002</v>
      </c>
      <c r="O199" s="51">
        <f ca="1">MAX(N199:$N$732)</f>
        <v>5584.8105000000005</v>
      </c>
      <c r="P199" s="52">
        <f t="shared" ca="1" si="10"/>
        <v>-9.1207481435583229E-2</v>
      </c>
      <c r="Q199" s="43">
        <f t="shared" ca="1" si="11"/>
        <v>-2.7016209665029305E-2</v>
      </c>
    </row>
    <row r="200" spans="12:17" x14ac:dyDescent="0.3">
      <c r="L200" s="10">
        <f ca="1"/>
        <v>45812.229166666664</v>
      </c>
      <c r="M200" s="50">
        <f ca="1"/>
        <v>104696.86</v>
      </c>
      <c r="N200" s="51">
        <f t="shared" ca="1" si="9"/>
        <v>5234.8430000000008</v>
      </c>
      <c r="O200" s="51">
        <f ca="1">MAX(N200:$N$732)</f>
        <v>5584.8105000000005</v>
      </c>
      <c r="P200" s="52">
        <f t="shared" ca="1" si="10"/>
        <v>-6.2664167387595282E-2</v>
      </c>
      <c r="Q200" s="43">
        <f t="shared" ca="1" si="11"/>
        <v>3.0924814911036744E-2</v>
      </c>
    </row>
    <row r="201" spans="12:17" x14ac:dyDescent="0.3">
      <c r="L201" s="10">
        <f ca="1"/>
        <v>45811.229166666664</v>
      </c>
      <c r="M201" s="50">
        <f ca="1"/>
        <v>105376.89</v>
      </c>
      <c r="N201" s="51">
        <f t="shared" ca="1" si="9"/>
        <v>5268.8445000000002</v>
      </c>
      <c r="O201" s="51">
        <f ca="1">MAX(N201:$N$732)</f>
        <v>5584.8105000000005</v>
      </c>
      <c r="P201" s="52">
        <f t="shared" ca="1" si="10"/>
        <v>-5.6575957232568648E-2</v>
      </c>
      <c r="Q201" s="43">
        <f t="shared" ca="1" si="11"/>
        <v>6.4742251263657548E-3</v>
      </c>
    </row>
    <row r="202" spans="12:17" x14ac:dyDescent="0.3">
      <c r="L202" s="10">
        <f ca="1"/>
        <v>45810.229166666664</v>
      </c>
      <c r="M202" s="50">
        <f ca="1"/>
        <v>105857.99</v>
      </c>
      <c r="N202" s="51">
        <f t="shared" ca="1" si="9"/>
        <v>5292.8995000000004</v>
      </c>
      <c r="O202" s="51">
        <f ca="1">MAX(N202:$N$732)</f>
        <v>5584.8105000000005</v>
      </c>
      <c r="P202" s="52">
        <f t="shared" ca="1" si="10"/>
        <v>-5.2268738572239834E-2</v>
      </c>
      <c r="Q202" s="43">
        <f t="shared" ca="1" si="11"/>
        <v>4.5551268035747021E-3</v>
      </c>
    </row>
    <row r="203" spans="12:17" x14ac:dyDescent="0.3">
      <c r="L203" s="10">
        <f ca="1"/>
        <v>45809.229166666664</v>
      </c>
      <c r="M203" s="50">
        <f ca="1"/>
        <v>105642.93</v>
      </c>
      <c r="N203" s="51">
        <f t="shared" ca="1" si="9"/>
        <v>5282.1464999999998</v>
      </c>
      <c r="O203" s="51">
        <f ca="1">MAX(N203:$N$732)</f>
        <v>5584.8105000000005</v>
      </c>
      <c r="P203" s="52">
        <f t="shared" ca="1" si="10"/>
        <v>-5.4194139622105467E-2</v>
      </c>
      <c r="Q203" s="43">
        <f t="shared" ca="1" si="11"/>
        <v>-2.0336561573318429E-3</v>
      </c>
    </row>
    <row r="204" spans="12:17" x14ac:dyDescent="0.3">
      <c r="L204" s="10">
        <f ca="1"/>
        <v>45808.229166666664</v>
      </c>
      <c r="M204" s="50">
        <f ca="1"/>
        <v>104591.88</v>
      </c>
      <c r="N204" s="51">
        <f t="shared" ca="1" si="9"/>
        <v>5229.594000000001</v>
      </c>
      <c r="O204" s="51">
        <f ca="1">MAX(N204:$N$732)</f>
        <v>5584.8105000000005</v>
      </c>
      <c r="P204" s="52">
        <f t="shared" ca="1" si="10"/>
        <v>-6.3604038131642879E-2</v>
      </c>
      <c r="Q204" s="43">
        <f t="shared" ca="1" si="11"/>
        <v>-9.9989031960421894E-3</v>
      </c>
    </row>
    <row r="205" spans="12:17" x14ac:dyDescent="0.3">
      <c r="L205" s="10">
        <f ca="1"/>
        <v>45807.229166666664</v>
      </c>
      <c r="M205" s="50">
        <f ca="1"/>
        <v>103985.48</v>
      </c>
      <c r="N205" s="51">
        <f t="shared" ca="1" si="9"/>
        <v>5199.2740000000003</v>
      </c>
      <c r="O205" s="51">
        <f ca="1">MAX(N205:$N$732)</f>
        <v>5584.8105000000005</v>
      </c>
      <c r="P205" s="52">
        <f t="shared" ca="1" si="10"/>
        <v>-6.9033049554680523E-2</v>
      </c>
      <c r="Q205" s="43">
        <f t="shared" ca="1" si="11"/>
        <v>-5.8146455448112077E-3</v>
      </c>
    </row>
    <row r="206" spans="12:17" x14ac:dyDescent="0.3">
      <c r="L206" s="10">
        <f ca="1"/>
        <v>45806.229166666664</v>
      </c>
      <c r="M206" s="50">
        <f ca="1"/>
        <v>105589.75</v>
      </c>
      <c r="N206" s="51">
        <f t="shared" ca="1" si="9"/>
        <v>5279.4875000000002</v>
      </c>
      <c r="O206" s="51">
        <f ca="1">MAX(N206:$N$732)</f>
        <v>5584.8105000000005</v>
      </c>
      <c r="P206" s="52">
        <f t="shared" ca="1" si="10"/>
        <v>-5.4670252464251078E-2</v>
      </c>
      <c r="Q206" s="43">
        <f t="shared" ca="1" si="11"/>
        <v>1.5310028157546202E-2</v>
      </c>
    </row>
    <row r="207" spans="12:17" x14ac:dyDescent="0.3">
      <c r="L207" s="10">
        <f ca="1"/>
        <v>45805.229166666664</v>
      </c>
      <c r="M207" s="50">
        <f ca="1"/>
        <v>107781.78</v>
      </c>
      <c r="N207" s="51">
        <f t="shared" ca="1" si="9"/>
        <v>5389.0889999999999</v>
      </c>
      <c r="O207" s="51">
        <f ca="1">MAX(N207:$N$732)</f>
        <v>5584.8105000000005</v>
      </c>
      <c r="P207" s="52">
        <f t="shared" ca="1" si="10"/>
        <v>-3.5045325172626811E-2</v>
      </c>
      <c r="Q207" s="43">
        <f t="shared" ca="1" si="11"/>
        <v>2.0547325325208494E-2</v>
      </c>
    </row>
    <row r="208" spans="12:17" x14ac:dyDescent="0.3">
      <c r="L208" s="10">
        <f ca="1"/>
        <v>45804.229166666664</v>
      </c>
      <c r="M208" s="50">
        <f ca="1"/>
        <v>108938.17</v>
      </c>
      <c r="N208" s="51">
        <f t="shared" ca="1" si="9"/>
        <v>5446.9085000000005</v>
      </c>
      <c r="O208" s="51">
        <f ca="1">MAX(N208:$N$732)</f>
        <v>5584.8105000000005</v>
      </c>
      <c r="P208" s="52">
        <f t="shared" ca="1" si="10"/>
        <v>-2.469233289115182E-2</v>
      </c>
      <c r="Q208" s="43">
        <f t="shared" ca="1" si="11"/>
        <v>1.0671846084497583E-2</v>
      </c>
    </row>
    <row r="209" spans="12:17" x14ac:dyDescent="0.3">
      <c r="L209" s="10">
        <f ca="1"/>
        <v>45803.229166666664</v>
      </c>
      <c r="M209" s="50">
        <f ca="1"/>
        <v>109434.79</v>
      </c>
      <c r="N209" s="51">
        <f t="shared" ca="1" si="9"/>
        <v>5471.7394999999997</v>
      </c>
      <c r="O209" s="51">
        <f ca="1">MAX(N209:$N$732)</f>
        <v>5584.8105000000005</v>
      </c>
      <c r="P209" s="52">
        <f t="shared" ca="1" si="10"/>
        <v>-2.0246165917357593E-2</v>
      </c>
      <c r="Q209" s="43">
        <f t="shared" ca="1" si="11"/>
        <v>4.5483731700123667E-3</v>
      </c>
    </row>
    <row r="210" spans="12:17" x14ac:dyDescent="0.3">
      <c r="L210" s="10">
        <f ca="1"/>
        <v>45802.229166666664</v>
      </c>
      <c r="M210" s="50">
        <f ca="1"/>
        <v>109004.19</v>
      </c>
      <c r="N210" s="51">
        <f t="shared" ca="1" si="9"/>
        <v>5450.2095000000008</v>
      </c>
      <c r="O210" s="51">
        <f ca="1">MAX(N210:$N$732)</f>
        <v>5584.8105000000005</v>
      </c>
      <c r="P210" s="52">
        <f t="shared" ca="1" si="10"/>
        <v>-2.4101265387607984E-2</v>
      </c>
      <c r="Q210" s="43">
        <f t="shared" ca="1" si="11"/>
        <v>-3.942524889582604E-3</v>
      </c>
    </row>
    <row r="211" spans="12:17" x14ac:dyDescent="0.3">
      <c r="L211" s="10">
        <f ca="1"/>
        <v>45801.229166666664</v>
      </c>
      <c r="M211" s="50">
        <f ca="1"/>
        <v>107761.91</v>
      </c>
      <c r="N211" s="51">
        <f t="shared" ca="1" si="9"/>
        <v>5388.0955000000004</v>
      </c>
      <c r="O211" s="51">
        <f ca="1">MAX(N211:$N$732)</f>
        <v>5584.8105000000005</v>
      </c>
      <c r="P211" s="52">
        <f t="shared" ca="1" si="10"/>
        <v>-3.522321840642581E-2</v>
      </c>
      <c r="Q211" s="43">
        <f t="shared" ca="1" si="11"/>
        <v>-1.1462065339148718E-2</v>
      </c>
    </row>
    <row r="212" spans="12:17" x14ac:dyDescent="0.3">
      <c r="L212" s="10">
        <f ca="1"/>
        <v>45800.229166666664</v>
      </c>
      <c r="M212" s="50">
        <f ca="1"/>
        <v>107318.3</v>
      </c>
      <c r="N212" s="51">
        <f t="shared" ca="1" si="9"/>
        <v>5365.9150000000009</v>
      </c>
      <c r="O212" s="51">
        <f ca="1">MAX(N212:$N$732)</f>
        <v>5584.8105000000005</v>
      </c>
      <c r="P212" s="52">
        <f t="shared" ca="1" si="10"/>
        <v>-3.9194794523466754E-2</v>
      </c>
      <c r="Q212" s="43">
        <f t="shared" ca="1" si="11"/>
        <v>-4.1250715632716768E-3</v>
      </c>
    </row>
    <row r="213" spans="12:17" x14ac:dyDescent="0.3">
      <c r="L213" s="10">
        <f ca="1"/>
        <v>45799.229166666664</v>
      </c>
      <c r="M213" s="50">
        <f ca="1"/>
        <v>111696.21</v>
      </c>
      <c r="N213" s="51">
        <f t="shared" ca="1" si="9"/>
        <v>5584.8105000000005</v>
      </c>
      <c r="O213" s="51">
        <f ca="1">MAX(N213:$N$732)</f>
        <v>5584.8105000000005</v>
      </c>
      <c r="P213" s="52">
        <f t="shared" ca="1" si="10"/>
        <v>0</v>
      </c>
      <c r="Q213" s="43">
        <f t="shared" ca="1" si="11"/>
        <v>3.9983590374531371E-2</v>
      </c>
    </row>
    <row r="214" spans="12:17" x14ac:dyDescent="0.3">
      <c r="L214" s="10">
        <f ca="1"/>
        <v>45798.229166666664</v>
      </c>
      <c r="M214" s="50">
        <f ca="1"/>
        <v>109643.99</v>
      </c>
      <c r="N214" s="51">
        <f t="shared" ca="1" si="9"/>
        <v>5482.1995000000006</v>
      </c>
      <c r="O214" s="51">
        <f ca="1">MAX(N214:$N$732)</f>
        <v>5482.1995000000006</v>
      </c>
      <c r="P214" s="52">
        <f t="shared" ca="1" si="10"/>
        <v>0</v>
      </c>
      <c r="Q214" s="43">
        <f t="shared" ca="1" si="11"/>
        <v>-1.8544112729196701E-2</v>
      </c>
    </row>
    <row r="215" spans="12:17" x14ac:dyDescent="0.3">
      <c r="L215" s="10">
        <f ca="1"/>
        <v>45797.229166666664</v>
      </c>
      <c r="M215" s="50">
        <f ca="1"/>
        <v>106849.99</v>
      </c>
      <c r="N215" s="51">
        <f t="shared" ca="1" si="9"/>
        <v>5342.4995000000008</v>
      </c>
      <c r="O215" s="51">
        <f ca="1">MAX(N215:$N$732)</f>
        <v>5342.4995000000008</v>
      </c>
      <c r="P215" s="52">
        <f t="shared" ca="1" si="10"/>
        <v>0</v>
      </c>
      <c r="Q215" s="43">
        <f t="shared" ca="1" si="11"/>
        <v>-2.5812774424209962E-2</v>
      </c>
    </row>
    <row r="216" spans="12:17" x14ac:dyDescent="0.3">
      <c r="L216" s="10">
        <f ca="1"/>
        <v>45796.229166666664</v>
      </c>
      <c r="M216" s="50">
        <f ca="1"/>
        <v>105573.74</v>
      </c>
      <c r="N216" s="51">
        <f t="shared" ca="1" si="9"/>
        <v>5278.6870000000008</v>
      </c>
      <c r="O216" s="51">
        <f ca="1">MAX(N216:$N$732)</f>
        <v>5322.7129999999997</v>
      </c>
      <c r="P216" s="52">
        <f t="shared" ca="1" si="10"/>
        <v>-8.2713458343515664E-3</v>
      </c>
      <c r="Q216" s="43">
        <f t="shared" ca="1" si="11"/>
        <v>-1.2016222070838019E-2</v>
      </c>
    </row>
    <row r="217" spans="12:17" x14ac:dyDescent="0.3">
      <c r="L217" s="10">
        <f ca="1"/>
        <v>45795.229166666664</v>
      </c>
      <c r="M217" s="50">
        <f ca="1"/>
        <v>106454.26</v>
      </c>
      <c r="N217" s="51">
        <f t="shared" ca="1" si="9"/>
        <v>5322.7129999999997</v>
      </c>
      <c r="O217" s="51">
        <f ca="1">MAX(N217:$N$732)</f>
        <v>5322.7129999999997</v>
      </c>
      <c r="P217" s="52">
        <f t="shared" ca="1" si="10"/>
        <v>0</v>
      </c>
      <c r="Q217" s="43">
        <f t="shared" ca="1" si="11"/>
        <v>8.3057432217508182E-3</v>
      </c>
    </row>
    <row r="218" spans="12:17" x14ac:dyDescent="0.3">
      <c r="L218" s="10">
        <f ca="1"/>
        <v>45794.229166666664</v>
      </c>
      <c r="M218" s="50">
        <f ca="1"/>
        <v>103126.65</v>
      </c>
      <c r="N218" s="51">
        <f t="shared" ca="1" si="9"/>
        <v>5156.3325000000004</v>
      </c>
      <c r="O218" s="51">
        <f ca="1">MAX(N218:$N$732)</f>
        <v>5307.1910000000007</v>
      </c>
      <c r="P218" s="52">
        <f t="shared" ca="1" si="10"/>
        <v>-2.8425300691081262E-2</v>
      </c>
      <c r="Q218" s="43">
        <f t="shared" ca="1" si="11"/>
        <v>-3.1757564800075071E-2</v>
      </c>
    </row>
    <row r="219" spans="12:17" x14ac:dyDescent="0.3">
      <c r="L219" s="10">
        <f ca="1"/>
        <v>45793.229166666664</v>
      </c>
      <c r="M219" s="50">
        <f ca="1"/>
        <v>103463.9</v>
      </c>
      <c r="N219" s="51">
        <f t="shared" ca="1" si="9"/>
        <v>5173.1949999999997</v>
      </c>
      <c r="O219" s="51">
        <f ca="1">MAX(N219:$N$732)</f>
        <v>5307.1910000000007</v>
      </c>
      <c r="P219" s="52">
        <f t="shared" ca="1" si="10"/>
        <v>-2.5248007844451234E-2</v>
      </c>
      <c r="Q219" s="43">
        <f t="shared" ca="1" si="11"/>
        <v>3.2649150658739011E-3</v>
      </c>
    </row>
    <row r="220" spans="12:17" x14ac:dyDescent="0.3">
      <c r="L220" s="10">
        <f ca="1"/>
        <v>45792.229166666664</v>
      </c>
      <c r="M220" s="50">
        <f ca="1"/>
        <v>103763.71</v>
      </c>
      <c r="N220" s="51">
        <f t="shared" ca="1" si="9"/>
        <v>5188.1855000000005</v>
      </c>
      <c r="O220" s="51">
        <f ca="1">MAX(N220:$N$732)</f>
        <v>5307.1910000000007</v>
      </c>
      <c r="P220" s="52">
        <f t="shared" ca="1" si="10"/>
        <v>-2.2423443964990179E-2</v>
      </c>
      <c r="Q220" s="43">
        <f t="shared" ca="1" si="11"/>
        <v>2.8935353660750284E-3</v>
      </c>
    </row>
    <row r="221" spans="12:17" x14ac:dyDescent="0.3">
      <c r="L221" s="10">
        <f ca="1"/>
        <v>45791.229166666664</v>
      </c>
      <c r="M221" s="50">
        <f ca="1"/>
        <v>103507.82</v>
      </c>
      <c r="N221" s="51">
        <f t="shared" ca="1" si="9"/>
        <v>5175.3910000000005</v>
      </c>
      <c r="O221" s="51">
        <f ca="1">MAX(N221:$N$732)</f>
        <v>5307.1910000000007</v>
      </c>
      <c r="P221" s="52">
        <f t="shared" ca="1" si="10"/>
        <v>-2.4834229632964059E-2</v>
      </c>
      <c r="Q221" s="43">
        <f t="shared" ca="1" si="11"/>
        <v>-2.4691295519931942E-3</v>
      </c>
    </row>
    <row r="222" spans="12:17" x14ac:dyDescent="0.3">
      <c r="L222" s="10">
        <f ca="1"/>
        <v>45790.229166666664</v>
      </c>
      <c r="M222" s="50">
        <f ca="1"/>
        <v>104103.72</v>
      </c>
      <c r="N222" s="51">
        <f t="shared" ca="1" si="9"/>
        <v>5205.1860000000006</v>
      </c>
      <c r="O222" s="51">
        <f ca="1">MAX(N222:$N$732)</f>
        <v>5307.1910000000007</v>
      </c>
      <c r="P222" s="52">
        <f t="shared" ca="1" si="10"/>
        <v>-1.9220148662446875E-2</v>
      </c>
      <c r="Q222" s="43">
        <f t="shared" ca="1" si="11"/>
        <v>5.7405444459628285E-3</v>
      </c>
    </row>
    <row r="223" spans="12:17" x14ac:dyDescent="0.3">
      <c r="L223" s="10">
        <f ca="1"/>
        <v>45789.229166666664</v>
      </c>
      <c r="M223" s="50">
        <f ca="1"/>
        <v>102791.32</v>
      </c>
      <c r="N223" s="51">
        <f t="shared" ca="1" si="9"/>
        <v>5139.5660000000007</v>
      </c>
      <c r="O223" s="51">
        <f ca="1">MAX(N223:$N$732)</f>
        <v>5307.1910000000007</v>
      </c>
      <c r="P223" s="52">
        <f t="shared" ca="1" si="10"/>
        <v>-3.158450487272834E-2</v>
      </c>
      <c r="Q223" s="43">
        <f t="shared" ca="1" si="11"/>
        <v>-1.2686796194268143E-2</v>
      </c>
    </row>
    <row r="224" spans="12:17" x14ac:dyDescent="0.3">
      <c r="L224" s="10">
        <f ca="1"/>
        <v>45788.229166666664</v>
      </c>
      <c r="M224" s="50">
        <f ca="1"/>
        <v>104118</v>
      </c>
      <c r="N224" s="51">
        <f t="shared" ca="1" si="9"/>
        <v>5205.9000000000005</v>
      </c>
      <c r="O224" s="51">
        <f ca="1">MAX(N224:$N$732)</f>
        <v>5307.1910000000007</v>
      </c>
      <c r="P224" s="52">
        <f t="shared" ca="1" si="10"/>
        <v>-1.9085614216635533E-2</v>
      </c>
      <c r="Q224" s="43">
        <f t="shared" ca="1" si="11"/>
        <v>1.2823957677925024E-2</v>
      </c>
    </row>
    <row r="225" spans="12:17" x14ac:dyDescent="0.3">
      <c r="L225" s="10">
        <f ca="1"/>
        <v>45787.229166666664</v>
      </c>
      <c r="M225" s="50">
        <f ca="1"/>
        <v>104809.53</v>
      </c>
      <c r="N225" s="51">
        <f t="shared" ca="1" si="9"/>
        <v>5240.4765000000007</v>
      </c>
      <c r="O225" s="51">
        <f ca="1">MAX(N225:$N$732)</f>
        <v>5307.1910000000007</v>
      </c>
      <c r="P225" s="52">
        <f t="shared" ca="1" si="10"/>
        <v>-1.2570585833447494E-2</v>
      </c>
      <c r="Q225" s="43">
        <f t="shared" ca="1" si="11"/>
        <v>6.6198315306770844E-3</v>
      </c>
    </row>
    <row r="226" spans="12:17" x14ac:dyDescent="0.3">
      <c r="L226" s="10">
        <f ca="1"/>
        <v>45786.229166666664</v>
      </c>
      <c r="M226" s="50">
        <f ca="1"/>
        <v>102971.99</v>
      </c>
      <c r="N226" s="51">
        <f t="shared" ca="1" si="9"/>
        <v>5148.5995000000003</v>
      </c>
      <c r="O226" s="51">
        <f ca="1">MAX(N226:$N$732)</f>
        <v>5307.1910000000007</v>
      </c>
      <c r="P226" s="52">
        <f t="shared" ca="1" si="10"/>
        <v>-2.9882380340183805E-2</v>
      </c>
      <c r="Q226" s="43">
        <f t="shared" ca="1" si="11"/>
        <v>-1.7687693367897859E-2</v>
      </c>
    </row>
    <row r="227" spans="12:17" x14ac:dyDescent="0.3">
      <c r="L227" s="10">
        <f ca="1"/>
        <v>45785.229166666664</v>
      </c>
      <c r="M227" s="50">
        <f ca="1"/>
        <v>103261.6</v>
      </c>
      <c r="N227" s="51">
        <f t="shared" ca="1" si="9"/>
        <v>5163.0800000000008</v>
      </c>
      <c r="O227" s="51">
        <f ca="1">MAX(N227:$N$732)</f>
        <v>5307.1910000000007</v>
      </c>
      <c r="P227" s="52">
        <f t="shared" ca="1" si="10"/>
        <v>-2.7153912493445186E-2</v>
      </c>
      <c r="Q227" s="43">
        <f t="shared" ca="1" si="11"/>
        <v>2.8085646995831734E-3</v>
      </c>
    </row>
    <row r="228" spans="12:17" x14ac:dyDescent="0.3">
      <c r="L228" s="10">
        <f ca="1"/>
        <v>45784.229166666664</v>
      </c>
      <c r="M228" s="50">
        <f ca="1"/>
        <v>97030.5</v>
      </c>
      <c r="N228" s="51">
        <f t="shared" ca="1" si="9"/>
        <v>4851.5250000000005</v>
      </c>
      <c r="O228" s="51">
        <f ca="1">MAX(N228:$N$732)</f>
        <v>5307.1910000000007</v>
      </c>
      <c r="P228" s="52">
        <f t="shared" ca="1" si="10"/>
        <v>-8.5858225189182014E-2</v>
      </c>
      <c r="Q228" s="43">
        <f t="shared" ca="1" si="11"/>
        <v>-6.2240212129402978E-2</v>
      </c>
    </row>
    <row r="229" spans="12:17" x14ac:dyDescent="0.3">
      <c r="L229" s="10">
        <f ca="1"/>
        <v>45783.229166666664</v>
      </c>
      <c r="M229" s="50">
        <f ca="1"/>
        <v>96834.02</v>
      </c>
      <c r="N229" s="51">
        <f t="shared" ca="1" si="9"/>
        <v>4841.701</v>
      </c>
      <c r="O229" s="51">
        <f ca="1">MAX(N229:$N$732)</f>
        <v>5307.1910000000007</v>
      </c>
      <c r="P229" s="52">
        <f t="shared" ca="1" si="10"/>
        <v>-8.7709298572446442E-2</v>
      </c>
      <c r="Q229" s="43">
        <f t="shared" ca="1" si="11"/>
        <v>-2.0269832486365233E-3</v>
      </c>
    </row>
    <row r="230" spans="12:17" x14ac:dyDescent="0.3">
      <c r="L230" s="10">
        <f ca="1"/>
        <v>45782.229166666664</v>
      </c>
      <c r="M230" s="50">
        <f ca="1"/>
        <v>94733.68</v>
      </c>
      <c r="N230" s="51">
        <f t="shared" ca="1" si="9"/>
        <v>4736.6840000000002</v>
      </c>
      <c r="O230" s="51">
        <f ca="1">MAX(N230:$N$732)</f>
        <v>5307.1910000000007</v>
      </c>
      <c r="P230" s="52">
        <f t="shared" ca="1" si="10"/>
        <v>-0.10749697909873612</v>
      </c>
      <c r="Q230" s="43">
        <f t="shared" ca="1" si="11"/>
        <v>-2.1928792437757201E-2</v>
      </c>
    </row>
    <row r="231" spans="12:17" x14ac:dyDescent="0.3">
      <c r="L231" s="10">
        <f ca="1"/>
        <v>45781.229166666664</v>
      </c>
      <c r="M231" s="50">
        <f ca="1"/>
        <v>94277.62</v>
      </c>
      <c r="N231" s="51">
        <f t="shared" ca="1" si="9"/>
        <v>4713.8810000000003</v>
      </c>
      <c r="O231" s="51">
        <f ca="1">MAX(N231:$N$732)</f>
        <v>5307.1910000000007</v>
      </c>
      <c r="P231" s="52">
        <f t="shared" ca="1" si="10"/>
        <v>-0.11179360230298858</v>
      </c>
      <c r="Q231" s="43">
        <f t="shared" ca="1" si="11"/>
        <v>-4.8257525878699732E-3</v>
      </c>
    </row>
    <row r="232" spans="12:17" x14ac:dyDescent="0.3">
      <c r="L232" s="10">
        <f ca="1"/>
        <v>45780.229166666664</v>
      </c>
      <c r="M232" s="50">
        <f ca="1"/>
        <v>95856.42</v>
      </c>
      <c r="N232" s="51">
        <f t="shared" ca="1" si="9"/>
        <v>4792.8209999999999</v>
      </c>
      <c r="O232" s="51">
        <f ca="1">MAX(N232:$N$732)</f>
        <v>5307.1910000000007</v>
      </c>
      <c r="P232" s="52">
        <f t="shared" ca="1" si="10"/>
        <v>-9.6919443826310514E-2</v>
      </c>
      <c r="Q232" s="43">
        <f t="shared" ca="1" si="11"/>
        <v>1.660761310921113E-2</v>
      </c>
    </row>
    <row r="233" spans="12:17" x14ac:dyDescent="0.3">
      <c r="L233" s="10">
        <f ca="1"/>
        <v>45779.229166666664</v>
      </c>
      <c r="M233" s="50">
        <f ca="1"/>
        <v>96887.14</v>
      </c>
      <c r="N233" s="51">
        <f t="shared" ca="1" si="9"/>
        <v>4844.357</v>
      </c>
      <c r="O233" s="51">
        <f ca="1">MAX(N233:$N$732)</f>
        <v>5307.1910000000007</v>
      </c>
      <c r="P233" s="52">
        <f t="shared" ca="1" si="10"/>
        <v>-8.7208845507915703E-2</v>
      </c>
      <c r="Q233" s="43">
        <f t="shared" ca="1" si="11"/>
        <v>1.0695349046804588E-2</v>
      </c>
    </row>
    <row r="234" spans="12:17" x14ac:dyDescent="0.3">
      <c r="L234" s="10">
        <f ca="1"/>
        <v>45778.229166666664</v>
      </c>
      <c r="M234" s="50">
        <f ca="1"/>
        <v>96489.91</v>
      </c>
      <c r="N234" s="51">
        <f t="shared" ca="1" si="9"/>
        <v>4824.4955</v>
      </c>
      <c r="O234" s="51">
        <f ca="1">MAX(N234:$N$732)</f>
        <v>5307.1910000000007</v>
      </c>
      <c r="P234" s="52">
        <f t="shared" ca="1" si="10"/>
        <v>-9.0951220711672262E-2</v>
      </c>
      <c r="Q234" s="43">
        <f t="shared" ca="1" si="11"/>
        <v>-4.1083526584196652E-3</v>
      </c>
    </row>
    <row r="235" spans="12:17" x14ac:dyDescent="0.3">
      <c r="L235" s="10">
        <f ca="1"/>
        <v>45777.229166666664</v>
      </c>
      <c r="M235" s="50">
        <f ca="1"/>
        <v>94172</v>
      </c>
      <c r="N235" s="51">
        <f t="shared" ca="1" si="9"/>
        <v>4708.6000000000004</v>
      </c>
      <c r="O235" s="51">
        <f ca="1">MAX(N235:$N$732)</f>
        <v>5307.1910000000007</v>
      </c>
      <c r="P235" s="52">
        <f t="shared" ca="1" si="10"/>
        <v>-0.11278866730064931</v>
      </c>
      <c r="Q235" s="43">
        <f t="shared" ca="1" si="11"/>
        <v>-2.4315545810009737E-2</v>
      </c>
    </row>
    <row r="236" spans="12:17" x14ac:dyDescent="0.3">
      <c r="L236" s="10">
        <f ca="1"/>
        <v>45776.229166666664</v>
      </c>
      <c r="M236" s="50">
        <f ca="1"/>
        <v>94256.82</v>
      </c>
      <c r="N236" s="51">
        <f t="shared" ca="1" si="9"/>
        <v>4712.8410000000003</v>
      </c>
      <c r="O236" s="51">
        <f ca="1">MAX(N236:$N$732)</f>
        <v>5307.1910000000007</v>
      </c>
      <c r="P236" s="52">
        <f t="shared" ca="1" si="10"/>
        <v>-0.11198956284030484</v>
      </c>
      <c r="Q236" s="43">
        <f t="shared" ca="1" si="11"/>
        <v>9.0028697020976239E-4</v>
      </c>
    </row>
    <row r="237" spans="12:17" x14ac:dyDescent="0.3">
      <c r="L237" s="10">
        <f ca="1"/>
        <v>45775.229166666664</v>
      </c>
      <c r="M237" s="50">
        <f ca="1"/>
        <v>95011.18</v>
      </c>
      <c r="N237" s="51">
        <f t="shared" ca="1" si="9"/>
        <v>4750.5590000000002</v>
      </c>
      <c r="O237" s="51">
        <f ca="1">MAX(N237:$N$732)</f>
        <v>5307.1910000000007</v>
      </c>
      <c r="P237" s="52">
        <f t="shared" ca="1" si="10"/>
        <v>-0.10488260173790626</v>
      </c>
      <c r="Q237" s="43">
        <f t="shared" ca="1" si="11"/>
        <v>7.9713844339102304E-3</v>
      </c>
    </row>
    <row r="238" spans="12:17" x14ac:dyDescent="0.3">
      <c r="L238" s="10">
        <f ca="1"/>
        <v>45774.229166666664</v>
      </c>
      <c r="M238" s="50">
        <f ca="1"/>
        <v>93749.3</v>
      </c>
      <c r="N238" s="51">
        <f t="shared" ca="1" si="9"/>
        <v>4687.4650000000001</v>
      </c>
      <c r="O238" s="51">
        <f ca="1">MAX(N238:$N$732)</f>
        <v>5307.1910000000007</v>
      </c>
      <c r="P238" s="52">
        <f t="shared" ca="1" si="10"/>
        <v>-0.11677099995082153</v>
      </c>
      <c r="Q238" s="43">
        <f t="shared" ca="1" si="11"/>
        <v>-1.337037073084583E-2</v>
      </c>
    </row>
    <row r="239" spans="12:17" x14ac:dyDescent="0.3">
      <c r="L239" s="10">
        <f ca="1"/>
        <v>45773.229166666664</v>
      </c>
      <c r="M239" s="50">
        <f ca="1"/>
        <v>94628</v>
      </c>
      <c r="N239" s="51">
        <f t="shared" ca="1" si="9"/>
        <v>4731.4000000000005</v>
      </c>
      <c r="O239" s="51">
        <f ca="1">MAX(N239:$N$732)</f>
        <v>5307.1910000000007</v>
      </c>
      <c r="P239" s="52">
        <f t="shared" ca="1" si="10"/>
        <v>-0.1084926093671775</v>
      </c>
      <c r="Q239" s="43">
        <f t="shared" ca="1" si="11"/>
        <v>9.3292171941832466E-3</v>
      </c>
    </row>
    <row r="240" spans="12:17" x14ac:dyDescent="0.3">
      <c r="L240" s="10">
        <f ca="1"/>
        <v>45772.229166666664</v>
      </c>
      <c r="M240" s="50">
        <f ca="1"/>
        <v>94638.68</v>
      </c>
      <c r="N240" s="51">
        <f t="shared" ca="1" si="9"/>
        <v>4731.9340000000002</v>
      </c>
      <c r="O240" s="51">
        <f ca="1">MAX(N240:$N$732)</f>
        <v>5307.1910000000007</v>
      </c>
      <c r="P240" s="52">
        <f t="shared" ca="1" si="10"/>
        <v>-0.10839199116820941</v>
      </c>
      <c r="Q240" s="43">
        <f t="shared" ca="1" si="11"/>
        <v>1.1285663183113145E-4</v>
      </c>
    </row>
    <row r="241" spans="12:17" x14ac:dyDescent="0.3">
      <c r="L241" s="10">
        <f ca="1"/>
        <v>45771.229166666664</v>
      </c>
      <c r="M241" s="50">
        <f ca="1"/>
        <v>93980.47</v>
      </c>
      <c r="N241" s="51">
        <f t="shared" ca="1" si="9"/>
        <v>4699.0235000000002</v>
      </c>
      <c r="O241" s="51">
        <f ca="1">MAX(N241:$N$732)</f>
        <v>5307.1910000000007</v>
      </c>
      <c r="P241" s="52">
        <f t="shared" ca="1" si="10"/>
        <v>-0.11459310584450426</v>
      </c>
      <c r="Q241" s="43">
        <f t="shared" ca="1" si="11"/>
        <v>-6.9792772557714967E-3</v>
      </c>
    </row>
    <row r="242" spans="12:17" x14ac:dyDescent="0.3">
      <c r="L242" s="10">
        <f ca="1"/>
        <v>45770.229166666664</v>
      </c>
      <c r="M242" s="50">
        <f ca="1"/>
        <v>93691.08</v>
      </c>
      <c r="N242" s="51">
        <f t="shared" ca="1" si="9"/>
        <v>4684.5540000000001</v>
      </c>
      <c r="O242" s="51">
        <f ca="1">MAX(N242:$N$732)</f>
        <v>5307.1910000000007</v>
      </c>
      <c r="P242" s="52">
        <f t="shared" ca="1" si="10"/>
        <v>-0.11731950103171349</v>
      </c>
      <c r="Q242" s="43">
        <f t="shared" ca="1" si="11"/>
        <v>-3.0840074520417423E-3</v>
      </c>
    </row>
    <row r="243" spans="12:17" x14ac:dyDescent="0.3">
      <c r="L243" s="10">
        <f ca="1"/>
        <v>45769.229166666664</v>
      </c>
      <c r="M243" s="50">
        <f ca="1"/>
        <v>93442.99</v>
      </c>
      <c r="N243" s="51">
        <f t="shared" ca="1" si="9"/>
        <v>4672.1495000000004</v>
      </c>
      <c r="O243" s="51">
        <f ca="1">MAX(N243:$N$732)</f>
        <v>5307.1910000000007</v>
      </c>
      <c r="P243" s="52">
        <f t="shared" ca="1" si="10"/>
        <v>-0.11965680149819372</v>
      </c>
      <c r="Q243" s="43">
        <f t="shared" ca="1" si="11"/>
        <v>-2.6514695623878464E-3</v>
      </c>
    </row>
    <row r="244" spans="12:17" x14ac:dyDescent="0.3">
      <c r="L244" s="10">
        <f ca="1"/>
        <v>45768.229166666664</v>
      </c>
      <c r="M244" s="50">
        <f ca="1"/>
        <v>87516.23</v>
      </c>
      <c r="N244" s="51">
        <f t="shared" ca="1" si="9"/>
        <v>4375.8114999999998</v>
      </c>
      <c r="O244" s="51">
        <f ca="1">MAX(N244:$N$732)</f>
        <v>5307.1910000000007</v>
      </c>
      <c r="P244" s="52">
        <f t="shared" ca="1" si="10"/>
        <v>-0.17549387237052536</v>
      </c>
      <c r="Q244" s="43">
        <f t="shared" ca="1" si="11"/>
        <v>-6.5527255834284689E-2</v>
      </c>
    </row>
    <row r="245" spans="12:17" x14ac:dyDescent="0.3">
      <c r="L245" s="10">
        <f ca="1"/>
        <v>45767.229166666664</v>
      </c>
      <c r="M245" s="50">
        <f ca="1"/>
        <v>85179.24</v>
      </c>
      <c r="N245" s="51">
        <f t="shared" ca="1" si="9"/>
        <v>4258.9620000000004</v>
      </c>
      <c r="O245" s="51">
        <f ca="1">MAX(N245:$N$732)</f>
        <v>5307.1910000000007</v>
      </c>
      <c r="P245" s="52">
        <f t="shared" ca="1" si="10"/>
        <v>-0.19751107506777127</v>
      </c>
      <c r="Q245" s="43">
        <f t="shared" ca="1" si="11"/>
        <v>-2.7066519704468325E-2</v>
      </c>
    </row>
    <row r="246" spans="12:17" x14ac:dyDescent="0.3">
      <c r="L246" s="10">
        <f ca="1"/>
        <v>45766.229166666664</v>
      </c>
      <c r="M246" s="50">
        <f ca="1"/>
        <v>85077.01</v>
      </c>
      <c r="N246" s="51">
        <f t="shared" ca="1" si="9"/>
        <v>4253.8504999999996</v>
      </c>
      <c r="O246" s="51">
        <f ca="1">MAX(N246:$N$732)</f>
        <v>5307.1910000000007</v>
      </c>
      <c r="P246" s="52">
        <f t="shared" ca="1" si="10"/>
        <v>-0.19847420226632148</v>
      </c>
      <c r="Q246" s="43">
        <f t="shared" ca="1" si="11"/>
        <v>-1.2008958529973631E-3</v>
      </c>
    </row>
    <row r="247" spans="12:17" x14ac:dyDescent="0.3">
      <c r="L247" s="10">
        <f ca="1"/>
        <v>45765.229166666664</v>
      </c>
      <c r="M247" s="50">
        <f ca="1"/>
        <v>84474.69</v>
      </c>
      <c r="N247" s="51">
        <f t="shared" ca="1" si="9"/>
        <v>4223.7345000000005</v>
      </c>
      <c r="O247" s="51">
        <f ca="1">MAX(N247:$N$732)</f>
        <v>5307.1910000000007</v>
      </c>
      <c r="P247" s="52">
        <f t="shared" ca="1" si="10"/>
        <v>-0.20414876721037553</v>
      </c>
      <c r="Q247" s="43">
        <f t="shared" ca="1" si="11"/>
        <v>-7.1048834511908427E-3</v>
      </c>
    </row>
    <row r="248" spans="12:17" x14ac:dyDescent="0.3">
      <c r="L248" s="10">
        <f ca="1"/>
        <v>45764.229166666664</v>
      </c>
      <c r="M248" s="50">
        <f ca="1"/>
        <v>84947.91</v>
      </c>
      <c r="N248" s="51">
        <f t="shared" ca="1" si="9"/>
        <v>4247.3955000000005</v>
      </c>
      <c r="O248" s="51">
        <f ca="1">MAX(N248:$N$732)</f>
        <v>5307.1910000000007</v>
      </c>
      <c r="P248" s="52">
        <f t="shared" ca="1" si="10"/>
        <v>-0.19969047656283712</v>
      </c>
      <c r="Q248" s="43">
        <f t="shared" ca="1" si="11"/>
        <v>5.5862822389650072E-3</v>
      </c>
    </row>
    <row r="249" spans="12:17" x14ac:dyDescent="0.3">
      <c r="L249" s="10">
        <f ca="1"/>
        <v>45763.229166666664</v>
      </c>
      <c r="M249" s="50">
        <f ca="1"/>
        <v>84030.38</v>
      </c>
      <c r="N249" s="51">
        <f t="shared" ca="1" si="9"/>
        <v>4201.5190000000002</v>
      </c>
      <c r="O249" s="51">
        <f ca="1">MAX(N249:$N$732)</f>
        <v>5307.1910000000007</v>
      </c>
      <c r="P249" s="52">
        <f t="shared" ca="1" si="10"/>
        <v>-0.20833469155340373</v>
      </c>
      <c r="Q249" s="43">
        <f t="shared" ca="1" si="11"/>
        <v>-1.0859844983458437E-2</v>
      </c>
    </row>
    <row r="250" spans="12:17" x14ac:dyDescent="0.3">
      <c r="L250" s="10">
        <f ca="1"/>
        <v>45762.229166666664</v>
      </c>
      <c r="M250" s="50">
        <f ca="1"/>
        <v>83643.990000000005</v>
      </c>
      <c r="N250" s="51">
        <f t="shared" ca="1" si="9"/>
        <v>4182.1995000000006</v>
      </c>
      <c r="O250" s="51">
        <f ca="1">MAX(N250:$N$732)</f>
        <v>5307.1910000000007</v>
      </c>
      <c r="P250" s="52">
        <f t="shared" ca="1" si="10"/>
        <v>-0.21197494116944349</v>
      </c>
      <c r="Q250" s="43">
        <f t="shared" ca="1" si="11"/>
        <v>-4.6088222541114457E-3</v>
      </c>
    </row>
    <row r="251" spans="12:17" x14ac:dyDescent="0.3">
      <c r="L251" s="10">
        <f ca="1"/>
        <v>45761.229166666664</v>
      </c>
      <c r="M251" s="50">
        <f ca="1"/>
        <v>84591.58</v>
      </c>
      <c r="N251" s="51">
        <f t="shared" ca="1" si="9"/>
        <v>4229.5790000000006</v>
      </c>
      <c r="O251" s="51">
        <f ca="1">MAX(N251:$N$732)</f>
        <v>5307.1910000000007</v>
      </c>
      <c r="P251" s="52">
        <f t="shared" ca="1" si="10"/>
        <v>-0.20304752551773619</v>
      </c>
      <c r="Q251" s="43">
        <f t="shared" ca="1" si="11"/>
        <v>1.1265156602012759E-2</v>
      </c>
    </row>
    <row r="252" spans="12:17" x14ac:dyDescent="0.3">
      <c r="L252" s="10">
        <f ca="1"/>
        <v>45760.229166666664</v>
      </c>
      <c r="M252" s="50">
        <f ca="1"/>
        <v>83760</v>
      </c>
      <c r="N252" s="51">
        <f t="shared" ca="1" si="9"/>
        <v>4188</v>
      </c>
      <c r="O252" s="51">
        <f ca="1">MAX(N252:$N$732)</f>
        <v>5307.1910000000007</v>
      </c>
      <c r="P252" s="52">
        <f t="shared" ca="1" si="10"/>
        <v>-0.21088199011492154</v>
      </c>
      <c r="Q252" s="43">
        <f t="shared" ca="1" si="11"/>
        <v>-9.8791679099759881E-3</v>
      </c>
    </row>
    <row r="253" spans="12:17" x14ac:dyDescent="0.3">
      <c r="L253" s="10">
        <f ca="1"/>
        <v>45759.229166666664</v>
      </c>
      <c r="M253" s="50">
        <f ca="1"/>
        <v>85276.9</v>
      </c>
      <c r="N253" s="51">
        <f t="shared" ca="1" si="9"/>
        <v>4263.8450000000003</v>
      </c>
      <c r="O253" s="51">
        <f ca="1">MAX(N253:$N$732)</f>
        <v>5307.1910000000007</v>
      </c>
      <c r="P253" s="52">
        <f t="shared" ca="1" si="10"/>
        <v>-0.19659100266035279</v>
      </c>
      <c r="Q253" s="43">
        <f t="shared" ca="1" si="11"/>
        <v>1.7948042350267503E-2</v>
      </c>
    </row>
    <row r="254" spans="12:17" x14ac:dyDescent="0.3">
      <c r="L254" s="10">
        <f ca="1"/>
        <v>45758.229166666664</v>
      </c>
      <c r="M254" s="50">
        <f ca="1"/>
        <v>83423.839999999997</v>
      </c>
      <c r="N254" s="51">
        <f t="shared" ca="1" si="9"/>
        <v>4171.192</v>
      </c>
      <c r="O254" s="51">
        <f ca="1">MAX(N254:$N$732)</f>
        <v>5307.1910000000007</v>
      </c>
      <c r="P254" s="52">
        <f t="shared" ca="1" si="10"/>
        <v>-0.21404901387570197</v>
      </c>
      <c r="Q254" s="43">
        <f t="shared" ca="1" si="11"/>
        <v>-2.1969489076607188E-2</v>
      </c>
    </row>
    <row r="255" spans="12:17" x14ac:dyDescent="0.3">
      <c r="L255" s="10">
        <f ca="1"/>
        <v>45757.229166666664</v>
      </c>
      <c r="M255" s="50">
        <f ca="1"/>
        <v>79607.3</v>
      </c>
      <c r="N255" s="51">
        <f t="shared" ca="1" si="9"/>
        <v>3980.3650000000002</v>
      </c>
      <c r="O255" s="51">
        <f ca="1">MAX(N255:$N$732)</f>
        <v>5307.1910000000007</v>
      </c>
      <c r="P255" s="52">
        <f t="shared" ca="1" si="10"/>
        <v>-0.25000532296651851</v>
      </c>
      <c r="Q255" s="43">
        <f t="shared" ca="1" si="11"/>
        <v>-4.682832264786204E-2</v>
      </c>
    </row>
    <row r="256" spans="12:17" x14ac:dyDescent="0.3">
      <c r="L256" s="10">
        <f ca="1"/>
        <v>45756.229166666664</v>
      </c>
      <c r="M256" s="50">
        <f ca="1"/>
        <v>82615.22</v>
      </c>
      <c r="N256" s="51">
        <f t="shared" ca="1" si="9"/>
        <v>4130.7610000000004</v>
      </c>
      <c r="O256" s="51">
        <f ca="1">MAX(N256:$N$732)</f>
        <v>5307.1910000000007</v>
      </c>
      <c r="P256" s="52">
        <f t="shared" ca="1" si="10"/>
        <v>-0.22166716818746493</v>
      </c>
      <c r="Q256" s="43">
        <f t="shared" ca="1" si="11"/>
        <v>3.708812786599823E-2</v>
      </c>
    </row>
    <row r="257" spans="12:17" x14ac:dyDescent="0.3">
      <c r="L257" s="10">
        <f ca="1"/>
        <v>45755.229166666664</v>
      </c>
      <c r="M257" s="50">
        <f ca="1"/>
        <v>76322.42</v>
      </c>
      <c r="N257" s="51">
        <f t="shared" ca="1" si="9"/>
        <v>3816.1210000000001</v>
      </c>
      <c r="O257" s="51">
        <f ca="1">MAX(N257:$N$732)</f>
        <v>5307.1910000000007</v>
      </c>
      <c r="P257" s="52">
        <f t="shared" ca="1" si="10"/>
        <v>-0.28095276766937544</v>
      </c>
      <c r="Q257" s="43">
        <f t="shared" ca="1" si="11"/>
        <v>-7.9227189821365757E-2</v>
      </c>
    </row>
    <row r="258" spans="12:17" x14ac:dyDescent="0.3">
      <c r="L258" s="10">
        <f ca="1"/>
        <v>45754.229166666664</v>
      </c>
      <c r="M258" s="50">
        <f ca="1"/>
        <v>79163.240000000005</v>
      </c>
      <c r="N258" s="51">
        <f t="shared" ca="1" si="9"/>
        <v>3958.1620000000003</v>
      </c>
      <c r="O258" s="51">
        <f ca="1">MAX(N258:$N$732)</f>
        <v>5307.1910000000007</v>
      </c>
      <c r="P258" s="52">
        <f t="shared" ca="1" si="10"/>
        <v>-0.25418889201462702</v>
      </c>
      <c r="Q258" s="43">
        <f t="shared" ca="1" si="11"/>
        <v>3.6545314426559429E-2</v>
      </c>
    </row>
    <row r="259" spans="12:17" x14ac:dyDescent="0.3">
      <c r="L259" s="10">
        <f ca="1"/>
        <v>45753.229166666664</v>
      </c>
      <c r="M259" s="50">
        <f ca="1"/>
        <v>78430</v>
      </c>
      <c r="N259" s="51">
        <f t="shared" ref="N259:N322" ca="1" si="12">$C$6*M259</f>
        <v>3921.5</v>
      </c>
      <c r="O259" s="51">
        <f ca="1">MAX(N259:$N$732)</f>
        <v>5307.1910000000007</v>
      </c>
      <c r="P259" s="52">
        <f t="shared" ref="P259:P322" ca="1" si="13">(N259 - O259)/O259</f>
        <v>-0.26109687780221225</v>
      </c>
      <c r="Q259" s="43">
        <f t="shared" ca="1" si="11"/>
        <v>-9.3055424346963379E-3</v>
      </c>
    </row>
    <row r="260" spans="12:17" x14ac:dyDescent="0.3">
      <c r="L260" s="10">
        <f ca="1"/>
        <v>45752.229166666664</v>
      </c>
      <c r="M260" s="50">
        <f ca="1"/>
        <v>83537.990000000005</v>
      </c>
      <c r="N260" s="51">
        <f t="shared" ca="1" si="12"/>
        <v>4176.8995000000004</v>
      </c>
      <c r="O260" s="51">
        <f ca="1">MAX(N260:$N$732)</f>
        <v>5307.1910000000007</v>
      </c>
      <c r="P260" s="52">
        <f t="shared" ca="1" si="13"/>
        <v>-0.21297358621538212</v>
      </c>
      <c r="Q260" s="43">
        <f t="shared" ref="Q260:Q323" ca="1" si="14">LN(N260 / N259)</f>
        <v>6.309499122461916E-2</v>
      </c>
    </row>
    <row r="261" spans="12:17" x14ac:dyDescent="0.3">
      <c r="L261" s="10">
        <f ca="1"/>
        <v>45751.229166666664</v>
      </c>
      <c r="M261" s="50">
        <f ca="1"/>
        <v>83889.87</v>
      </c>
      <c r="N261" s="51">
        <f t="shared" ca="1" si="12"/>
        <v>4194.4934999999996</v>
      </c>
      <c r="O261" s="51">
        <f ca="1">MAX(N261:$N$732)</f>
        <v>5307.1910000000007</v>
      </c>
      <c r="P261" s="52">
        <f t="shared" ca="1" si="13"/>
        <v>-0.20965846151005324</v>
      </c>
      <c r="Q261" s="43">
        <f t="shared" ca="1" si="14"/>
        <v>4.2033687594590181E-3</v>
      </c>
    </row>
    <row r="262" spans="12:17" x14ac:dyDescent="0.3">
      <c r="L262" s="10">
        <f ca="1"/>
        <v>45750.229166666664</v>
      </c>
      <c r="M262" s="50">
        <f ca="1"/>
        <v>83213.09</v>
      </c>
      <c r="N262" s="51">
        <f t="shared" ca="1" si="12"/>
        <v>4160.6544999999996</v>
      </c>
      <c r="O262" s="51">
        <f ca="1">MAX(N262:$N$732)</f>
        <v>5307.1910000000007</v>
      </c>
      <c r="P262" s="52">
        <f t="shared" ca="1" si="13"/>
        <v>-0.21603452749298091</v>
      </c>
      <c r="Q262" s="43">
        <f t="shared" ca="1" si="14"/>
        <v>-8.1002000260600882E-3</v>
      </c>
    </row>
    <row r="263" spans="12:17" x14ac:dyDescent="0.3">
      <c r="L263" s="10">
        <f ca="1"/>
        <v>45749.229166666664</v>
      </c>
      <c r="M263" s="50">
        <f ca="1"/>
        <v>82516.289999999994</v>
      </c>
      <c r="N263" s="51">
        <f t="shared" ca="1" si="12"/>
        <v>4125.8144999999995</v>
      </c>
      <c r="O263" s="51">
        <f ca="1">MAX(N263:$N$732)</f>
        <v>5307.1910000000007</v>
      </c>
      <c r="P263" s="52">
        <f t="shared" ca="1" si="13"/>
        <v>-0.22259920549307555</v>
      </c>
      <c r="Q263" s="43">
        <f t="shared" ca="1" si="14"/>
        <v>-8.4089387880866111E-3</v>
      </c>
    </row>
    <row r="264" spans="12:17" x14ac:dyDescent="0.3">
      <c r="L264" s="10">
        <f ca="1"/>
        <v>45748.229166666664</v>
      </c>
      <c r="M264" s="50">
        <f ca="1"/>
        <v>85158.34</v>
      </c>
      <c r="N264" s="51">
        <f t="shared" ca="1" si="12"/>
        <v>4257.9170000000004</v>
      </c>
      <c r="O264" s="51">
        <f ca="1">MAX(N264:$N$732)</f>
        <v>5307.1910000000007</v>
      </c>
      <c r="P264" s="52">
        <f t="shared" ca="1" si="13"/>
        <v>-0.19770797772305543</v>
      </c>
      <c r="Q264" s="43">
        <f t="shared" ca="1" si="14"/>
        <v>3.151661872119995E-2</v>
      </c>
    </row>
    <row r="265" spans="12:17" x14ac:dyDescent="0.3">
      <c r="L265" s="10">
        <f ca="1"/>
        <v>45747.229166666664</v>
      </c>
      <c r="M265" s="50">
        <f ca="1"/>
        <v>82550.009999999995</v>
      </c>
      <c r="N265" s="51">
        <f t="shared" ca="1" si="12"/>
        <v>4127.5005000000001</v>
      </c>
      <c r="O265" s="51">
        <f ca="1">MAX(N265:$N$732)</f>
        <v>5307.1910000000007</v>
      </c>
      <c r="P265" s="52">
        <f t="shared" ca="1" si="13"/>
        <v>-0.22228152331431081</v>
      </c>
      <c r="Q265" s="43">
        <f t="shared" ca="1" si="14"/>
        <v>-3.1108055610873132E-2</v>
      </c>
    </row>
    <row r="266" spans="12:17" x14ac:dyDescent="0.3">
      <c r="L266" s="10">
        <f ca="1"/>
        <v>45746.229166666664</v>
      </c>
      <c r="M266" s="50">
        <f ca="1"/>
        <v>82389.990000000005</v>
      </c>
      <c r="N266" s="51">
        <f t="shared" ca="1" si="12"/>
        <v>4119.4995000000008</v>
      </c>
      <c r="O266" s="51">
        <f ca="1">MAX(N266:$N$732)</f>
        <v>5307.1910000000007</v>
      </c>
      <c r="P266" s="52">
        <f t="shared" ca="1" si="13"/>
        <v>-0.22378910048649084</v>
      </c>
      <c r="Q266" s="43">
        <f t="shared" ca="1" si="14"/>
        <v>-1.9403425512952339E-3</v>
      </c>
    </row>
    <row r="267" spans="12:17" x14ac:dyDescent="0.3">
      <c r="L267" s="10">
        <f ca="1"/>
        <v>45745.229166666664</v>
      </c>
      <c r="M267" s="50">
        <f ca="1"/>
        <v>82648.539999999994</v>
      </c>
      <c r="N267" s="51">
        <f t="shared" ca="1" si="12"/>
        <v>4132.4269999999997</v>
      </c>
      <c r="O267" s="51">
        <f ca="1">MAX(N267:$N$732)</f>
        <v>5307.1910000000007</v>
      </c>
      <c r="P267" s="52">
        <f t="shared" ca="1" si="13"/>
        <v>-0.22135325448057191</v>
      </c>
      <c r="Q267" s="43">
        <f t="shared" ca="1" si="14"/>
        <v>3.1332103056847366E-3</v>
      </c>
    </row>
    <row r="268" spans="12:17" x14ac:dyDescent="0.3">
      <c r="L268" s="10">
        <f ca="1"/>
        <v>45744.229166666664</v>
      </c>
      <c r="M268" s="50">
        <f ca="1"/>
        <v>84424.38</v>
      </c>
      <c r="N268" s="51">
        <f t="shared" ca="1" si="12"/>
        <v>4221.2190000000001</v>
      </c>
      <c r="O268" s="51">
        <f ca="1">MAX(N268:$N$732)</f>
        <v>5307.1910000000007</v>
      </c>
      <c r="P268" s="52">
        <f t="shared" ca="1" si="13"/>
        <v>-0.2046227467600093</v>
      </c>
      <c r="Q268" s="43">
        <f t="shared" ca="1" si="14"/>
        <v>2.1259063189173564E-2</v>
      </c>
    </row>
    <row r="269" spans="12:17" x14ac:dyDescent="0.3">
      <c r="L269" s="10">
        <f ca="1"/>
        <v>45743.229166666664</v>
      </c>
      <c r="M269" s="50">
        <f ca="1"/>
        <v>87232.01</v>
      </c>
      <c r="N269" s="51">
        <f t="shared" ca="1" si="12"/>
        <v>4361.6004999999996</v>
      </c>
      <c r="O269" s="51">
        <f ca="1">MAX(N269:$N$732)</f>
        <v>5307.1910000000007</v>
      </c>
      <c r="P269" s="52">
        <f t="shared" ca="1" si="13"/>
        <v>-0.17817156005879589</v>
      </c>
      <c r="Q269" s="43">
        <f t="shared" ca="1" si="14"/>
        <v>3.2715128262494592E-2</v>
      </c>
    </row>
    <row r="270" spans="12:17" x14ac:dyDescent="0.3">
      <c r="L270" s="10">
        <f ca="1"/>
        <v>45742.229166666664</v>
      </c>
      <c r="M270" s="50">
        <f ca="1"/>
        <v>86909.17</v>
      </c>
      <c r="N270" s="51">
        <f t="shared" ca="1" si="12"/>
        <v>4345.4584999999997</v>
      </c>
      <c r="O270" s="51">
        <f ca="1">MAX(N270:$N$732)</f>
        <v>5307.1910000000007</v>
      </c>
      <c r="P270" s="52">
        <f t="shared" ca="1" si="13"/>
        <v>-0.18121309370625643</v>
      </c>
      <c r="Q270" s="43">
        <f t="shared" ca="1" si="14"/>
        <v>-3.7078004164336513E-3</v>
      </c>
    </row>
    <row r="271" spans="12:17" x14ac:dyDescent="0.3">
      <c r="L271" s="10">
        <f ca="1"/>
        <v>45741.229166666664</v>
      </c>
      <c r="M271" s="50">
        <f ca="1"/>
        <v>87392.87</v>
      </c>
      <c r="N271" s="51">
        <f t="shared" ca="1" si="12"/>
        <v>4369.6435000000001</v>
      </c>
      <c r="O271" s="51">
        <f ca="1">MAX(N271:$N$732)</f>
        <v>5307.1910000000007</v>
      </c>
      <c r="P271" s="52">
        <f t="shared" ca="1" si="13"/>
        <v>-0.17665606909568554</v>
      </c>
      <c r="Q271" s="43">
        <f t="shared" ca="1" si="14"/>
        <v>5.5501500919203795E-3</v>
      </c>
    </row>
    <row r="272" spans="12:17" x14ac:dyDescent="0.3">
      <c r="L272" s="10">
        <f ca="1"/>
        <v>45740.229166666664</v>
      </c>
      <c r="M272" s="50">
        <f ca="1"/>
        <v>87498.16</v>
      </c>
      <c r="N272" s="51">
        <f t="shared" ca="1" si="12"/>
        <v>4374.9080000000004</v>
      </c>
      <c r="O272" s="51">
        <f ca="1">MAX(N272:$N$732)</f>
        <v>5307.1910000000007</v>
      </c>
      <c r="P272" s="52">
        <f t="shared" ca="1" si="13"/>
        <v>-0.17566411308731875</v>
      </c>
      <c r="Q272" s="43">
        <f t="shared" ca="1" si="14"/>
        <v>1.204064184658678E-3</v>
      </c>
    </row>
    <row r="273" spans="12:17" x14ac:dyDescent="0.3">
      <c r="L273" s="10">
        <f ca="1"/>
        <v>45739.229166666664</v>
      </c>
      <c r="M273" s="50">
        <f ca="1"/>
        <v>86082.5</v>
      </c>
      <c r="N273" s="51">
        <f t="shared" ca="1" si="12"/>
        <v>4304.125</v>
      </c>
      <c r="O273" s="51">
        <f ca="1">MAX(N273:$N$732)</f>
        <v>5307.1910000000007</v>
      </c>
      <c r="P273" s="52">
        <f t="shared" ca="1" si="13"/>
        <v>-0.18900130031121937</v>
      </c>
      <c r="Q273" s="43">
        <f t="shared" ca="1" si="14"/>
        <v>-1.6311625828365591E-2</v>
      </c>
    </row>
    <row r="274" spans="12:17" x14ac:dyDescent="0.3">
      <c r="L274" s="10">
        <f ca="1"/>
        <v>45738.229166666664</v>
      </c>
      <c r="M274" s="50">
        <f ca="1"/>
        <v>83840.59</v>
      </c>
      <c r="N274" s="51">
        <f t="shared" ca="1" si="12"/>
        <v>4192.0294999999996</v>
      </c>
      <c r="O274" s="51">
        <f ca="1">MAX(N274:$N$732)</f>
        <v>5307.1910000000007</v>
      </c>
      <c r="P274" s="52">
        <f t="shared" ca="1" si="13"/>
        <v>-0.21012273724461791</v>
      </c>
      <c r="Q274" s="43">
        <f t="shared" ca="1" si="14"/>
        <v>-2.6388880980959772E-2</v>
      </c>
    </row>
    <row r="275" spans="12:17" x14ac:dyDescent="0.3">
      <c r="L275" s="10">
        <f ca="1"/>
        <v>45737.229166666664</v>
      </c>
      <c r="M275" s="50">
        <f ca="1"/>
        <v>84088.79</v>
      </c>
      <c r="N275" s="51">
        <f t="shared" ca="1" si="12"/>
        <v>4204.4394999999995</v>
      </c>
      <c r="O275" s="51">
        <f ca="1">MAX(N275:$N$732)</f>
        <v>5307.1910000000007</v>
      </c>
      <c r="P275" s="52">
        <f t="shared" ca="1" si="13"/>
        <v>-0.20778440044837299</v>
      </c>
      <c r="Q275" s="43">
        <f t="shared" ca="1" si="14"/>
        <v>2.9560066348178842E-3</v>
      </c>
    </row>
    <row r="276" spans="12:17" x14ac:dyDescent="0.3">
      <c r="L276" s="10">
        <f ca="1"/>
        <v>45736.229166666664</v>
      </c>
      <c r="M276" s="50">
        <f ca="1"/>
        <v>84223.39</v>
      </c>
      <c r="N276" s="51">
        <f t="shared" ca="1" si="12"/>
        <v>4211.1695</v>
      </c>
      <c r="O276" s="51">
        <f ca="1">MAX(N276:$N$732)</f>
        <v>5307.1910000000007</v>
      </c>
      <c r="P276" s="52">
        <f t="shared" ca="1" si="13"/>
        <v>-0.20651630966362444</v>
      </c>
      <c r="Q276" s="43">
        <f t="shared" ca="1" si="14"/>
        <v>1.5994092488549817E-3</v>
      </c>
    </row>
    <row r="277" spans="12:17" x14ac:dyDescent="0.3">
      <c r="L277" s="10">
        <f ca="1"/>
        <v>45735.229166666664</v>
      </c>
      <c r="M277" s="50">
        <f ca="1"/>
        <v>86845.94</v>
      </c>
      <c r="N277" s="51">
        <f t="shared" ca="1" si="12"/>
        <v>4342.2970000000005</v>
      </c>
      <c r="O277" s="51">
        <f ca="1">MAX(N277:$N$732)</f>
        <v>5307.1910000000007</v>
      </c>
      <c r="P277" s="52">
        <f t="shared" ca="1" si="13"/>
        <v>-0.18180879489733837</v>
      </c>
      <c r="Q277" s="43">
        <f t="shared" ca="1" si="14"/>
        <v>3.0663070683642237E-2</v>
      </c>
    </row>
    <row r="278" spans="12:17" x14ac:dyDescent="0.3">
      <c r="L278" s="10">
        <f ca="1"/>
        <v>45734.229166666664</v>
      </c>
      <c r="M278" s="50">
        <f ca="1"/>
        <v>82715.03</v>
      </c>
      <c r="N278" s="51">
        <f t="shared" ca="1" si="12"/>
        <v>4135.7515000000003</v>
      </c>
      <c r="O278" s="51">
        <f ca="1">MAX(N278:$N$732)</f>
        <v>5307.1910000000007</v>
      </c>
      <c r="P278" s="52">
        <f t="shared" ca="1" si="13"/>
        <v>-0.22072684024373726</v>
      </c>
      <c r="Q278" s="43">
        <f t="shared" ca="1" si="14"/>
        <v>-4.8734417578944429E-2</v>
      </c>
    </row>
    <row r="279" spans="12:17" x14ac:dyDescent="0.3">
      <c r="L279" s="10">
        <f ca="1"/>
        <v>45733.229166666664</v>
      </c>
      <c r="M279" s="50">
        <f ca="1"/>
        <v>84010.03</v>
      </c>
      <c r="N279" s="51">
        <f t="shared" ca="1" si="12"/>
        <v>4200.5015000000003</v>
      </c>
      <c r="O279" s="51">
        <f ca="1">MAX(N279:$N$732)</f>
        <v>5307.1910000000007</v>
      </c>
      <c r="P279" s="52">
        <f t="shared" ca="1" si="13"/>
        <v>-0.20852641255986459</v>
      </c>
      <c r="Q279" s="43">
        <f t="shared" ca="1" si="14"/>
        <v>1.5534869726955147E-2</v>
      </c>
    </row>
    <row r="280" spans="12:17" x14ac:dyDescent="0.3">
      <c r="L280" s="10">
        <f ca="1"/>
        <v>45732.229166666664</v>
      </c>
      <c r="M280" s="50">
        <f ca="1"/>
        <v>82574.53</v>
      </c>
      <c r="N280" s="51">
        <f t="shared" ca="1" si="12"/>
        <v>4128.7264999999998</v>
      </c>
      <c r="O280" s="51">
        <f ca="1">MAX(N280:$N$732)</f>
        <v>5307.1910000000007</v>
      </c>
      <c r="P280" s="52">
        <f t="shared" ca="1" si="13"/>
        <v>-0.22205051598858996</v>
      </c>
      <c r="Q280" s="43">
        <f t="shared" ca="1" si="14"/>
        <v>-1.7234917011719947E-2</v>
      </c>
    </row>
    <row r="281" spans="12:17" x14ac:dyDescent="0.3">
      <c r="L281" s="10">
        <f ca="1"/>
        <v>45731.229166666664</v>
      </c>
      <c r="M281" s="50">
        <f ca="1"/>
        <v>84338.44</v>
      </c>
      <c r="N281" s="51">
        <f t="shared" ca="1" si="12"/>
        <v>4216.9220000000005</v>
      </c>
      <c r="O281" s="51">
        <f ca="1">MAX(N281:$N$732)</f>
        <v>5307.1910000000007</v>
      </c>
      <c r="P281" s="52">
        <f t="shared" ca="1" si="13"/>
        <v>-0.20543240294159379</v>
      </c>
      <c r="Q281" s="43">
        <f t="shared" ca="1" si="14"/>
        <v>2.1136472120496408E-2</v>
      </c>
    </row>
    <row r="282" spans="12:17" x14ac:dyDescent="0.3">
      <c r="L282" s="10">
        <f ca="1"/>
        <v>45730.229166666664</v>
      </c>
      <c r="M282" s="50">
        <f ca="1"/>
        <v>83983.2</v>
      </c>
      <c r="N282" s="51">
        <f t="shared" ca="1" si="12"/>
        <v>4199.16</v>
      </c>
      <c r="O282" s="51">
        <f ca="1">MAX(N282:$N$732)</f>
        <v>5307.1910000000007</v>
      </c>
      <c r="P282" s="52">
        <f t="shared" ca="1" si="13"/>
        <v>-0.20877918281064328</v>
      </c>
      <c r="Q282" s="43">
        <f t="shared" ca="1" si="14"/>
        <v>-4.2209727451673045E-3</v>
      </c>
    </row>
    <row r="283" spans="12:17" x14ac:dyDescent="0.3">
      <c r="L283" s="10">
        <f ca="1"/>
        <v>45729.229166666664</v>
      </c>
      <c r="M283" s="50">
        <f ca="1"/>
        <v>81115.78</v>
      </c>
      <c r="N283" s="51">
        <f t="shared" ca="1" si="12"/>
        <v>4055.7890000000002</v>
      </c>
      <c r="O283" s="51">
        <f ca="1">MAX(N283:$N$732)</f>
        <v>5307.1910000000007</v>
      </c>
      <c r="P283" s="52">
        <f t="shared" ca="1" si="13"/>
        <v>-0.23579366184484415</v>
      </c>
      <c r="Q283" s="43">
        <f t="shared" ca="1" si="14"/>
        <v>-3.4739262047201278E-2</v>
      </c>
    </row>
    <row r="284" spans="12:17" x14ac:dyDescent="0.3">
      <c r="L284" s="10">
        <f ca="1"/>
        <v>45728.229166666664</v>
      </c>
      <c r="M284" s="50">
        <f ca="1"/>
        <v>83680.12</v>
      </c>
      <c r="N284" s="51">
        <f t="shared" ca="1" si="12"/>
        <v>4184.0060000000003</v>
      </c>
      <c r="O284" s="51">
        <f ca="1">MAX(N284:$N$732)</f>
        <v>5307.1910000000007</v>
      </c>
      <c r="P284" s="52">
        <f t="shared" ca="1" si="13"/>
        <v>-0.21163455394765335</v>
      </c>
      <c r="Q284" s="43">
        <f t="shared" ca="1" si="14"/>
        <v>3.1123917556556208E-2</v>
      </c>
    </row>
    <row r="285" spans="12:17" x14ac:dyDescent="0.3">
      <c r="L285" s="10">
        <f ca="1"/>
        <v>45727.229166666664</v>
      </c>
      <c r="M285" s="50">
        <f ca="1"/>
        <v>82932.990000000005</v>
      </c>
      <c r="N285" s="51">
        <f t="shared" ca="1" si="12"/>
        <v>4146.6495000000004</v>
      </c>
      <c r="O285" s="51">
        <f ca="1">MAX(N285:$N$732)</f>
        <v>5307.1910000000007</v>
      </c>
      <c r="P285" s="52">
        <f t="shared" ca="1" si="13"/>
        <v>-0.21867339992097518</v>
      </c>
      <c r="Q285" s="43">
        <f t="shared" ca="1" si="14"/>
        <v>-8.9685020330386306E-3</v>
      </c>
    </row>
    <row r="286" spans="12:17" x14ac:dyDescent="0.3">
      <c r="L286" s="10">
        <f ca="1"/>
        <v>45726.229166666664</v>
      </c>
      <c r="M286" s="50">
        <f ca="1"/>
        <v>78595.86</v>
      </c>
      <c r="N286" s="51">
        <f t="shared" ca="1" si="12"/>
        <v>3929.7930000000001</v>
      </c>
      <c r="O286" s="51">
        <f ca="1">MAX(N286:$N$732)</f>
        <v>5307.1910000000007</v>
      </c>
      <c r="P286" s="52">
        <f t="shared" ca="1" si="13"/>
        <v>-0.25953428094070863</v>
      </c>
      <c r="Q286" s="43">
        <f t="shared" ca="1" si="14"/>
        <v>-5.3713906024732798E-2</v>
      </c>
    </row>
    <row r="287" spans="12:17" x14ac:dyDescent="0.3">
      <c r="L287" s="10">
        <f ca="1"/>
        <v>45725.229166666664</v>
      </c>
      <c r="M287" s="50">
        <f ca="1"/>
        <v>80734.37</v>
      </c>
      <c r="N287" s="51">
        <f t="shared" ca="1" si="12"/>
        <v>4036.7184999999999</v>
      </c>
      <c r="O287" s="51">
        <f ca="1">MAX(N287:$N$732)</f>
        <v>5307.1910000000007</v>
      </c>
      <c r="P287" s="52">
        <f t="shared" ca="1" si="13"/>
        <v>-0.23938699398608426</v>
      </c>
      <c r="Q287" s="43">
        <f t="shared" ca="1" si="14"/>
        <v>2.6845356703792369E-2</v>
      </c>
    </row>
    <row r="288" spans="12:17" x14ac:dyDescent="0.3">
      <c r="L288" s="10">
        <f ca="1"/>
        <v>45724.229166666664</v>
      </c>
      <c r="M288" s="50">
        <f ca="1"/>
        <v>86222.45</v>
      </c>
      <c r="N288" s="51">
        <f t="shared" ca="1" si="12"/>
        <v>4311.1225000000004</v>
      </c>
      <c r="O288" s="51">
        <f ca="1">MAX(N288:$N$732)</f>
        <v>5307.1910000000007</v>
      </c>
      <c r="P288" s="52">
        <f t="shared" ca="1" si="13"/>
        <v>-0.18768280621518996</v>
      </c>
      <c r="Q288" s="43">
        <f t="shared" ca="1" si="14"/>
        <v>6.5766201600064786E-2</v>
      </c>
    </row>
    <row r="289" spans="12:17" x14ac:dyDescent="0.3">
      <c r="L289" s="10">
        <f ca="1"/>
        <v>45723.229166666664</v>
      </c>
      <c r="M289" s="50">
        <f ca="1"/>
        <v>86801.75</v>
      </c>
      <c r="N289" s="51">
        <f t="shared" ca="1" si="12"/>
        <v>4340.0875000000005</v>
      </c>
      <c r="O289" s="51">
        <f ca="1">MAX(N289:$N$732)</f>
        <v>5307.1910000000007</v>
      </c>
      <c r="P289" s="52">
        <f t="shared" ca="1" si="13"/>
        <v>-0.18222511682733861</v>
      </c>
      <c r="Q289" s="43">
        <f t="shared" ca="1" si="14"/>
        <v>6.6961981573037078E-3</v>
      </c>
    </row>
    <row r="290" spans="12:17" x14ac:dyDescent="0.3">
      <c r="L290" s="10">
        <f ca="1"/>
        <v>45722.229166666664</v>
      </c>
      <c r="M290" s="50">
        <f ca="1"/>
        <v>89931.89</v>
      </c>
      <c r="N290" s="51">
        <f t="shared" ca="1" si="12"/>
        <v>4496.5945000000002</v>
      </c>
      <c r="O290" s="51">
        <f ca="1">MAX(N290:$N$732)</f>
        <v>5307.1910000000007</v>
      </c>
      <c r="P290" s="52">
        <f t="shared" ca="1" si="13"/>
        <v>-0.15273550546795855</v>
      </c>
      <c r="Q290" s="43">
        <f t="shared" ca="1" si="14"/>
        <v>3.5425823298239685E-2</v>
      </c>
    </row>
    <row r="291" spans="12:17" x14ac:dyDescent="0.3">
      <c r="L291" s="10">
        <f ca="1"/>
        <v>45721.229166666664</v>
      </c>
      <c r="M291" s="50">
        <f ca="1"/>
        <v>90606.01</v>
      </c>
      <c r="N291" s="51">
        <f t="shared" ca="1" si="12"/>
        <v>4530.3005000000003</v>
      </c>
      <c r="O291" s="51">
        <f ca="1">MAX(N291:$N$732)</f>
        <v>5307.1910000000007</v>
      </c>
      <c r="P291" s="52">
        <f t="shared" ca="1" si="13"/>
        <v>-0.14638449982297611</v>
      </c>
      <c r="Q291" s="43">
        <f t="shared" ca="1" si="14"/>
        <v>7.4679403380370456E-3</v>
      </c>
    </row>
    <row r="292" spans="12:17" x14ac:dyDescent="0.3">
      <c r="L292" s="10">
        <f ca="1"/>
        <v>45720.229166666664</v>
      </c>
      <c r="M292" s="50">
        <f ca="1"/>
        <v>87281.98</v>
      </c>
      <c r="N292" s="51">
        <f t="shared" ca="1" si="12"/>
        <v>4364.0990000000002</v>
      </c>
      <c r="O292" s="51">
        <f ca="1">MAX(N292:$N$732)</f>
        <v>5307.1910000000007</v>
      </c>
      <c r="P292" s="52">
        <f t="shared" ca="1" si="13"/>
        <v>-0.17770078371025283</v>
      </c>
      <c r="Q292" s="43">
        <f t="shared" ca="1" si="14"/>
        <v>-3.7376519512634515E-2</v>
      </c>
    </row>
    <row r="293" spans="12:17" x14ac:dyDescent="0.3">
      <c r="L293" s="10">
        <f ca="1"/>
        <v>45719.229166666664</v>
      </c>
      <c r="M293" s="50">
        <f ca="1"/>
        <v>86220.61</v>
      </c>
      <c r="N293" s="51">
        <f t="shared" ca="1" si="12"/>
        <v>4311.0304999999998</v>
      </c>
      <c r="O293" s="51">
        <f ca="1">MAX(N293:$N$732)</f>
        <v>5307.1910000000007</v>
      </c>
      <c r="P293" s="52">
        <f t="shared" ca="1" si="13"/>
        <v>-0.18770014118579881</v>
      </c>
      <c r="Q293" s="43">
        <f t="shared" ca="1" si="14"/>
        <v>-1.223478265846057E-2</v>
      </c>
    </row>
    <row r="294" spans="12:17" x14ac:dyDescent="0.3">
      <c r="L294" s="10">
        <f ca="1"/>
        <v>45718.229166666664</v>
      </c>
      <c r="M294" s="50">
        <f ca="1"/>
        <v>94270</v>
      </c>
      <c r="N294" s="51">
        <f t="shared" ca="1" si="12"/>
        <v>4713.5</v>
      </c>
      <c r="O294" s="51">
        <f ca="1">MAX(N294:$N$732)</f>
        <v>5307.1910000000007</v>
      </c>
      <c r="P294" s="52">
        <f t="shared" ca="1" si="13"/>
        <v>-0.11186539169214009</v>
      </c>
      <c r="Q294" s="43">
        <f t="shared" ca="1" si="14"/>
        <v>8.9253761189486108E-2</v>
      </c>
    </row>
    <row r="295" spans="12:17" x14ac:dyDescent="0.3">
      <c r="L295" s="10">
        <f ca="1"/>
        <v>45717.229166666664</v>
      </c>
      <c r="M295" s="50">
        <f ca="1"/>
        <v>86064.53</v>
      </c>
      <c r="N295" s="51">
        <f t="shared" ca="1" si="12"/>
        <v>4303.2264999999998</v>
      </c>
      <c r="O295" s="51">
        <f ca="1">MAX(N295:$N$732)</f>
        <v>5307.1910000000007</v>
      </c>
      <c r="P295" s="52">
        <f t="shared" ca="1" si="13"/>
        <v>-0.18917059891004503</v>
      </c>
      <c r="Q295" s="43">
        <f t="shared" ca="1" si="14"/>
        <v>-9.1065641688288623E-2</v>
      </c>
    </row>
    <row r="296" spans="12:17" x14ac:dyDescent="0.3">
      <c r="L296" s="10">
        <f ca="1"/>
        <v>45716.229166666664</v>
      </c>
      <c r="M296" s="50">
        <f ca="1"/>
        <v>84349.94</v>
      </c>
      <c r="N296" s="51">
        <f t="shared" ca="1" si="12"/>
        <v>4217.4970000000003</v>
      </c>
      <c r="O296" s="51">
        <f ca="1">MAX(N296:$N$732)</f>
        <v>5307.1910000000007</v>
      </c>
      <c r="P296" s="52">
        <f t="shared" ca="1" si="13"/>
        <v>-0.20532405937528916</v>
      </c>
      <c r="Q296" s="43">
        <f t="shared" ca="1" si="14"/>
        <v>-2.0123266049919045E-2</v>
      </c>
    </row>
    <row r="297" spans="12:17" x14ac:dyDescent="0.3">
      <c r="L297" s="10">
        <f ca="1"/>
        <v>45715.229166666664</v>
      </c>
      <c r="M297" s="50">
        <f ca="1"/>
        <v>84708.58</v>
      </c>
      <c r="N297" s="51">
        <f t="shared" ca="1" si="12"/>
        <v>4235.4290000000001</v>
      </c>
      <c r="O297" s="51">
        <f ca="1">MAX(N297:$N$732)</f>
        <v>5307.1910000000007</v>
      </c>
      <c r="P297" s="52">
        <f t="shared" ca="1" si="13"/>
        <v>-0.20194524749533238</v>
      </c>
      <c r="Q297" s="43">
        <f t="shared" ca="1" si="14"/>
        <v>4.2427975590891391E-3</v>
      </c>
    </row>
    <row r="298" spans="12:17" x14ac:dyDescent="0.3">
      <c r="L298" s="10">
        <f ca="1"/>
        <v>45714.229166666664</v>
      </c>
      <c r="M298" s="50">
        <f ca="1"/>
        <v>84250.09</v>
      </c>
      <c r="N298" s="51">
        <f t="shared" ca="1" si="12"/>
        <v>4212.5045</v>
      </c>
      <c r="O298" s="51">
        <f ca="1">MAX(N298:$N$732)</f>
        <v>5307.1910000000007</v>
      </c>
      <c r="P298" s="52">
        <f t="shared" ca="1" si="13"/>
        <v>-0.20626476416620404</v>
      </c>
      <c r="Q298" s="43">
        <f t="shared" ca="1" si="14"/>
        <v>-5.42725774778179E-3</v>
      </c>
    </row>
    <row r="299" spans="12:17" x14ac:dyDescent="0.3">
      <c r="L299" s="10">
        <f ca="1"/>
        <v>45713.229166666664</v>
      </c>
      <c r="M299" s="50">
        <f ca="1"/>
        <v>88680.4</v>
      </c>
      <c r="N299" s="51">
        <f t="shared" ca="1" si="12"/>
        <v>4434.0199999999995</v>
      </c>
      <c r="O299" s="51">
        <f ca="1">MAX(N299:$N$732)</f>
        <v>5307.1910000000007</v>
      </c>
      <c r="P299" s="52">
        <f t="shared" ca="1" si="13"/>
        <v>-0.16452601762401262</v>
      </c>
      <c r="Q299" s="43">
        <f t="shared" ca="1" si="14"/>
        <v>5.1249257856688935E-2</v>
      </c>
    </row>
    <row r="300" spans="12:17" x14ac:dyDescent="0.3">
      <c r="L300" s="10">
        <f ca="1"/>
        <v>45712.229166666664</v>
      </c>
      <c r="M300" s="50">
        <f ca="1"/>
        <v>91552.88</v>
      </c>
      <c r="N300" s="51">
        <f t="shared" ca="1" si="12"/>
        <v>4577.6440000000002</v>
      </c>
      <c r="O300" s="51">
        <f ca="1">MAX(N300:$N$732)</f>
        <v>5307.1910000000007</v>
      </c>
      <c r="P300" s="52">
        <f t="shared" ca="1" si="13"/>
        <v>-0.13746386742063746</v>
      </c>
      <c r="Q300" s="43">
        <f t="shared" ca="1" si="14"/>
        <v>3.187783350742493E-2</v>
      </c>
    </row>
    <row r="301" spans="12:17" x14ac:dyDescent="0.3">
      <c r="L301" s="10">
        <f ca="1"/>
        <v>45711.229166666664</v>
      </c>
      <c r="M301" s="50">
        <f ca="1"/>
        <v>96258</v>
      </c>
      <c r="N301" s="51">
        <f t="shared" ca="1" si="12"/>
        <v>4812.9000000000005</v>
      </c>
      <c r="O301" s="51">
        <f ca="1">MAX(N301:$N$732)</f>
        <v>5307.1910000000007</v>
      </c>
      <c r="P301" s="52">
        <f t="shared" ca="1" si="13"/>
        <v>-9.3136086490951633E-2</v>
      </c>
      <c r="Q301" s="43">
        <f t="shared" ca="1" si="14"/>
        <v>5.01153577517214E-2</v>
      </c>
    </row>
    <row r="302" spans="12:17" x14ac:dyDescent="0.3">
      <c r="L302" s="10">
        <f ca="1"/>
        <v>45710.229166666664</v>
      </c>
      <c r="M302" s="50">
        <f ca="1"/>
        <v>96551.01</v>
      </c>
      <c r="N302" s="51">
        <f t="shared" ca="1" si="12"/>
        <v>4827.5505000000003</v>
      </c>
      <c r="O302" s="51">
        <f ca="1">MAX(N302:$N$732)</f>
        <v>5307.1910000000007</v>
      </c>
      <c r="P302" s="52">
        <f t="shared" ca="1" si="13"/>
        <v>-9.0375586633305707E-2</v>
      </c>
      <c r="Q302" s="43">
        <f t="shared" ca="1" si="14"/>
        <v>3.0393831239023446E-3</v>
      </c>
    </row>
    <row r="303" spans="12:17" x14ac:dyDescent="0.3">
      <c r="L303" s="10">
        <f ca="1"/>
        <v>45709.229166666664</v>
      </c>
      <c r="M303" s="50">
        <f ca="1"/>
        <v>96181.98</v>
      </c>
      <c r="N303" s="51">
        <f t="shared" ca="1" si="12"/>
        <v>4809.0990000000002</v>
      </c>
      <c r="O303" s="51">
        <f ca="1">MAX(N303:$N$732)</f>
        <v>5307.1910000000007</v>
      </c>
      <c r="P303" s="52">
        <f t="shared" ca="1" si="13"/>
        <v>-9.3852284570123914E-2</v>
      </c>
      <c r="Q303" s="43">
        <f t="shared" ca="1" si="14"/>
        <v>-3.8294476827774905E-3</v>
      </c>
    </row>
    <row r="304" spans="12:17" x14ac:dyDescent="0.3">
      <c r="L304" s="10">
        <f ca="1"/>
        <v>45708.229166666664</v>
      </c>
      <c r="M304" s="50">
        <f ca="1"/>
        <v>98305</v>
      </c>
      <c r="N304" s="51">
        <f t="shared" ca="1" si="12"/>
        <v>4915.25</v>
      </c>
      <c r="O304" s="51">
        <f ca="1">MAX(N304:$N$732)</f>
        <v>5307.1910000000007</v>
      </c>
      <c r="P304" s="52">
        <f t="shared" ca="1" si="13"/>
        <v>-7.3850931688722088E-2</v>
      </c>
      <c r="Q304" s="43">
        <f t="shared" ca="1" si="14"/>
        <v>2.1832868521335418E-2</v>
      </c>
    </row>
    <row r="305" spans="12:17" x14ac:dyDescent="0.3">
      <c r="L305" s="10">
        <f ca="1"/>
        <v>45707.229166666664</v>
      </c>
      <c r="M305" s="50">
        <f ca="1"/>
        <v>96644.37</v>
      </c>
      <c r="N305" s="51">
        <f t="shared" ca="1" si="12"/>
        <v>4832.2184999999999</v>
      </c>
      <c r="O305" s="51">
        <f ca="1">MAX(N305:$N$732)</f>
        <v>5307.1910000000007</v>
      </c>
      <c r="P305" s="52">
        <f t="shared" ca="1" si="13"/>
        <v>-8.9496025298505505E-2</v>
      </c>
      <c r="Q305" s="43">
        <f t="shared" ca="1" si="14"/>
        <v>-1.7036938024453357E-2</v>
      </c>
    </row>
    <row r="306" spans="12:17" x14ac:dyDescent="0.3">
      <c r="L306" s="10">
        <f ca="1"/>
        <v>45706.229166666664</v>
      </c>
      <c r="M306" s="50">
        <f ca="1"/>
        <v>95671.74</v>
      </c>
      <c r="N306" s="51">
        <f t="shared" ca="1" si="12"/>
        <v>4783.5870000000004</v>
      </c>
      <c r="O306" s="51">
        <f ca="1">MAX(N306:$N$732)</f>
        <v>5307.1910000000007</v>
      </c>
      <c r="P306" s="52">
        <f t="shared" ca="1" si="13"/>
        <v>-9.8659347289366484E-2</v>
      </c>
      <c r="Q306" s="43">
        <f t="shared" ca="1" si="14"/>
        <v>-1.0114995490717109E-2</v>
      </c>
    </row>
    <row r="307" spans="12:17" x14ac:dyDescent="0.3">
      <c r="L307" s="10">
        <f ca="1"/>
        <v>45705.229166666664</v>
      </c>
      <c r="M307" s="50">
        <f ca="1"/>
        <v>95780</v>
      </c>
      <c r="N307" s="51">
        <f t="shared" ca="1" si="12"/>
        <v>4789</v>
      </c>
      <c r="O307" s="51">
        <f ca="1">MAX(N307:$N$732)</f>
        <v>5307.1910000000007</v>
      </c>
      <c r="P307" s="52">
        <f t="shared" ca="1" si="13"/>
        <v>-9.7639410377354172E-2</v>
      </c>
      <c r="Q307" s="43">
        <f t="shared" ca="1" si="14"/>
        <v>1.1309378701796235E-3</v>
      </c>
    </row>
    <row r="308" spans="12:17" x14ac:dyDescent="0.3">
      <c r="L308" s="10">
        <f ca="1"/>
        <v>45704.229166666664</v>
      </c>
      <c r="M308" s="50">
        <f ca="1"/>
        <v>96118.12</v>
      </c>
      <c r="N308" s="51">
        <f t="shared" ca="1" si="12"/>
        <v>4805.9059999999999</v>
      </c>
      <c r="O308" s="51">
        <f ca="1">MAX(N308:$N$732)</f>
        <v>5307.1910000000007</v>
      </c>
      <c r="P308" s="52">
        <f t="shared" ca="1" si="13"/>
        <v>-9.4453921104403565E-2</v>
      </c>
      <c r="Q308" s="43">
        <f t="shared" ca="1" si="14"/>
        <v>3.523956877799926E-3</v>
      </c>
    </row>
    <row r="309" spans="12:17" x14ac:dyDescent="0.3">
      <c r="L309" s="10">
        <f ca="1"/>
        <v>45703.229166666664</v>
      </c>
      <c r="M309" s="50">
        <f ca="1"/>
        <v>97569.66</v>
      </c>
      <c r="N309" s="51">
        <f t="shared" ca="1" si="12"/>
        <v>4878.4830000000002</v>
      </c>
      <c r="O309" s="51">
        <f ca="1">MAX(N309:$N$732)</f>
        <v>5307.1910000000007</v>
      </c>
      <c r="P309" s="52">
        <f t="shared" ca="1" si="13"/>
        <v>-8.0778701953632431E-2</v>
      </c>
      <c r="Q309" s="43">
        <f t="shared" ca="1" si="14"/>
        <v>1.4988732643856669E-2</v>
      </c>
    </row>
    <row r="310" spans="12:17" x14ac:dyDescent="0.3">
      <c r="L310" s="10">
        <f ca="1"/>
        <v>45702.229166666664</v>
      </c>
      <c r="M310" s="50">
        <f ca="1"/>
        <v>97500.479999999996</v>
      </c>
      <c r="N310" s="51">
        <f t="shared" ca="1" si="12"/>
        <v>4875.0240000000003</v>
      </c>
      <c r="O310" s="51">
        <f ca="1">MAX(N310:$N$732)</f>
        <v>5307.1910000000007</v>
      </c>
      <c r="P310" s="52">
        <f t="shared" ca="1" si="13"/>
        <v>-8.1430459163802524E-2</v>
      </c>
      <c r="Q310" s="43">
        <f t="shared" ca="1" si="14"/>
        <v>-7.0928336751349436E-4</v>
      </c>
    </row>
    <row r="311" spans="12:17" x14ac:dyDescent="0.3">
      <c r="L311" s="10">
        <f ca="1"/>
        <v>45701.229166666664</v>
      </c>
      <c r="M311" s="50">
        <f ca="1"/>
        <v>96608.14</v>
      </c>
      <c r="N311" s="51">
        <f t="shared" ca="1" si="12"/>
        <v>4830.4070000000002</v>
      </c>
      <c r="O311" s="51">
        <f ca="1">MAX(N311:$N$732)</f>
        <v>5307.1910000000007</v>
      </c>
      <c r="P311" s="52">
        <f t="shared" ca="1" si="13"/>
        <v>-8.9837354638263534E-2</v>
      </c>
      <c r="Q311" s="43">
        <f t="shared" ca="1" si="14"/>
        <v>-9.1942983898786277E-3</v>
      </c>
    </row>
    <row r="312" spans="12:17" x14ac:dyDescent="0.3">
      <c r="L312" s="10">
        <f ca="1"/>
        <v>45700.229166666664</v>
      </c>
      <c r="M312" s="50">
        <f ca="1"/>
        <v>97869.99</v>
      </c>
      <c r="N312" s="51">
        <f t="shared" ca="1" si="12"/>
        <v>4893.4995000000008</v>
      </c>
      <c r="O312" s="51">
        <f ca="1">MAX(N312:$N$732)</f>
        <v>5307.1910000000007</v>
      </c>
      <c r="P312" s="52">
        <f t="shared" ca="1" si="13"/>
        <v>-7.7949239060738501E-2</v>
      </c>
      <c r="Q312" s="43">
        <f t="shared" ca="1" si="14"/>
        <v>1.2976962582638973E-2</v>
      </c>
    </row>
    <row r="313" spans="12:17" x14ac:dyDescent="0.3">
      <c r="L313" s="10">
        <f ca="1"/>
        <v>45699.229166666664</v>
      </c>
      <c r="M313" s="50">
        <f ca="1"/>
        <v>95778.2</v>
      </c>
      <c r="N313" s="51">
        <f t="shared" ca="1" si="12"/>
        <v>4788.91</v>
      </c>
      <c r="O313" s="51">
        <f ca="1">MAX(N313:$N$732)</f>
        <v>5307.1910000000007</v>
      </c>
      <c r="P313" s="52">
        <f t="shared" ca="1" si="13"/>
        <v>-9.7656368500775789E-2</v>
      </c>
      <c r="Q313" s="43">
        <f t="shared" ca="1" si="14"/>
        <v>-2.160486359094152E-2</v>
      </c>
    </row>
    <row r="314" spans="12:17" x14ac:dyDescent="0.3">
      <c r="L314" s="10">
        <f ca="1"/>
        <v>45698.229166666664</v>
      </c>
      <c r="M314" s="50">
        <f ca="1"/>
        <v>97430.82</v>
      </c>
      <c r="N314" s="51">
        <f t="shared" ca="1" si="12"/>
        <v>4871.5410000000002</v>
      </c>
      <c r="O314" s="51">
        <f ca="1">MAX(N314:$N$732)</f>
        <v>5307.1910000000007</v>
      </c>
      <c r="P314" s="52">
        <f t="shared" ca="1" si="13"/>
        <v>-8.2086738540218446E-2</v>
      </c>
      <c r="Q314" s="43">
        <f t="shared" ca="1" si="14"/>
        <v>1.7107486030289155E-2</v>
      </c>
    </row>
    <row r="315" spans="12:17" x14ac:dyDescent="0.3">
      <c r="L315" s="10">
        <f ca="1"/>
        <v>45697.229166666664</v>
      </c>
      <c r="M315" s="50">
        <f ca="1"/>
        <v>96462.75</v>
      </c>
      <c r="N315" s="51">
        <f t="shared" ca="1" si="12"/>
        <v>4823.1374999999998</v>
      </c>
      <c r="O315" s="51">
        <f ca="1">MAX(N315:$N$732)</f>
        <v>5307.1910000000007</v>
      </c>
      <c r="P315" s="52">
        <f t="shared" ca="1" si="13"/>
        <v>-9.1207099951744877E-2</v>
      </c>
      <c r="Q315" s="43">
        <f t="shared" ca="1" si="14"/>
        <v>-9.9856642396464104E-3</v>
      </c>
    </row>
    <row r="316" spans="12:17" x14ac:dyDescent="0.3">
      <c r="L316" s="10">
        <f ca="1"/>
        <v>45696.229166666664</v>
      </c>
      <c r="M316" s="50">
        <f ca="1"/>
        <v>96444.74</v>
      </c>
      <c r="N316" s="51">
        <f t="shared" ca="1" si="12"/>
        <v>4822.2370000000001</v>
      </c>
      <c r="O316" s="51">
        <f ca="1">MAX(N316:$N$732)</f>
        <v>5307.1910000000007</v>
      </c>
      <c r="P316" s="52">
        <f t="shared" ca="1" si="13"/>
        <v>-9.1376775397757598E-2</v>
      </c>
      <c r="Q316" s="43">
        <f t="shared" ca="1" si="14"/>
        <v>-1.8672162550369438E-4</v>
      </c>
    </row>
    <row r="317" spans="12:17" x14ac:dyDescent="0.3">
      <c r="L317" s="10">
        <f ca="1"/>
        <v>45695.229166666664</v>
      </c>
      <c r="M317" s="50">
        <f ca="1"/>
        <v>96506.8</v>
      </c>
      <c r="N317" s="51">
        <f t="shared" ca="1" si="12"/>
        <v>4825.34</v>
      </c>
      <c r="O317" s="51">
        <f ca="1">MAX(N317:$N$732)</f>
        <v>5307.1910000000007</v>
      </c>
      <c r="P317" s="52">
        <f t="shared" ca="1" si="13"/>
        <v>-9.0792096986899565E-2</v>
      </c>
      <c r="Q317" s="43">
        <f t="shared" ca="1" si="14"/>
        <v>6.4327034798492835E-4</v>
      </c>
    </row>
    <row r="318" spans="12:17" x14ac:dyDescent="0.3">
      <c r="L318" s="10">
        <f ca="1"/>
        <v>45694.229166666664</v>
      </c>
      <c r="M318" s="50">
        <f ca="1"/>
        <v>96554.35</v>
      </c>
      <c r="N318" s="51">
        <f t="shared" ca="1" si="12"/>
        <v>4827.7175000000007</v>
      </c>
      <c r="O318" s="51">
        <f ca="1">MAX(N318:$N$732)</f>
        <v>5307.1910000000007</v>
      </c>
      <c r="P318" s="52">
        <f t="shared" ca="1" si="13"/>
        <v>-9.0344119893178892E-2</v>
      </c>
      <c r="Q318" s="43">
        <f t="shared" ca="1" si="14"/>
        <v>4.9259005202753126E-4</v>
      </c>
    </row>
    <row r="319" spans="12:17" x14ac:dyDescent="0.3">
      <c r="L319" s="10">
        <f ca="1"/>
        <v>45693.229166666664</v>
      </c>
      <c r="M319" s="50">
        <f ca="1"/>
        <v>96612.43</v>
      </c>
      <c r="N319" s="51">
        <f t="shared" ca="1" si="12"/>
        <v>4830.6215000000002</v>
      </c>
      <c r="O319" s="51">
        <f ca="1">MAX(N319:$N$732)</f>
        <v>5307.1910000000007</v>
      </c>
      <c r="P319" s="52">
        <f t="shared" ca="1" si="13"/>
        <v>-8.9796937777442049E-2</v>
      </c>
      <c r="Q319" s="43">
        <f t="shared" ca="1" si="14"/>
        <v>6.0134565322480713E-4</v>
      </c>
    </row>
    <row r="320" spans="12:17" x14ac:dyDescent="0.3">
      <c r="L320" s="10">
        <f ca="1"/>
        <v>45692.229166666664</v>
      </c>
      <c r="M320" s="50">
        <f ca="1"/>
        <v>97763.13</v>
      </c>
      <c r="N320" s="51">
        <f t="shared" ca="1" si="12"/>
        <v>4888.1565000000001</v>
      </c>
      <c r="O320" s="51">
        <f ca="1">MAX(N320:$N$732)</f>
        <v>5307.1910000000007</v>
      </c>
      <c r="P320" s="52">
        <f t="shared" ca="1" si="13"/>
        <v>-7.8955986321200919E-2</v>
      </c>
      <c r="Q320" s="43">
        <f t="shared" ca="1" si="14"/>
        <v>1.184010420688728E-2</v>
      </c>
    </row>
    <row r="321" spans="12:17" x14ac:dyDescent="0.3">
      <c r="L321" s="10">
        <f ca="1"/>
        <v>45691.229166666664</v>
      </c>
      <c r="M321" s="50">
        <f ca="1"/>
        <v>101328.52</v>
      </c>
      <c r="N321" s="51">
        <f t="shared" ca="1" si="12"/>
        <v>5066.4260000000004</v>
      </c>
      <c r="O321" s="51">
        <f ca="1">MAX(N321:$N$732)</f>
        <v>5307.1910000000007</v>
      </c>
      <c r="P321" s="52">
        <f t="shared" ca="1" si="13"/>
        <v>-4.5365806506681275E-2</v>
      </c>
      <c r="Q321" s="43">
        <f t="shared" ca="1" si="14"/>
        <v>3.5820399514262517E-2</v>
      </c>
    </row>
    <row r="322" spans="12:17" x14ac:dyDescent="0.3">
      <c r="L322" s="10">
        <f ca="1"/>
        <v>45690.229166666664</v>
      </c>
      <c r="M322" s="50">
        <f ca="1"/>
        <v>97700.59</v>
      </c>
      <c r="N322" s="51">
        <f t="shared" ca="1" si="12"/>
        <v>4885.0294999999996</v>
      </c>
      <c r="O322" s="51">
        <f ca="1">MAX(N322:$N$732)</f>
        <v>5307.1910000000007</v>
      </c>
      <c r="P322" s="52">
        <f t="shared" ca="1" si="13"/>
        <v>-7.9545186898304768E-2</v>
      </c>
      <c r="Q322" s="43">
        <f t="shared" ca="1" si="14"/>
        <v>-3.6460313684873201E-2</v>
      </c>
    </row>
    <row r="323" spans="12:17" x14ac:dyDescent="0.3">
      <c r="L323" s="10">
        <f ca="1"/>
        <v>45689.229166666664</v>
      </c>
      <c r="M323" s="50">
        <f ca="1"/>
        <v>100635.65</v>
      </c>
      <c r="N323" s="51">
        <f t="shared" ref="N323:N386" ca="1" si="15">$C$6*M323</f>
        <v>5031.7825000000003</v>
      </c>
      <c r="O323" s="51">
        <f ca="1">MAX(N323:$N$732)</f>
        <v>5307.1910000000007</v>
      </c>
      <c r="P323" s="52">
        <f t="shared" ref="P323:P386" ca="1" si="16">(N323 - O323)/O323</f>
        <v>-5.189345927063873E-2</v>
      </c>
      <c r="Q323" s="43">
        <f t="shared" ca="1" si="14"/>
        <v>2.9598970722466186E-2</v>
      </c>
    </row>
    <row r="324" spans="12:17" x14ac:dyDescent="0.3">
      <c r="L324" s="10">
        <f ca="1"/>
        <v>45688.229166666664</v>
      </c>
      <c r="M324" s="50">
        <f ca="1"/>
        <v>102429.56</v>
      </c>
      <c r="N324" s="51">
        <f t="shared" ca="1" si="15"/>
        <v>5121.4780000000001</v>
      </c>
      <c r="O324" s="51">
        <f ca="1">MAX(N324:$N$732)</f>
        <v>5307.1910000000007</v>
      </c>
      <c r="P324" s="52">
        <f t="shared" ca="1" si="16"/>
        <v>-3.4992710833282731E-2</v>
      </c>
      <c r="Q324" s="43">
        <f t="shared" ref="Q324:Q387" ca="1" si="17">LN(N324 / N323)</f>
        <v>1.7668774175154171E-2</v>
      </c>
    </row>
    <row r="325" spans="12:17" x14ac:dyDescent="0.3">
      <c r="L325" s="10">
        <f ca="1"/>
        <v>45687.229166666664</v>
      </c>
      <c r="M325" s="50">
        <f ca="1"/>
        <v>104722.94</v>
      </c>
      <c r="N325" s="51">
        <f t="shared" ca="1" si="15"/>
        <v>5236.1470000000008</v>
      </c>
      <c r="O325" s="51">
        <f ca="1">MAX(N325:$N$732)</f>
        <v>5307.1910000000007</v>
      </c>
      <c r="P325" s="52">
        <f t="shared" ca="1" si="16"/>
        <v>-1.3386365781823164E-2</v>
      </c>
      <c r="Q325" s="43">
        <f t="shared" ca="1" si="17"/>
        <v>2.2142853251164638E-2</v>
      </c>
    </row>
    <row r="326" spans="12:17" x14ac:dyDescent="0.3">
      <c r="L326" s="10">
        <f ca="1"/>
        <v>45686.229166666664</v>
      </c>
      <c r="M326" s="50">
        <f ca="1"/>
        <v>103733.24</v>
      </c>
      <c r="N326" s="51">
        <f t="shared" ca="1" si="15"/>
        <v>5186.6620000000003</v>
      </c>
      <c r="O326" s="51">
        <f ca="1">MAX(N326:$N$732)</f>
        <v>5307.1910000000007</v>
      </c>
      <c r="P326" s="52">
        <f t="shared" ca="1" si="16"/>
        <v>-2.2710507309799184E-2</v>
      </c>
      <c r="Q326" s="43">
        <f t="shared" ca="1" si="17"/>
        <v>-9.4955921810716375E-3</v>
      </c>
    </row>
    <row r="327" spans="12:17" x14ac:dyDescent="0.3">
      <c r="L327" s="10">
        <f ca="1"/>
        <v>45685.229166666664</v>
      </c>
      <c r="M327" s="50">
        <f ca="1"/>
        <v>101335.52</v>
      </c>
      <c r="N327" s="51">
        <f t="shared" ca="1" si="15"/>
        <v>5066.7760000000007</v>
      </c>
      <c r="O327" s="51">
        <f ca="1">MAX(N327:$N$732)</f>
        <v>5307.1910000000007</v>
      </c>
      <c r="P327" s="52">
        <f t="shared" ca="1" si="16"/>
        <v>-4.5299858248930541E-2</v>
      </c>
      <c r="Q327" s="43">
        <f t="shared" ca="1" si="17"/>
        <v>-2.3385612440133069E-2</v>
      </c>
    </row>
    <row r="328" spans="12:17" x14ac:dyDescent="0.3">
      <c r="L328" s="10">
        <f ca="1"/>
        <v>45684.229166666664</v>
      </c>
      <c r="M328" s="50">
        <f ca="1"/>
        <v>102082.83</v>
      </c>
      <c r="N328" s="51">
        <f t="shared" ca="1" si="15"/>
        <v>5104.1415000000006</v>
      </c>
      <c r="O328" s="51">
        <f ca="1">MAX(N328:$N$732)</f>
        <v>5307.1910000000007</v>
      </c>
      <c r="P328" s="52">
        <f t="shared" ca="1" si="16"/>
        <v>-3.8259316463266545E-2</v>
      </c>
      <c r="Q328" s="43">
        <f t="shared" ca="1" si="17"/>
        <v>7.3475511137684026E-3</v>
      </c>
    </row>
    <row r="329" spans="12:17" x14ac:dyDescent="0.3">
      <c r="L329" s="10">
        <f ca="1"/>
        <v>45683.229166666664</v>
      </c>
      <c r="M329" s="50">
        <f ca="1"/>
        <v>102620</v>
      </c>
      <c r="N329" s="51">
        <f t="shared" ca="1" si="15"/>
        <v>5131</v>
      </c>
      <c r="O329" s="51">
        <f ca="1">MAX(N329:$N$732)</f>
        <v>5307.1910000000007</v>
      </c>
      <c r="P329" s="52">
        <f t="shared" ca="1" si="16"/>
        <v>-3.3198541375277557E-2</v>
      </c>
      <c r="Q329" s="43">
        <f t="shared" ca="1" si="17"/>
        <v>5.2483029473919468E-3</v>
      </c>
    </row>
    <row r="330" spans="12:17" x14ac:dyDescent="0.3">
      <c r="L330" s="10">
        <f ca="1"/>
        <v>45682.229166666664</v>
      </c>
      <c r="M330" s="50">
        <f ca="1"/>
        <v>104746.85</v>
      </c>
      <c r="N330" s="51">
        <f t="shared" ca="1" si="15"/>
        <v>5237.3425000000007</v>
      </c>
      <c r="O330" s="51">
        <f ca="1">MAX(N330:$N$732)</f>
        <v>5307.1910000000007</v>
      </c>
      <c r="P330" s="52">
        <f t="shared" ca="1" si="16"/>
        <v>-1.3161105375706292E-2</v>
      </c>
      <c r="Q330" s="43">
        <f t="shared" ca="1" si="17"/>
        <v>2.051364123722349E-2</v>
      </c>
    </row>
    <row r="331" spans="12:17" x14ac:dyDescent="0.3">
      <c r="L331" s="10">
        <f ca="1"/>
        <v>45681.229166666664</v>
      </c>
      <c r="M331" s="50">
        <f ca="1"/>
        <v>104870.5</v>
      </c>
      <c r="N331" s="51">
        <f t="shared" ca="1" si="15"/>
        <v>5243.5250000000005</v>
      </c>
      <c r="O331" s="51">
        <f ca="1">MAX(N331:$N$732)</f>
        <v>5307.1910000000007</v>
      </c>
      <c r="P331" s="52">
        <f t="shared" ca="1" si="16"/>
        <v>-1.1996176508439239E-2</v>
      </c>
      <c r="Q331" s="43">
        <f t="shared" ca="1" si="17"/>
        <v>1.1797688916675303E-3</v>
      </c>
    </row>
    <row r="332" spans="12:17" x14ac:dyDescent="0.3">
      <c r="L332" s="10">
        <f ca="1"/>
        <v>45680.229166666664</v>
      </c>
      <c r="M332" s="50">
        <f ca="1"/>
        <v>103910.34</v>
      </c>
      <c r="N332" s="51">
        <f t="shared" ca="1" si="15"/>
        <v>5195.5169999999998</v>
      </c>
      <c r="O332" s="51">
        <f ca="1">MAX(N332:$N$732)</f>
        <v>5307.1910000000007</v>
      </c>
      <c r="P332" s="52">
        <f t="shared" ca="1" si="16"/>
        <v>-2.1042016388707487E-2</v>
      </c>
      <c r="Q332" s="43">
        <f t="shared" ca="1" si="17"/>
        <v>-9.1978437211460845E-3</v>
      </c>
    </row>
    <row r="333" spans="12:17" x14ac:dyDescent="0.3">
      <c r="L333" s="10">
        <f ca="1"/>
        <v>45679.229166666664</v>
      </c>
      <c r="M333" s="50">
        <f ca="1"/>
        <v>103706.66</v>
      </c>
      <c r="N333" s="51">
        <f t="shared" ca="1" si="15"/>
        <v>5185.3330000000005</v>
      </c>
      <c r="O333" s="51">
        <f ca="1">MAX(N333:$N$732)</f>
        <v>5307.1910000000007</v>
      </c>
      <c r="P333" s="52">
        <f t="shared" ca="1" si="16"/>
        <v>-2.2960922265658077E-2</v>
      </c>
      <c r="Q333" s="43">
        <f t="shared" ca="1" si="17"/>
        <v>-1.9620750260612267E-3</v>
      </c>
    </row>
    <row r="334" spans="12:17" x14ac:dyDescent="0.3">
      <c r="L334" s="10">
        <f ca="1"/>
        <v>45678.229166666664</v>
      </c>
      <c r="M334" s="50">
        <f ca="1"/>
        <v>106143.82</v>
      </c>
      <c r="N334" s="51">
        <f t="shared" ca="1" si="15"/>
        <v>5307.1910000000007</v>
      </c>
      <c r="O334" s="51">
        <f ca="1">MAX(N334:$N$732)</f>
        <v>5307.1910000000007</v>
      </c>
      <c r="P334" s="52">
        <f t="shared" ca="1" si="16"/>
        <v>0</v>
      </c>
      <c r="Q334" s="43">
        <f t="shared" ca="1" si="17"/>
        <v>2.3228630058235233E-2</v>
      </c>
    </row>
    <row r="335" spans="12:17" x14ac:dyDescent="0.3">
      <c r="L335" s="10">
        <f ca="1"/>
        <v>45677.229166666664</v>
      </c>
      <c r="M335" s="50">
        <f ca="1"/>
        <v>102260.01</v>
      </c>
      <c r="N335" s="51">
        <f t="shared" ca="1" si="15"/>
        <v>5113.0005000000001</v>
      </c>
      <c r="O335" s="51">
        <f ca="1">MAX(N335:$N$732)</f>
        <v>5306.6870000000008</v>
      </c>
      <c r="P335" s="52">
        <f t="shared" ca="1" si="16"/>
        <v>-3.6498572461500116E-2</v>
      </c>
      <c r="Q335" s="43">
        <f t="shared" ca="1" si="17"/>
        <v>-3.7276279511942199E-2</v>
      </c>
    </row>
    <row r="336" spans="12:17" x14ac:dyDescent="0.3">
      <c r="L336" s="10">
        <f ca="1"/>
        <v>45676.229166666664</v>
      </c>
      <c r="M336" s="50">
        <f ca="1"/>
        <v>101331.57</v>
      </c>
      <c r="N336" s="51">
        <f t="shared" ca="1" si="15"/>
        <v>5066.5785000000005</v>
      </c>
      <c r="O336" s="51">
        <f ca="1">MAX(N336:$N$732)</f>
        <v>5306.6870000000008</v>
      </c>
      <c r="P336" s="52">
        <f t="shared" ca="1" si="16"/>
        <v>-4.5246403264409644E-2</v>
      </c>
      <c r="Q336" s="43">
        <f t="shared" ca="1" si="17"/>
        <v>-9.1206761708776014E-3</v>
      </c>
    </row>
    <row r="337" spans="12:17" x14ac:dyDescent="0.3">
      <c r="L337" s="10">
        <f ca="1"/>
        <v>45675.229166666664</v>
      </c>
      <c r="M337" s="50">
        <f ca="1"/>
        <v>104556.23</v>
      </c>
      <c r="N337" s="51">
        <f t="shared" ca="1" si="15"/>
        <v>5227.8114999999998</v>
      </c>
      <c r="O337" s="51">
        <f ca="1">MAX(N337:$N$732)</f>
        <v>5306.6870000000008</v>
      </c>
      <c r="P337" s="52">
        <f t="shared" ca="1" si="16"/>
        <v>-1.486341666655693E-2</v>
      </c>
      <c r="Q337" s="43">
        <f t="shared" ca="1" si="17"/>
        <v>3.1327001541921931E-2</v>
      </c>
    </row>
    <row r="338" spans="12:17" x14ac:dyDescent="0.3">
      <c r="L338" s="10">
        <f ca="1"/>
        <v>45674.229166666664</v>
      </c>
      <c r="M338" s="50">
        <f ca="1"/>
        <v>104077.48</v>
      </c>
      <c r="N338" s="51">
        <f t="shared" ca="1" si="15"/>
        <v>5203.8739999999998</v>
      </c>
      <c r="O338" s="51">
        <f ca="1">MAX(N338:$N$732)</f>
        <v>5306.6870000000008</v>
      </c>
      <c r="P338" s="52">
        <f t="shared" ca="1" si="16"/>
        <v>-1.937423480977887E-2</v>
      </c>
      <c r="Q338" s="43">
        <f t="shared" ca="1" si="17"/>
        <v>-4.5893910462130247E-3</v>
      </c>
    </row>
    <row r="339" spans="12:17" x14ac:dyDescent="0.3">
      <c r="L339" s="10">
        <f ca="1"/>
        <v>45673.229166666664</v>
      </c>
      <c r="M339" s="50">
        <f ca="1"/>
        <v>99987.3</v>
      </c>
      <c r="N339" s="51">
        <f t="shared" ca="1" si="15"/>
        <v>4999.3650000000007</v>
      </c>
      <c r="O339" s="51">
        <f ca="1">MAX(N339:$N$732)</f>
        <v>5306.6870000000008</v>
      </c>
      <c r="P339" s="52">
        <f t="shared" ca="1" si="16"/>
        <v>-5.7912215286109785E-2</v>
      </c>
      <c r="Q339" s="43">
        <f t="shared" ca="1" si="17"/>
        <v>-4.0092443843718246E-2</v>
      </c>
    </row>
    <row r="340" spans="12:17" x14ac:dyDescent="0.3">
      <c r="L340" s="10">
        <f ca="1"/>
        <v>45672.229166666664</v>
      </c>
      <c r="M340" s="50">
        <f ca="1"/>
        <v>100497.35</v>
      </c>
      <c r="N340" s="51">
        <f t="shared" ca="1" si="15"/>
        <v>5024.8675000000003</v>
      </c>
      <c r="O340" s="51">
        <f ca="1">MAX(N340:$N$732)</f>
        <v>5306.6870000000008</v>
      </c>
      <c r="P340" s="52">
        <f t="shared" ca="1" si="16"/>
        <v>-5.3106486212584327E-2</v>
      </c>
      <c r="Q340" s="43">
        <f t="shared" ca="1" si="17"/>
        <v>5.0881810693718292E-3</v>
      </c>
    </row>
    <row r="341" spans="12:17" x14ac:dyDescent="0.3">
      <c r="L341" s="10">
        <f ca="1"/>
        <v>45671.229166666664</v>
      </c>
      <c r="M341" s="50">
        <f ca="1"/>
        <v>96560.86</v>
      </c>
      <c r="N341" s="51">
        <f t="shared" ca="1" si="15"/>
        <v>4828.0430000000006</v>
      </c>
      <c r="O341" s="51">
        <f ca="1">MAX(N341:$N$732)</f>
        <v>5306.6870000000008</v>
      </c>
      <c r="P341" s="52">
        <f t="shared" ca="1" si="16"/>
        <v>-9.0196388066603544E-2</v>
      </c>
      <c r="Q341" s="43">
        <f t="shared" ca="1" si="17"/>
        <v>-3.9957875863212679E-2</v>
      </c>
    </row>
    <row r="342" spans="12:17" x14ac:dyDescent="0.3">
      <c r="L342" s="10">
        <f ca="1"/>
        <v>45670.229166666664</v>
      </c>
      <c r="M342" s="50">
        <f ca="1"/>
        <v>94536.1</v>
      </c>
      <c r="N342" s="51">
        <f t="shared" ca="1" si="15"/>
        <v>4726.8050000000003</v>
      </c>
      <c r="O342" s="51">
        <f ca="1">MAX(N342:$N$732)</f>
        <v>5306.6870000000008</v>
      </c>
      <c r="P342" s="52">
        <f t="shared" ca="1" si="16"/>
        <v>-0.10927382753118856</v>
      </c>
      <c r="Q342" s="43">
        <f t="shared" ca="1" si="17"/>
        <v>-2.1191710994825228E-2</v>
      </c>
    </row>
    <row r="343" spans="12:17" x14ac:dyDescent="0.3">
      <c r="L343" s="10">
        <f ca="1"/>
        <v>45669.229166666664</v>
      </c>
      <c r="M343" s="50">
        <f ca="1"/>
        <v>94545.06</v>
      </c>
      <c r="N343" s="51">
        <f t="shared" ca="1" si="15"/>
        <v>4727.2529999999997</v>
      </c>
      <c r="O343" s="51">
        <f ca="1">MAX(N343:$N$732)</f>
        <v>5306.6870000000008</v>
      </c>
      <c r="P343" s="52">
        <f t="shared" ca="1" si="16"/>
        <v>-0.10918940574411135</v>
      </c>
      <c r="Q343" s="43">
        <f t="shared" ca="1" si="17"/>
        <v>9.4774117174835818E-5</v>
      </c>
    </row>
    <row r="344" spans="12:17" x14ac:dyDescent="0.3">
      <c r="L344" s="10">
        <f ca="1"/>
        <v>45668.229166666664</v>
      </c>
      <c r="M344" s="50">
        <f ca="1"/>
        <v>94599.99</v>
      </c>
      <c r="N344" s="51">
        <f t="shared" ca="1" si="15"/>
        <v>4729.9995000000008</v>
      </c>
      <c r="O344" s="51">
        <f ca="1">MAX(N344:$N$732)</f>
        <v>5306.6870000000008</v>
      </c>
      <c r="P344" s="52">
        <f t="shared" ca="1" si="16"/>
        <v>-0.10867185119454001</v>
      </c>
      <c r="Q344" s="43">
        <f t="shared" ca="1" si="17"/>
        <v>5.8082409816464175E-4</v>
      </c>
    </row>
    <row r="345" spans="12:17" x14ac:dyDescent="0.3">
      <c r="L345" s="10">
        <f ca="1"/>
        <v>45667.229166666664</v>
      </c>
      <c r="M345" s="50">
        <f ca="1"/>
        <v>94726.11</v>
      </c>
      <c r="N345" s="51">
        <f t="shared" ca="1" si="15"/>
        <v>4736.3055000000004</v>
      </c>
      <c r="O345" s="51">
        <f ca="1">MAX(N345:$N$732)</f>
        <v>5306.6870000000008</v>
      </c>
      <c r="P345" s="52">
        <f t="shared" ca="1" si="16"/>
        <v>-0.10748353916483115</v>
      </c>
      <c r="Q345" s="43">
        <f t="shared" ca="1" si="17"/>
        <v>1.33230461785908E-3</v>
      </c>
    </row>
    <row r="346" spans="12:17" x14ac:dyDescent="0.3">
      <c r="L346" s="10">
        <f ca="1"/>
        <v>45666.229166666664</v>
      </c>
      <c r="M346" s="50">
        <f ca="1"/>
        <v>92552.49</v>
      </c>
      <c r="N346" s="51">
        <f t="shared" ca="1" si="15"/>
        <v>4627.6245000000008</v>
      </c>
      <c r="O346" s="51">
        <f ca="1">MAX(N346:$N$732)</f>
        <v>5306.6870000000008</v>
      </c>
      <c r="P346" s="52">
        <f t="shared" ca="1" si="16"/>
        <v>-0.12796354863213147</v>
      </c>
      <c r="Q346" s="43">
        <f t="shared" ca="1" si="17"/>
        <v>-2.3213731933837477E-2</v>
      </c>
    </row>
    <row r="347" spans="12:17" x14ac:dyDescent="0.3">
      <c r="L347" s="10">
        <f ca="1"/>
        <v>45665.229166666664</v>
      </c>
      <c r="M347" s="50">
        <f ca="1"/>
        <v>95060.61</v>
      </c>
      <c r="N347" s="51">
        <f t="shared" ca="1" si="15"/>
        <v>4753.0304999999998</v>
      </c>
      <c r="O347" s="51">
        <f ca="1">MAX(N347:$N$732)</f>
        <v>5306.6870000000008</v>
      </c>
      <c r="P347" s="52">
        <f t="shared" ca="1" si="16"/>
        <v>-0.10433185526110753</v>
      </c>
      <c r="Q347" s="43">
        <f t="shared" ca="1" si="17"/>
        <v>2.6738745131460566E-2</v>
      </c>
    </row>
    <row r="348" spans="12:17" x14ac:dyDescent="0.3">
      <c r="L348" s="10">
        <f ca="1"/>
        <v>45664.229166666664</v>
      </c>
      <c r="M348" s="50">
        <f ca="1"/>
        <v>96954.61</v>
      </c>
      <c r="N348" s="51">
        <f t="shared" ca="1" si="15"/>
        <v>4847.7305000000006</v>
      </c>
      <c r="O348" s="51">
        <f ca="1">MAX(N348:$N$732)</f>
        <v>5306.6870000000008</v>
      </c>
      <c r="P348" s="52">
        <f t="shared" ca="1" si="16"/>
        <v>-8.64864462516821E-2</v>
      </c>
      <c r="Q348" s="43">
        <f t="shared" ca="1" si="17"/>
        <v>1.9728242676769342E-2</v>
      </c>
    </row>
    <row r="349" spans="12:17" x14ac:dyDescent="0.3">
      <c r="L349" s="10">
        <f ca="1"/>
        <v>45663.229166666664</v>
      </c>
      <c r="M349" s="50">
        <f ca="1"/>
        <v>102235.6</v>
      </c>
      <c r="N349" s="51">
        <f t="shared" ca="1" si="15"/>
        <v>5111.7800000000007</v>
      </c>
      <c r="O349" s="51">
        <f ca="1">MAX(N349:$N$732)</f>
        <v>5306.6870000000008</v>
      </c>
      <c r="P349" s="52">
        <f t="shared" ca="1" si="16"/>
        <v>-3.6728565298839014E-2</v>
      </c>
      <c r="Q349" s="43">
        <f t="shared" ca="1" si="17"/>
        <v>5.3037022867576299E-2</v>
      </c>
    </row>
    <row r="350" spans="12:17" x14ac:dyDescent="0.3">
      <c r="L350" s="10">
        <f ca="1"/>
        <v>45662.229166666664</v>
      </c>
      <c r="M350" s="50">
        <f ca="1"/>
        <v>98363.61</v>
      </c>
      <c r="N350" s="51">
        <f t="shared" ca="1" si="15"/>
        <v>4918.1805000000004</v>
      </c>
      <c r="O350" s="51">
        <f ca="1">MAX(N350:$N$732)</f>
        <v>5306.6870000000008</v>
      </c>
      <c r="P350" s="52">
        <f t="shared" ca="1" si="16"/>
        <v>-7.3210743350795013E-2</v>
      </c>
      <c r="Q350" s="43">
        <f t="shared" ca="1" si="17"/>
        <v>-3.8609035123570279E-2</v>
      </c>
    </row>
    <row r="351" spans="12:17" x14ac:dyDescent="0.3">
      <c r="L351" s="10">
        <f ca="1"/>
        <v>45661.229166666664</v>
      </c>
      <c r="M351" s="50">
        <f ca="1"/>
        <v>98220.5</v>
      </c>
      <c r="N351" s="51">
        <f t="shared" ca="1" si="15"/>
        <v>4911.0250000000005</v>
      </c>
      <c r="O351" s="51">
        <f ca="1">MAX(N351:$N$732)</f>
        <v>5306.6870000000008</v>
      </c>
      <c r="P351" s="52">
        <f t="shared" ca="1" si="16"/>
        <v>-7.4559136425419517E-2</v>
      </c>
      <c r="Q351" s="43">
        <f t="shared" ca="1" si="17"/>
        <v>-1.4559673747879666E-3</v>
      </c>
    </row>
    <row r="352" spans="12:17" x14ac:dyDescent="0.3">
      <c r="L352" s="10">
        <f ca="1"/>
        <v>45660.229166666664</v>
      </c>
      <c r="M352" s="50">
        <f ca="1"/>
        <v>98174.18</v>
      </c>
      <c r="N352" s="51">
        <f t="shared" ca="1" si="15"/>
        <v>4908.7089999999998</v>
      </c>
      <c r="O352" s="51">
        <f ca="1">MAX(N352:$N$732)</f>
        <v>5306.6870000000008</v>
      </c>
      <c r="P352" s="52">
        <f t="shared" ca="1" si="16"/>
        <v>-7.4995566913971162E-2</v>
      </c>
      <c r="Q352" s="43">
        <f t="shared" ca="1" si="17"/>
        <v>-4.7170321374162251E-4</v>
      </c>
    </row>
    <row r="353" spans="12:17" x14ac:dyDescent="0.3">
      <c r="L353" s="10">
        <f ca="1"/>
        <v>45659.229166666664</v>
      </c>
      <c r="M353" s="50">
        <f ca="1"/>
        <v>96984.79</v>
      </c>
      <c r="N353" s="51">
        <f t="shared" ca="1" si="15"/>
        <v>4849.2394999999997</v>
      </c>
      <c r="O353" s="51">
        <f ca="1">MAX(N353:$N$732)</f>
        <v>5306.6870000000008</v>
      </c>
      <c r="P353" s="52">
        <f t="shared" ca="1" si="16"/>
        <v>-8.6202088044763342E-2</v>
      </c>
      <c r="Q353" s="43">
        <f t="shared" ca="1" si="17"/>
        <v>-1.2189085912690207E-2</v>
      </c>
    </row>
    <row r="354" spans="12:17" x14ac:dyDescent="0.3">
      <c r="L354" s="10">
        <f ca="1"/>
        <v>45658.229166666664</v>
      </c>
      <c r="M354" s="50">
        <f ca="1"/>
        <v>94591.79</v>
      </c>
      <c r="N354" s="51">
        <f t="shared" ca="1" si="15"/>
        <v>4729.5895</v>
      </c>
      <c r="O354" s="51">
        <f ca="1">MAX(N354:$N$732)</f>
        <v>5306.6870000000008</v>
      </c>
      <c r="P354" s="52">
        <f t="shared" ca="1" si="16"/>
        <v>-0.10874911220503503</v>
      </c>
      <c r="Q354" s="43">
        <f t="shared" ca="1" si="17"/>
        <v>-2.4983476262295051E-2</v>
      </c>
    </row>
    <row r="355" spans="12:17" x14ac:dyDescent="0.3">
      <c r="L355" s="10">
        <f ca="1"/>
        <v>45657.229166666664</v>
      </c>
      <c r="M355" s="50">
        <f ca="1"/>
        <v>93576</v>
      </c>
      <c r="N355" s="51">
        <f t="shared" ca="1" si="15"/>
        <v>4678.8</v>
      </c>
      <c r="O355" s="51">
        <f ca="1">MAX(N355:$N$732)</f>
        <v>5306.6870000000008</v>
      </c>
      <c r="P355" s="52">
        <f t="shared" ca="1" si="16"/>
        <v>-0.118319961211204</v>
      </c>
      <c r="Q355" s="43">
        <f t="shared" ca="1" si="17"/>
        <v>-1.079674547391851E-2</v>
      </c>
    </row>
    <row r="356" spans="12:17" x14ac:dyDescent="0.3">
      <c r="L356" s="10">
        <f ca="1"/>
        <v>45656.229166666664</v>
      </c>
      <c r="M356" s="50">
        <f ca="1"/>
        <v>92792.05</v>
      </c>
      <c r="N356" s="51">
        <f t="shared" ca="1" si="15"/>
        <v>4639.6025</v>
      </c>
      <c r="O356" s="51">
        <f ca="1">MAX(N356:$N$732)</f>
        <v>5306.6870000000008</v>
      </c>
      <c r="P356" s="52">
        <f t="shared" ca="1" si="16"/>
        <v>-0.12570639647674731</v>
      </c>
      <c r="Q356" s="43">
        <f t="shared" ca="1" si="17"/>
        <v>-8.4129723294208685E-3</v>
      </c>
    </row>
    <row r="357" spans="12:17" x14ac:dyDescent="0.3">
      <c r="L357" s="10">
        <f ca="1"/>
        <v>45655.229166666664</v>
      </c>
      <c r="M357" s="50">
        <f ca="1"/>
        <v>93738.2</v>
      </c>
      <c r="N357" s="51">
        <f t="shared" ca="1" si="15"/>
        <v>4686.91</v>
      </c>
      <c r="O357" s="51">
        <f ca="1">MAX(N357:$N$732)</f>
        <v>5306.6870000000008</v>
      </c>
      <c r="P357" s="52">
        <f t="shared" ca="1" si="16"/>
        <v>-0.11679170073531769</v>
      </c>
      <c r="Q357" s="43">
        <f t="shared" ca="1" si="17"/>
        <v>1.0144822242994896E-2</v>
      </c>
    </row>
    <row r="358" spans="12:17" x14ac:dyDescent="0.3">
      <c r="L358" s="10">
        <f ca="1"/>
        <v>45654.229166666664</v>
      </c>
      <c r="M358" s="50">
        <f ca="1"/>
        <v>95300</v>
      </c>
      <c r="N358" s="51">
        <f t="shared" ca="1" si="15"/>
        <v>4765</v>
      </c>
      <c r="O358" s="51">
        <f ca="1">MAX(N358:$N$732)</f>
        <v>5306.6870000000008</v>
      </c>
      <c r="P358" s="52">
        <f t="shared" ca="1" si="16"/>
        <v>-0.10207630485837976</v>
      </c>
      <c r="Q358" s="43">
        <f t="shared" ca="1" si="17"/>
        <v>1.6524020398176614E-2</v>
      </c>
    </row>
    <row r="359" spans="12:17" x14ac:dyDescent="0.3">
      <c r="L359" s="10">
        <f ca="1"/>
        <v>45653.229166666664</v>
      </c>
      <c r="M359" s="50">
        <f ca="1"/>
        <v>94299.03</v>
      </c>
      <c r="N359" s="51">
        <f t="shared" ca="1" si="15"/>
        <v>4714.9515000000001</v>
      </c>
      <c r="O359" s="51">
        <f ca="1">MAX(N359:$N$732)</f>
        <v>5306.6870000000008</v>
      </c>
      <c r="P359" s="52">
        <f t="shared" ca="1" si="16"/>
        <v>-0.11150751872119094</v>
      </c>
      <c r="Q359" s="43">
        <f t="shared" ca="1" si="17"/>
        <v>-1.0558907393903624E-2</v>
      </c>
    </row>
    <row r="360" spans="12:17" x14ac:dyDescent="0.3">
      <c r="L360" s="10">
        <f ca="1"/>
        <v>45652.229166666664</v>
      </c>
      <c r="M360" s="50">
        <f ca="1"/>
        <v>95791.6</v>
      </c>
      <c r="N360" s="51">
        <f t="shared" ca="1" si="15"/>
        <v>4789.5800000000008</v>
      </c>
      <c r="O360" s="51">
        <f ca="1">MAX(N360:$N$732)</f>
        <v>5306.6870000000008</v>
      </c>
      <c r="P360" s="52">
        <f t="shared" ca="1" si="16"/>
        <v>-9.744441305846753E-2</v>
      </c>
      <c r="Q360" s="43">
        <f t="shared" ca="1" si="17"/>
        <v>1.5704095193978227E-2</v>
      </c>
    </row>
    <row r="361" spans="12:17" x14ac:dyDescent="0.3">
      <c r="L361" s="10">
        <f ca="1"/>
        <v>45651.229166666664</v>
      </c>
      <c r="M361" s="50">
        <f ca="1"/>
        <v>99429.6</v>
      </c>
      <c r="N361" s="51">
        <f t="shared" ca="1" si="15"/>
        <v>4971.4800000000005</v>
      </c>
      <c r="O361" s="51">
        <f ca="1">MAX(N361:$N$732)</f>
        <v>5306.6870000000008</v>
      </c>
      <c r="P361" s="52">
        <f t="shared" ca="1" si="16"/>
        <v>-6.3166906207206164E-2</v>
      </c>
      <c r="Q361" s="43">
        <f t="shared" ca="1" si="17"/>
        <v>3.7274857592954354E-2</v>
      </c>
    </row>
    <row r="362" spans="12:17" x14ac:dyDescent="0.3">
      <c r="L362" s="10">
        <f ca="1"/>
        <v>45650.229166666664</v>
      </c>
      <c r="M362" s="50">
        <f ca="1"/>
        <v>98663.58</v>
      </c>
      <c r="N362" s="51">
        <f t="shared" ca="1" si="15"/>
        <v>4933.1790000000001</v>
      </c>
      <c r="O362" s="51">
        <f ca="1">MAX(N362:$N$732)</f>
        <v>5306.6870000000008</v>
      </c>
      <c r="P362" s="52">
        <f t="shared" ca="1" si="16"/>
        <v>-7.0384403677850357E-2</v>
      </c>
      <c r="Q362" s="43">
        <f t="shared" ca="1" si="17"/>
        <v>-7.7339746703661647E-3</v>
      </c>
    </row>
    <row r="363" spans="12:17" x14ac:dyDescent="0.3">
      <c r="L363" s="10">
        <f ca="1"/>
        <v>45649.229166666664</v>
      </c>
      <c r="M363" s="50">
        <f ca="1"/>
        <v>94881.47</v>
      </c>
      <c r="N363" s="51">
        <f t="shared" ca="1" si="15"/>
        <v>4744.0735000000004</v>
      </c>
      <c r="O363" s="51">
        <f ca="1">MAX(N363:$N$732)</f>
        <v>5306.6870000000008</v>
      </c>
      <c r="P363" s="52">
        <f t="shared" ca="1" si="16"/>
        <v>-0.10601972567818685</v>
      </c>
      <c r="Q363" s="43">
        <f t="shared" ca="1" si="17"/>
        <v>-3.9087452998785556E-2</v>
      </c>
    </row>
    <row r="364" spans="12:17" x14ac:dyDescent="0.3">
      <c r="L364" s="10">
        <f ca="1"/>
        <v>45648.229166666664</v>
      </c>
      <c r="M364" s="50">
        <f ca="1"/>
        <v>95186.27</v>
      </c>
      <c r="N364" s="51">
        <f t="shared" ca="1" si="15"/>
        <v>4759.3135000000002</v>
      </c>
      <c r="O364" s="51">
        <f ca="1">MAX(N364:$N$732)</f>
        <v>5306.6870000000008</v>
      </c>
      <c r="P364" s="52">
        <f t="shared" ca="1" si="16"/>
        <v>-0.10314787738564579</v>
      </c>
      <c r="Q364" s="43">
        <f t="shared" ca="1" si="17"/>
        <v>3.2072803231182746E-3</v>
      </c>
    </row>
    <row r="365" spans="12:17" x14ac:dyDescent="0.3">
      <c r="L365" s="10">
        <f ca="1"/>
        <v>45647.229166666664</v>
      </c>
      <c r="M365" s="50">
        <f ca="1"/>
        <v>97291.99</v>
      </c>
      <c r="N365" s="51">
        <f t="shared" ca="1" si="15"/>
        <v>4864.5995000000003</v>
      </c>
      <c r="O365" s="51">
        <f ca="1">MAX(N365:$N$732)</f>
        <v>5306.6870000000008</v>
      </c>
      <c r="P365" s="52">
        <f t="shared" ca="1" si="16"/>
        <v>-8.3307626773540713E-2</v>
      </c>
      <c r="Q365" s="43">
        <f t="shared" ca="1" si="17"/>
        <v>2.1880954382849004E-2</v>
      </c>
    </row>
    <row r="366" spans="12:17" x14ac:dyDescent="0.3">
      <c r="L366" s="10">
        <f ca="1"/>
        <v>45646.229166666664</v>
      </c>
      <c r="M366" s="50">
        <f ca="1"/>
        <v>97805.440000000002</v>
      </c>
      <c r="N366" s="51">
        <f t="shared" ca="1" si="15"/>
        <v>4890.2719999999999</v>
      </c>
      <c r="O366" s="51">
        <f ca="1">MAX(N366:$N$732)</f>
        <v>5306.6870000000008</v>
      </c>
      <c r="P366" s="52">
        <f t="shared" ca="1" si="16"/>
        <v>-7.8469862646883229E-2</v>
      </c>
      <c r="Q366" s="43">
        <f t="shared" ca="1" si="17"/>
        <v>5.2635361257103155E-3</v>
      </c>
    </row>
    <row r="367" spans="12:17" x14ac:dyDescent="0.3">
      <c r="L367" s="10">
        <f ca="1"/>
        <v>45645.229166666664</v>
      </c>
      <c r="M367" s="50">
        <f ca="1"/>
        <v>97461.86</v>
      </c>
      <c r="N367" s="51">
        <f t="shared" ca="1" si="15"/>
        <v>4873.0929999999998</v>
      </c>
      <c r="O367" s="51">
        <f ca="1">MAX(N367:$N$732)</f>
        <v>5306.6870000000008</v>
      </c>
      <c r="P367" s="52">
        <f t="shared" ca="1" si="16"/>
        <v>-8.1707098986618376E-2</v>
      </c>
      <c r="Q367" s="43">
        <f t="shared" ca="1" si="17"/>
        <v>-3.5190772297435933E-3</v>
      </c>
    </row>
    <row r="368" spans="12:17" x14ac:dyDescent="0.3">
      <c r="L368" s="10">
        <f ca="1"/>
        <v>45644.229166666664</v>
      </c>
      <c r="M368" s="50">
        <f ca="1"/>
        <v>100204.01</v>
      </c>
      <c r="N368" s="51">
        <f t="shared" ca="1" si="15"/>
        <v>5010.2004999999999</v>
      </c>
      <c r="O368" s="51">
        <f ca="1">MAX(N368:$N$732)</f>
        <v>5306.6870000000008</v>
      </c>
      <c r="P368" s="52">
        <f t="shared" ca="1" si="16"/>
        <v>-5.5870357531921676E-2</v>
      </c>
      <c r="Q368" s="43">
        <f t="shared" ca="1" si="17"/>
        <v>2.7747085824099342E-2</v>
      </c>
    </row>
    <row r="369" spans="12:17" x14ac:dyDescent="0.3">
      <c r="L369" s="10">
        <f ca="1"/>
        <v>45643.229166666664</v>
      </c>
      <c r="M369" s="50">
        <f ca="1"/>
        <v>106133.74</v>
      </c>
      <c r="N369" s="51">
        <f t="shared" ca="1" si="15"/>
        <v>5306.6870000000008</v>
      </c>
      <c r="O369" s="51">
        <f ca="1">MAX(N369:$N$732)</f>
        <v>5306.6870000000008</v>
      </c>
      <c r="P369" s="52">
        <f t="shared" ca="1" si="16"/>
        <v>0</v>
      </c>
      <c r="Q369" s="43">
        <f t="shared" ca="1" si="17"/>
        <v>5.7491789143001987E-2</v>
      </c>
    </row>
    <row r="370" spans="12:17" x14ac:dyDescent="0.3">
      <c r="L370" s="10">
        <f ca="1"/>
        <v>45642.229166666664</v>
      </c>
      <c r="M370" s="50">
        <f ca="1"/>
        <v>106058.66</v>
      </c>
      <c r="N370" s="51">
        <f t="shared" ca="1" si="15"/>
        <v>5302.9330000000009</v>
      </c>
      <c r="O370" s="51">
        <f ca="1">MAX(N370:$N$732)</f>
        <v>5302.9330000000009</v>
      </c>
      <c r="P370" s="52">
        <f t="shared" ca="1" si="16"/>
        <v>0</v>
      </c>
      <c r="Q370" s="43">
        <f t="shared" ca="1" si="17"/>
        <v>-7.0765968180973304E-4</v>
      </c>
    </row>
    <row r="371" spans="12:17" x14ac:dyDescent="0.3">
      <c r="L371" s="10">
        <f ca="1"/>
        <v>45641.229166666664</v>
      </c>
      <c r="M371" s="50">
        <f ca="1"/>
        <v>104463.99</v>
      </c>
      <c r="N371" s="51">
        <f t="shared" ca="1" si="15"/>
        <v>5223.1995000000006</v>
      </c>
      <c r="O371" s="51">
        <f ca="1">MAX(N371:$N$732)</f>
        <v>5223.1995000000006</v>
      </c>
      <c r="P371" s="52">
        <f t="shared" ca="1" si="16"/>
        <v>0</v>
      </c>
      <c r="Q371" s="43">
        <f t="shared" ca="1" si="17"/>
        <v>-1.5149918553743622E-2</v>
      </c>
    </row>
    <row r="372" spans="12:17" x14ac:dyDescent="0.3">
      <c r="L372" s="10">
        <f ca="1"/>
        <v>45640.229166666664</v>
      </c>
      <c r="M372" s="50">
        <f ca="1"/>
        <v>101420</v>
      </c>
      <c r="N372" s="51">
        <f t="shared" ca="1" si="15"/>
        <v>5071</v>
      </c>
      <c r="O372" s="51">
        <f ca="1">MAX(N372:$N$732)</f>
        <v>5071.2125000000005</v>
      </c>
      <c r="P372" s="52">
        <f t="shared" ca="1" si="16"/>
        <v>-4.1903193762940455E-5</v>
      </c>
      <c r="Q372" s="43">
        <f t="shared" ca="1" si="17"/>
        <v>-2.957210835064266E-2</v>
      </c>
    </row>
    <row r="373" spans="12:17" x14ac:dyDescent="0.3">
      <c r="L373" s="10">
        <f ca="1"/>
        <v>45639.229166666664</v>
      </c>
      <c r="M373" s="50">
        <f ca="1"/>
        <v>101424.25</v>
      </c>
      <c r="N373" s="51">
        <f t="shared" ca="1" si="15"/>
        <v>5071.2125000000005</v>
      </c>
      <c r="O373" s="51">
        <f ca="1">MAX(N373:$N$732)</f>
        <v>5071.2125000000005</v>
      </c>
      <c r="P373" s="52">
        <f t="shared" ca="1" si="16"/>
        <v>0</v>
      </c>
      <c r="Q373" s="43">
        <f t="shared" ca="1" si="17"/>
        <v>4.1904071726355863E-5</v>
      </c>
    </row>
    <row r="374" spans="12:17" x14ac:dyDescent="0.3">
      <c r="L374" s="10">
        <f ca="1"/>
        <v>45638.229166666664</v>
      </c>
      <c r="M374" s="50">
        <f ca="1"/>
        <v>100004.29</v>
      </c>
      <c r="N374" s="51">
        <f t="shared" ca="1" si="15"/>
        <v>5000.2145</v>
      </c>
      <c r="O374" s="51">
        <f ca="1">MAX(N374:$N$732)</f>
        <v>5056.25</v>
      </c>
      <c r="P374" s="52">
        <f t="shared" ca="1" si="16"/>
        <v>-1.1082422744128545E-2</v>
      </c>
      <c r="Q374" s="43">
        <f t="shared" ca="1" si="17"/>
        <v>-1.4099129370686549E-2</v>
      </c>
    </row>
    <row r="375" spans="12:17" x14ac:dyDescent="0.3">
      <c r="L375" s="10">
        <f ca="1"/>
        <v>45637.229166666664</v>
      </c>
      <c r="M375" s="50">
        <f ca="1"/>
        <v>101125</v>
      </c>
      <c r="N375" s="51">
        <f t="shared" ca="1" si="15"/>
        <v>5056.25</v>
      </c>
      <c r="O375" s="51">
        <f ca="1">MAX(N375:$N$732)</f>
        <v>5056.25</v>
      </c>
      <c r="P375" s="52">
        <f t="shared" ca="1" si="16"/>
        <v>0</v>
      </c>
      <c r="Q375" s="43">
        <f t="shared" ca="1" si="17"/>
        <v>1.1144290310743023E-2</v>
      </c>
    </row>
    <row r="376" spans="12:17" x14ac:dyDescent="0.3">
      <c r="L376" s="10">
        <f ca="1"/>
        <v>45636.229166666664</v>
      </c>
      <c r="M376" s="50">
        <f ca="1"/>
        <v>96593</v>
      </c>
      <c r="N376" s="51">
        <f t="shared" ca="1" si="15"/>
        <v>4829.6500000000005</v>
      </c>
      <c r="O376" s="51">
        <f ca="1">MAX(N376:$N$732)</f>
        <v>5055.4795000000004</v>
      </c>
      <c r="P376" s="52">
        <f t="shared" ca="1" si="16"/>
        <v>-4.4670243445750261E-2</v>
      </c>
      <c r="Q376" s="43">
        <f t="shared" ca="1" si="17"/>
        <v>-4.5851100553924912E-2</v>
      </c>
    </row>
    <row r="377" spans="12:17" x14ac:dyDescent="0.3">
      <c r="L377" s="10">
        <f ca="1"/>
        <v>45635.229166666664</v>
      </c>
      <c r="M377" s="50">
        <f ca="1"/>
        <v>97276.47</v>
      </c>
      <c r="N377" s="51">
        <f t="shared" ca="1" si="15"/>
        <v>4863.8235000000004</v>
      </c>
      <c r="O377" s="51">
        <f ca="1">MAX(N377:$N$732)</f>
        <v>5055.4795000000004</v>
      </c>
      <c r="P377" s="52">
        <f t="shared" ca="1" si="16"/>
        <v>-3.7910548346600938E-2</v>
      </c>
      <c r="Q377" s="43">
        <f t="shared" ca="1" si="17"/>
        <v>7.0508557281579367E-3</v>
      </c>
    </row>
    <row r="378" spans="12:17" x14ac:dyDescent="0.3">
      <c r="L378" s="10">
        <f ca="1"/>
        <v>45634.229166666664</v>
      </c>
      <c r="M378" s="50">
        <f ca="1"/>
        <v>101109.59</v>
      </c>
      <c r="N378" s="51">
        <f t="shared" ca="1" si="15"/>
        <v>5055.4795000000004</v>
      </c>
      <c r="O378" s="51">
        <f ca="1">MAX(N378:$N$732)</f>
        <v>5055.4795000000004</v>
      </c>
      <c r="P378" s="52">
        <f t="shared" ca="1" si="16"/>
        <v>0</v>
      </c>
      <c r="Q378" s="43">
        <f t="shared" ca="1" si="17"/>
        <v>3.8647847552582271E-2</v>
      </c>
    </row>
    <row r="379" spans="12:17" x14ac:dyDescent="0.3">
      <c r="L379" s="10">
        <f ca="1"/>
        <v>45633.229166666664</v>
      </c>
      <c r="M379" s="50">
        <f ca="1"/>
        <v>99831.99</v>
      </c>
      <c r="N379" s="51">
        <f t="shared" ca="1" si="15"/>
        <v>4991.5995000000003</v>
      </c>
      <c r="O379" s="51">
        <f ca="1">MAX(N379:$N$732)</f>
        <v>4991.5995000000003</v>
      </c>
      <c r="P379" s="52">
        <f t="shared" ca="1" si="16"/>
        <v>0</v>
      </c>
      <c r="Q379" s="43">
        <f t="shared" ca="1" si="17"/>
        <v>-1.2716305068205497E-2</v>
      </c>
    </row>
    <row r="380" spans="12:17" x14ac:dyDescent="0.3">
      <c r="L380" s="10">
        <f ca="1"/>
        <v>45632.229166666664</v>
      </c>
      <c r="M380" s="50">
        <f ca="1"/>
        <v>99740.84</v>
      </c>
      <c r="N380" s="51">
        <f t="shared" ca="1" si="15"/>
        <v>4987.0420000000004</v>
      </c>
      <c r="O380" s="51">
        <f ca="1">MAX(N380:$N$732)</f>
        <v>4987.0420000000004</v>
      </c>
      <c r="P380" s="52">
        <f t="shared" ca="1" si="16"/>
        <v>0</v>
      </c>
      <c r="Q380" s="43">
        <f t="shared" ca="1" si="17"/>
        <v>-9.1345105782093946E-4</v>
      </c>
    </row>
    <row r="381" spans="12:17" x14ac:dyDescent="0.3">
      <c r="L381" s="10">
        <f ca="1"/>
        <v>45631.229166666664</v>
      </c>
      <c r="M381" s="50">
        <f ca="1"/>
        <v>96945.63</v>
      </c>
      <c r="N381" s="51">
        <f t="shared" ca="1" si="15"/>
        <v>4847.2815000000001</v>
      </c>
      <c r="O381" s="51">
        <f ca="1">MAX(N381:$N$732)</f>
        <v>4944.6000000000004</v>
      </c>
      <c r="P381" s="52">
        <f t="shared" ca="1" si="16"/>
        <v>-1.9681774056546596E-2</v>
      </c>
      <c r="Q381" s="43">
        <f t="shared" ca="1" si="17"/>
        <v>-2.8424916087497101E-2</v>
      </c>
    </row>
    <row r="382" spans="12:17" x14ac:dyDescent="0.3">
      <c r="L382" s="10">
        <f ca="1"/>
        <v>45630.229166666664</v>
      </c>
      <c r="M382" s="50">
        <f ca="1"/>
        <v>98587.32</v>
      </c>
      <c r="N382" s="51">
        <f t="shared" ca="1" si="15"/>
        <v>4929.3660000000009</v>
      </c>
      <c r="O382" s="51">
        <f ca="1">MAX(N382:$N$732)</f>
        <v>4944.6000000000004</v>
      </c>
      <c r="P382" s="52">
        <f t="shared" ca="1" si="16"/>
        <v>-3.0809367795169413E-3</v>
      </c>
      <c r="Q382" s="43">
        <f t="shared" ca="1" si="17"/>
        <v>1.6792347041221716E-2</v>
      </c>
    </row>
    <row r="383" spans="12:17" x14ac:dyDescent="0.3">
      <c r="L383" s="10">
        <f ca="1"/>
        <v>45629.229166666664</v>
      </c>
      <c r="M383" s="50">
        <f ca="1"/>
        <v>95849.69</v>
      </c>
      <c r="N383" s="51">
        <f t="shared" ca="1" si="15"/>
        <v>4792.4845000000005</v>
      </c>
      <c r="O383" s="51">
        <f ca="1">MAX(N383:$N$732)</f>
        <v>4944.6000000000004</v>
      </c>
      <c r="P383" s="52">
        <f t="shared" ca="1" si="16"/>
        <v>-3.0763964729199504E-2</v>
      </c>
      <c r="Q383" s="43">
        <f t="shared" ca="1" si="17"/>
        <v>-2.8161417666881371E-2</v>
      </c>
    </row>
    <row r="384" spans="12:17" x14ac:dyDescent="0.3">
      <c r="L384" s="10">
        <f ca="1"/>
        <v>45628.229166666664</v>
      </c>
      <c r="M384" s="50">
        <f ca="1"/>
        <v>95840.62</v>
      </c>
      <c r="N384" s="51">
        <f t="shared" ca="1" si="15"/>
        <v>4792.0309999999999</v>
      </c>
      <c r="O384" s="51">
        <f ca="1">MAX(N384:$N$732)</f>
        <v>4944.6000000000004</v>
      </c>
      <c r="P384" s="52">
        <f t="shared" ca="1" si="16"/>
        <v>-3.0855680944869231E-2</v>
      </c>
      <c r="Q384" s="43">
        <f t="shared" ca="1" si="17"/>
        <v>-9.4631804881271071E-5</v>
      </c>
    </row>
    <row r="385" spans="12:17" x14ac:dyDescent="0.3">
      <c r="L385" s="10">
        <f ca="1"/>
        <v>45627.229166666664</v>
      </c>
      <c r="M385" s="50">
        <f ca="1"/>
        <v>97185.18</v>
      </c>
      <c r="N385" s="51">
        <f t="shared" ca="1" si="15"/>
        <v>4859.259</v>
      </c>
      <c r="O385" s="51">
        <f ca="1">MAX(N385:$N$732)</f>
        <v>4944.6000000000004</v>
      </c>
      <c r="P385" s="52">
        <f t="shared" ca="1" si="16"/>
        <v>-1.7259434534643923E-2</v>
      </c>
      <c r="Q385" s="43">
        <f t="shared" ca="1" si="17"/>
        <v>1.3931627244584107E-2</v>
      </c>
    </row>
    <row r="386" spans="12:17" x14ac:dyDescent="0.3">
      <c r="L386" s="10">
        <f ca="1"/>
        <v>45626.229166666664</v>
      </c>
      <c r="M386" s="50">
        <f ca="1"/>
        <v>96407.99</v>
      </c>
      <c r="N386" s="51">
        <f t="shared" ca="1" si="15"/>
        <v>4820.3995000000004</v>
      </c>
      <c r="O386" s="51">
        <f ca="1">MAX(N386:$N$732)</f>
        <v>4944.6000000000004</v>
      </c>
      <c r="P386" s="52">
        <f t="shared" ca="1" si="16"/>
        <v>-2.5118412005015554E-2</v>
      </c>
      <c r="Q386" s="43">
        <f t="shared" ca="1" si="17"/>
        <v>-8.0291487067369882E-3</v>
      </c>
    </row>
    <row r="387" spans="12:17" x14ac:dyDescent="0.3">
      <c r="L387" s="10">
        <f ca="1"/>
        <v>45625.229166666664</v>
      </c>
      <c r="M387" s="50">
        <f ca="1"/>
        <v>97460</v>
      </c>
      <c r="N387" s="51">
        <f t="shared" ref="N387:N450" ca="1" si="18">$C$6*M387</f>
        <v>4873</v>
      </c>
      <c r="O387" s="51">
        <f ca="1">MAX(N387:$N$732)</f>
        <v>4944.6000000000004</v>
      </c>
      <c r="P387" s="52">
        <f t="shared" ref="P387:P450" ca="1" si="19">(N387 - O387)/O387</f>
        <v>-1.4480443311895878E-2</v>
      </c>
      <c r="Q387" s="43">
        <f t="shared" ca="1" si="17"/>
        <v>1.0852955416106431E-2</v>
      </c>
    </row>
    <row r="388" spans="12:17" x14ac:dyDescent="0.3">
      <c r="L388" s="10">
        <f ca="1"/>
        <v>45624.229166666664</v>
      </c>
      <c r="M388" s="50">
        <f ca="1"/>
        <v>95643.98</v>
      </c>
      <c r="N388" s="51">
        <f t="shared" ca="1" si="18"/>
        <v>4782.1989999999996</v>
      </c>
      <c r="O388" s="51">
        <f ca="1">MAX(N388:$N$732)</f>
        <v>4944.6000000000004</v>
      </c>
      <c r="P388" s="52">
        <f t="shared" ca="1" si="19"/>
        <v>-3.2844112769486053E-2</v>
      </c>
      <c r="Q388" s="43">
        <f t="shared" ref="Q388:Q451" ca="1" si="20">LN(N388 / N387)</f>
        <v>-1.8809281303805197E-2</v>
      </c>
    </row>
    <row r="389" spans="12:17" x14ac:dyDescent="0.3">
      <c r="L389" s="10">
        <f ca="1"/>
        <v>45623.229166666664</v>
      </c>
      <c r="M389" s="50">
        <f ca="1"/>
        <v>95863.11</v>
      </c>
      <c r="N389" s="51">
        <f t="shared" ca="1" si="18"/>
        <v>4793.1554999999998</v>
      </c>
      <c r="O389" s="51">
        <f ca="1">MAX(N389:$N$732)</f>
        <v>4944.6000000000004</v>
      </c>
      <c r="P389" s="52">
        <f t="shared" ca="1" si="19"/>
        <v>-3.0628261133357704E-2</v>
      </c>
      <c r="Q389" s="43">
        <f t="shared" ca="1" si="20"/>
        <v>2.2884802399177374E-3</v>
      </c>
    </row>
    <row r="390" spans="12:17" x14ac:dyDescent="0.3">
      <c r="L390" s="10">
        <f ca="1"/>
        <v>45622.229166666664</v>
      </c>
      <c r="M390" s="50">
        <f ca="1"/>
        <v>91965.16</v>
      </c>
      <c r="N390" s="51">
        <f t="shared" ca="1" si="18"/>
        <v>4598.2580000000007</v>
      </c>
      <c r="O390" s="51">
        <f ca="1">MAX(N390:$N$732)</f>
        <v>4944.6000000000004</v>
      </c>
      <c r="P390" s="52">
        <f t="shared" ca="1" si="19"/>
        <v>-7.0044492982243176E-2</v>
      </c>
      <c r="Q390" s="43">
        <f t="shared" ca="1" si="20"/>
        <v>-4.1511426677912695E-2</v>
      </c>
    </row>
    <row r="391" spans="12:17" x14ac:dyDescent="0.3">
      <c r="L391" s="10">
        <f ca="1"/>
        <v>45621.229166666664</v>
      </c>
      <c r="M391" s="50">
        <f ca="1"/>
        <v>93010.01</v>
      </c>
      <c r="N391" s="51">
        <f t="shared" ca="1" si="18"/>
        <v>4650.5005000000001</v>
      </c>
      <c r="O391" s="51">
        <f ca="1">MAX(N391:$N$732)</f>
        <v>4944.6000000000004</v>
      </c>
      <c r="P391" s="52">
        <f t="shared" ca="1" si="19"/>
        <v>-5.9478926505683018E-2</v>
      </c>
      <c r="Q391" s="43">
        <f t="shared" ca="1" si="20"/>
        <v>1.1297312096130822E-2</v>
      </c>
    </row>
    <row r="392" spans="12:17" x14ac:dyDescent="0.3">
      <c r="L392" s="10">
        <f ca="1"/>
        <v>45620.229166666664</v>
      </c>
      <c r="M392" s="50">
        <f ca="1"/>
        <v>97900.04</v>
      </c>
      <c r="N392" s="51">
        <f t="shared" ca="1" si="18"/>
        <v>4895.0019999999995</v>
      </c>
      <c r="O392" s="51">
        <f ca="1">MAX(N392:$N$732)</f>
        <v>4944.6000000000004</v>
      </c>
      <c r="P392" s="52">
        <f t="shared" ca="1" si="19"/>
        <v>-1.0030740605913696E-2</v>
      </c>
      <c r="Q392" s="43">
        <f t="shared" ca="1" si="20"/>
        <v>5.1239836346874151E-2</v>
      </c>
    </row>
    <row r="393" spans="12:17" x14ac:dyDescent="0.3">
      <c r="L393" s="10">
        <f ca="1"/>
        <v>45619.229166666664</v>
      </c>
      <c r="M393" s="50">
        <f ca="1"/>
        <v>97672.4</v>
      </c>
      <c r="N393" s="51">
        <f t="shared" ca="1" si="18"/>
        <v>4883.62</v>
      </c>
      <c r="O393" s="51">
        <f ca="1">MAX(N393:$N$732)</f>
        <v>4944.6000000000004</v>
      </c>
      <c r="P393" s="52">
        <f t="shared" ca="1" si="19"/>
        <v>-1.2332645714516942E-2</v>
      </c>
      <c r="Q393" s="43">
        <f t="shared" ca="1" si="20"/>
        <v>-2.3279364188929499E-3</v>
      </c>
    </row>
    <row r="394" spans="12:17" x14ac:dyDescent="0.3">
      <c r="L394" s="10">
        <f ca="1"/>
        <v>45618.229166666664</v>
      </c>
      <c r="M394" s="50">
        <f ca="1"/>
        <v>98892</v>
      </c>
      <c r="N394" s="51">
        <f t="shared" ca="1" si="18"/>
        <v>4944.6000000000004</v>
      </c>
      <c r="O394" s="51">
        <f ca="1">MAX(N394:$N$732)</f>
        <v>4944.6000000000004</v>
      </c>
      <c r="P394" s="52">
        <f t="shared" ca="1" si="19"/>
        <v>0</v>
      </c>
      <c r="Q394" s="43">
        <f t="shared" ca="1" si="20"/>
        <v>1.2409323871574817E-2</v>
      </c>
    </row>
    <row r="395" spans="12:17" x14ac:dyDescent="0.3">
      <c r="L395" s="10">
        <f ca="1"/>
        <v>45617.229166666664</v>
      </c>
      <c r="M395" s="50">
        <f ca="1"/>
        <v>98317.119999999995</v>
      </c>
      <c r="N395" s="51">
        <f t="shared" ca="1" si="18"/>
        <v>4915.8559999999998</v>
      </c>
      <c r="O395" s="51">
        <f ca="1">MAX(N395:$N$732)</f>
        <v>4915.8559999999998</v>
      </c>
      <c r="P395" s="52">
        <f t="shared" ca="1" si="19"/>
        <v>0</v>
      </c>
      <c r="Q395" s="43">
        <f t="shared" ca="1" si="20"/>
        <v>-5.8301728478940638E-3</v>
      </c>
    </row>
    <row r="396" spans="12:17" x14ac:dyDescent="0.3">
      <c r="L396" s="10">
        <f ca="1"/>
        <v>45616.229166666664</v>
      </c>
      <c r="M396" s="50">
        <f ca="1"/>
        <v>94286.56</v>
      </c>
      <c r="N396" s="51">
        <f t="shared" ca="1" si="18"/>
        <v>4714.3280000000004</v>
      </c>
      <c r="O396" s="51">
        <f ca="1">MAX(N396:$N$732)</f>
        <v>4714.3280000000004</v>
      </c>
      <c r="P396" s="52">
        <f t="shared" ca="1" si="19"/>
        <v>0</v>
      </c>
      <c r="Q396" s="43">
        <f t="shared" ca="1" si="20"/>
        <v>-4.1859517099452584E-2</v>
      </c>
    </row>
    <row r="397" spans="12:17" x14ac:dyDescent="0.3">
      <c r="L397" s="10">
        <f ca="1"/>
        <v>45615.229166666664</v>
      </c>
      <c r="M397" s="50">
        <f ca="1"/>
        <v>92310.79</v>
      </c>
      <c r="N397" s="51">
        <f t="shared" ca="1" si="18"/>
        <v>4615.5394999999999</v>
      </c>
      <c r="O397" s="51">
        <f ca="1">MAX(N397:$N$732)</f>
        <v>4615.5394999999999</v>
      </c>
      <c r="P397" s="52">
        <f t="shared" ca="1" si="19"/>
        <v>0</v>
      </c>
      <c r="Q397" s="43">
        <f t="shared" ca="1" si="20"/>
        <v>-2.1177619537080247E-2</v>
      </c>
    </row>
    <row r="398" spans="12:17" x14ac:dyDescent="0.3">
      <c r="L398" s="10">
        <f ca="1"/>
        <v>45614.229166666664</v>
      </c>
      <c r="M398" s="50">
        <f ca="1"/>
        <v>90464.08</v>
      </c>
      <c r="N398" s="51">
        <f t="shared" ca="1" si="18"/>
        <v>4523.2040000000006</v>
      </c>
      <c r="O398" s="51">
        <f ca="1">MAX(N398:$N$732)</f>
        <v>4551.6035000000002</v>
      </c>
      <c r="P398" s="52">
        <f t="shared" ca="1" si="19"/>
        <v>-6.2394494599539553E-3</v>
      </c>
      <c r="Q398" s="43">
        <f t="shared" ca="1" si="20"/>
        <v>-2.0208170244352949E-2</v>
      </c>
    </row>
    <row r="399" spans="12:17" x14ac:dyDescent="0.3">
      <c r="L399" s="10">
        <f ca="1"/>
        <v>45613.229166666664</v>
      </c>
      <c r="M399" s="50">
        <f ca="1"/>
        <v>89855.99</v>
      </c>
      <c r="N399" s="51">
        <f t="shared" ca="1" si="18"/>
        <v>4492.7995000000001</v>
      </c>
      <c r="O399" s="51">
        <f ca="1">MAX(N399:$N$732)</f>
        <v>4551.6035000000002</v>
      </c>
      <c r="P399" s="52">
        <f t="shared" ca="1" si="19"/>
        <v>-1.2919403019177766E-2</v>
      </c>
      <c r="Q399" s="43">
        <f t="shared" ca="1" si="20"/>
        <v>-6.7445881663558346E-3</v>
      </c>
    </row>
    <row r="400" spans="12:17" x14ac:dyDescent="0.3">
      <c r="L400" s="10">
        <f ca="1"/>
        <v>45612.229166666664</v>
      </c>
      <c r="M400" s="50">
        <f ca="1"/>
        <v>90586.92</v>
      </c>
      <c r="N400" s="51">
        <f t="shared" ca="1" si="18"/>
        <v>4529.3460000000005</v>
      </c>
      <c r="O400" s="51">
        <f ca="1">MAX(N400:$N$732)</f>
        <v>4551.6035000000002</v>
      </c>
      <c r="P400" s="52">
        <f t="shared" ca="1" si="19"/>
        <v>-4.8900349074781461E-3</v>
      </c>
      <c r="Q400" s="43">
        <f t="shared" ca="1" si="20"/>
        <v>8.1015540914193968E-3</v>
      </c>
    </row>
    <row r="401" spans="12:17" x14ac:dyDescent="0.3">
      <c r="L401" s="10">
        <f ca="1"/>
        <v>45611.229166666664</v>
      </c>
      <c r="M401" s="50">
        <f ca="1"/>
        <v>91032.07</v>
      </c>
      <c r="N401" s="51">
        <f t="shared" ca="1" si="18"/>
        <v>4551.6035000000002</v>
      </c>
      <c r="O401" s="51">
        <f ca="1">MAX(N401:$N$732)</f>
        <v>4551.6035000000002</v>
      </c>
      <c r="P401" s="52">
        <f t="shared" ca="1" si="19"/>
        <v>0</v>
      </c>
      <c r="Q401" s="43">
        <f t="shared" ca="1" si="20"/>
        <v>4.902030249246684E-3</v>
      </c>
    </row>
    <row r="402" spans="12:17" x14ac:dyDescent="0.3">
      <c r="L402" s="10">
        <f ca="1"/>
        <v>45610.229166666664</v>
      </c>
      <c r="M402" s="50">
        <f ca="1"/>
        <v>87325.59</v>
      </c>
      <c r="N402" s="51">
        <f t="shared" ca="1" si="18"/>
        <v>4366.2794999999996</v>
      </c>
      <c r="O402" s="51">
        <f ca="1">MAX(N402:$N$732)</f>
        <v>4518.76</v>
      </c>
      <c r="P402" s="52">
        <f t="shared" ca="1" si="19"/>
        <v>-3.3743881064716992E-2</v>
      </c>
      <c r="Q402" s="43">
        <f t="shared" ca="1" si="20"/>
        <v>-4.1568314974823398E-2</v>
      </c>
    </row>
    <row r="403" spans="12:17" x14ac:dyDescent="0.3">
      <c r="L403" s="10">
        <f ca="1"/>
        <v>45609.229166666664</v>
      </c>
      <c r="M403" s="50">
        <f ca="1"/>
        <v>90375.2</v>
      </c>
      <c r="N403" s="51">
        <f t="shared" ca="1" si="18"/>
        <v>4518.76</v>
      </c>
      <c r="O403" s="51">
        <f ca="1">MAX(N403:$N$732)</f>
        <v>4518.76</v>
      </c>
      <c r="P403" s="52">
        <f t="shared" ca="1" si="19"/>
        <v>0</v>
      </c>
      <c r="Q403" s="43">
        <f t="shared" ca="1" si="20"/>
        <v>3.4326346437909126E-2</v>
      </c>
    </row>
    <row r="404" spans="12:17" x14ac:dyDescent="0.3">
      <c r="L404" s="10">
        <f ca="1"/>
        <v>45608.229166666664</v>
      </c>
      <c r="M404" s="50">
        <f ca="1"/>
        <v>87952.01</v>
      </c>
      <c r="N404" s="51">
        <f t="shared" ca="1" si="18"/>
        <v>4397.6004999999996</v>
      </c>
      <c r="O404" s="51">
        <f ca="1">MAX(N404:$N$732)</f>
        <v>4432.3995000000004</v>
      </c>
      <c r="P404" s="52">
        <f t="shared" ca="1" si="19"/>
        <v>-7.8510522347998834E-3</v>
      </c>
      <c r="Q404" s="43">
        <f t="shared" ca="1" si="20"/>
        <v>-2.7178568661184392E-2</v>
      </c>
    </row>
    <row r="405" spans="12:17" x14ac:dyDescent="0.3">
      <c r="L405" s="10">
        <f ca="1"/>
        <v>45607.229166666664</v>
      </c>
      <c r="M405" s="50">
        <f ca="1"/>
        <v>88647.99</v>
      </c>
      <c r="N405" s="51">
        <f t="shared" ca="1" si="18"/>
        <v>4432.3995000000004</v>
      </c>
      <c r="O405" s="51">
        <f ca="1">MAX(N405:$N$732)</f>
        <v>4432.3995000000004</v>
      </c>
      <c r="P405" s="52">
        <f t="shared" ca="1" si="19"/>
        <v>0</v>
      </c>
      <c r="Q405" s="43">
        <f t="shared" ca="1" si="20"/>
        <v>7.8820340116356347E-3</v>
      </c>
    </row>
    <row r="406" spans="12:17" x14ac:dyDescent="0.3">
      <c r="L406" s="10">
        <f ca="1"/>
        <v>45606.229166666664</v>
      </c>
      <c r="M406" s="50">
        <f ca="1"/>
        <v>80370.009999999995</v>
      </c>
      <c r="N406" s="51">
        <f t="shared" ca="1" si="18"/>
        <v>4018.5005000000001</v>
      </c>
      <c r="O406" s="51">
        <f ca="1">MAX(N406:$N$732)</f>
        <v>4018.5005000000001</v>
      </c>
      <c r="P406" s="52">
        <f t="shared" ca="1" si="19"/>
        <v>0</v>
      </c>
      <c r="Q406" s="43">
        <f t="shared" ca="1" si="20"/>
        <v>-9.8032262179158794E-2</v>
      </c>
    </row>
    <row r="407" spans="12:17" x14ac:dyDescent="0.3">
      <c r="L407" s="10">
        <f ca="1"/>
        <v>45605.229166666664</v>
      </c>
      <c r="M407" s="50">
        <f ca="1"/>
        <v>76677.460000000006</v>
      </c>
      <c r="N407" s="51">
        <f t="shared" ca="1" si="18"/>
        <v>3833.8730000000005</v>
      </c>
      <c r="O407" s="51">
        <f ca="1">MAX(N407:$N$732)</f>
        <v>3833.8730000000005</v>
      </c>
      <c r="P407" s="52">
        <f t="shared" ca="1" si="19"/>
        <v>0</v>
      </c>
      <c r="Q407" s="43">
        <f t="shared" ca="1" si="20"/>
        <v>-4.7033303694315909E-2</v>
      </c>
    </row>
    <row r="408" spans="12:17" x14ac:dyDescent="0.3">
      <c r="L408" s="10">
        <f ca="1"/>
        <v>45604.229166666664</v>
      </c>
      <c r="M408" s="50">
        <f ca="1"/>
        <v>76509.78</v>
      </c>
      <c r="N408" s="51">
        <f t="shared" ca="1" si="18"/>
        <v>3825.489</v>
      </c>
      <c r="O408" s="51">
        <f ca="1">MAX(N408:$N$732)</f>
        <v>3825.489</v>
      </c>
      <c r="P408" s="52">
        <f t="shared" ca="1" si="19"/>
        <v>0</v>
      </c>
      <c r="Q408" s="43">
        <f t="shared" ca="1" si="20"/>
        <v>-2.1892171563323696E-3</v>
      </c>
    </row>
    <row r="409" spans="12:17" x14ac:dyDescent="0.3">
      <c r="L409" s="10">
        <f ca="1"/>
        <v>45603.229166666664</v>
      </c>
      <c r="M409" s="50">
        <f ca="1"/>
        <v>75857.89</v>
      </c>
      <c r="N409" s="51">
        <f t="shared" ca="1" si="18"/>
        <v>3792.8945000000003</v>
      </c>
      <c r="O409" s="51">
        <f ca="1">MAX(N409:$N$732)</f>
        <v>3792.8945000000003</v>
      </c>
      <c r="P409" s="52">
        <f t="shared" ca="1" si="19"/>
        <v>0</v>
      </c>
      <c r="Q409" s="43">
        <f t="shared" ca="1" si="20"/>
        <v>-8.5568543195201525E-3</v>
      </c>
    </row>
    <row r="410" spans="12:17" x14ac:dyDescent="0.3">
      <c r="L410" s="10">
        <f ca="1"/>
        <v>45602.229166666664</v>
      </c>
      <c r="M410" s="50">
        <f ca="1"/>
        <v>75571.990000000005</v>
      </c>
      <c r="N410" s="51">
        <f t="shared" ca="1" si="18"/>
        <v>3778.5995000000003</v>
      </c>
      <c r="O410" s="51">
        <f ca="1">MAX(N410:$N$732)</f>
        <v>3778.5995000000003</v>
      </c>
      <c r="P410" s="52">
        <f t="shared" ca="1" si="19"/>
        <v>0</v>
      </c>
      <c r="Q410" s="43">
        <f t="shared" ca="1" si="20"/>
        <v>-3.7760095920658958E-3</v>
      </c>
    </row>
    <row r="411" spans="12:17" x14ac:dyDescent="0.3">
      <c r="L411" s="10">
        <f ca="1"/>
        <v>45601.229166666664</v>
      </c>
      <c r="M411" s="50">
        <f ca="1"/>
        <v>69372.009999999995</v>
      </c>
      <c r="N411" s="51">
        <f t="shared" ca="1" si="18"/>
        <v>3468.6005</v>
      </c>
      <c r="O411" s="51">
        <f ca="1">MAX(N411:$N$732)</f>
        <v>3653.6205000000004</v>
      </c>
      <c r="P411" s="52">
        <f t="shared" ca="1" si="19"/>
        <v>-5.0640180062488813E-2</v>
      </c>
      <c r="Q411" s="43">
        <f t="shared" ca="1" si="20"/>
        <v>-8.5602239848215023E-2</v>
      </c>
    </row>
    <row r="412" spans="12:17" x14ac:dyDescent="0.3">
      <c r="L412" s="10">
        <f ca="1"/>
        <v>45600.229166666664</v>
      </c>
      <c r="M412" s="50">
        <f ca="1"/>
        <v>67850.009999999995</v>
      </c>
      <c r="N412" s="51">
        <f t="shared" ca="1" si="18"/>
        <v>3392.5005000000001</v>
      </c>
      <c r="O412" s="51">
        <f ca="1">MAX(N412:$N$732)</f>
        <v>3653.6205000000004</v>
      </c>
      <c r="P412" s="52">
        <f t="shared" ca="1" si="19"/>
        <v>-7.1468834817409288E-2</v>
      </c>
      <c r="Q412" s="43">
        <f t="shared" ca="1" si="20"/>
        <v>-2.21839383739042E-2</v>
      </c>
    </row>
    <row r="413" spans="12:17" x14ac:dyDescent="0.3">
      <c r="L413" s="10">
        <f ca="1"/>
        <v>45599.229166666664</v>
      </c>
      <c r="M413" s="50">
        <f ca="1"/>
        <v>68775.990000000005</v>
      </c>
      <c r="N413" s="51">
        <f t="shared" ca="1" si="18"/>
        <v>3438.7995000000005</v>
      </c>
      <c r="O413" s="51">
        <f ca="1">MAX(N413:$N$732)</f>
        <v>3653.6205000000004</v>
      </c>
      <c r="P413" s="52">
        <f t="shared" ca="1" si="19"/>
        <v>-5.8796746952782829E-2</v>
      </c>
      <c r="Q413" s="43">
        <f t="shared" ca="1" si="20"/>
        <v>1.3555167807772156E-2</v>
      </c>
    </row>
    <row r="414" spans="12:17" x14ac:dyDescent="0.3">
      <c r="L414" s="10">
        <f ca="1"/>
        <v>45598.229166666664</v>
      </c>
      <c r="M414" s="50">
        <f ca="1"/>
        <v>69374.740000000005</v>
      </c>
      <c r="N414" s="51">
        <f t="shared" ca="1" si="18"/>
        <v>3468.7370000000005</v>
      </c>
      <c r="O414" s="51">
        <f ca="1">MAX(N414:$N$732)</f>
        <v>3653.6205000000004</v>
      </c>
      <c r="P414" s="52">
        <f t="shared" ca="1" si="19"/>
        <v>-5.0602819860464408E-2</v>
      </c>
      <c r="Q414" s="43">
        <f t="shared" ca="1" si="20"/>
        <v>8.6681228392535298E-3</v>
      </c>
    </row>
    <row r="415" spans="12:17" x14ac:dyDescent="0.3">
      <c r="L415" s="10">
        <f ca="1"/>
        <v>45597.229166666664</v>
      </c>
      <c r="M415" s="50">
        <f ca="1"/>
        <v>69496.009999999995</v>
      </c>
      <c r="N415" s="51">
        <f t="shared" ca="1" si="18"/>
        <v>3474.8004999999998</v>
      </c>
      <c r="O415" s="51">
        <f ca="1">MAX(N415:$N$732)</f>
        <v>3653.6205000000004</v>
      </c>
      <c r="P415" s="52">
        <f t="shared" ca="1" si="19"/>
        <v>-4.8943233157357366E-2</v>
      </c>
      <c r="Q415" s="43">
        <f t="shared" ca="1" si="20"/>
        <v>1.7465165389545E-3</v>
      </c>
    </row>
    <row r="416" spans="12:17" x14ac:dyDescent="0.3">
      <c r="L416" s="10">
        <f ca="1"/>
        <v>45596.229166666664</v>
      </c>
      <c r="M416" s="50">
        <f ca="1"/>
        <v>70292.009999999995</v>
      </c>
      <c r="N416" s="51">
        <f t="shared" ca="1" si="18"/>
        <v>3514.6005</v>
      </c>
      <c r="O416" s="51">
        <f ca="1">MAX(N416:$N$732)</f>
        <v>3653.6205000000004</v>
      </c>
      <c r="P416" s="52">
        <f t="shared" ca="1" si="19"/>
        <v>-3.8049928830868017E-2</v>
      </c>
      <c r="Q416" s="43">
        <f t="shared" ca="1" si="20"/>
        <v>1.1388795745506986E-2</v>
      </c>
    </row>
    <row r="417" spans="12:17" x14ac:dyDescent="0.3">
      <c r="L417" s="10">
        <f ca="1"/>
        <v>45595.229166666664</v>
      </c>
      <c r="M417" s="50">
        <f ca="1"/>
        <v>72344.740000000005</v>
      </c>
      <c r="N417" s="51">
        <f t="shared" ca="1" si="18"/>
        <v>3617.2370000000005</v>
      </c>
      <c r="O417" s="51">
        <f ca="1">MAX(N417:$N$732)</f>
        <v>3653.6205000000004</v>
      </c>
      <c r="P417" s="52">
        <f t="shared" ca="1" si="19"/>
        <v>-9.958204471427699E-3</v>
      </c>
      <c r="Q417" s="43">
        <f t="shared" ca="1" si="20"/>
        <v>2.8784611695911056E-2</v>
      </c>
    </row>
    <row r="418" spans="12:17" x14ac:dyDescent="0.3">
      <c r="L418" s="10">
        <f ca="1"/>
        <v>45594.229166666664</v>
      </c>
      <c r="M418" s="50">
        <f ca="1"/>
        <v>72736.42</v>
      </c>
      <c r="N418" s="51">
        <f t="shared" ca="1" si="18"/>
        <v>3636.8209999999999</v>
      </c>
      <c r="O418" s="51">
        <f ca="1">MAX(N418:$N$732)</f>
        <v>3653.6205000000004</v>
      </c>
      <c r="P418" s="52">
        <f t="shared" ca="1" si="19"/>
        <v>-4.5980418601221807E-3</v>
      </c>
      <c r="Q418" s="43">
        <f t="shared" ca="1" si="20"/>
        <v>5.3994736683439081E-3</v>
      </c>
    </row>
    <row r="419" spans="12:17" x14ac:dyDescent="0.3">
      <c r="L419" s="10">
        <f ca="1"/>
        <v>45593.229166666664</v>
      </c>
      <c r="M419" s="50">
        <f ca="1"/>
        <v>69962.210000000006</v>
      </c>
      <c r="N419" s="51">
        <f t="shared" ca="1" si="18"/>
        <v>3498.1105000000007</v>
      </c>
      <c r="O419" s="51">
        <f ca="1">MAX(N419:$N$732)</f>
        <v>3653.6205000000004</v>
      </c>
      <c r="P419" s="52">
        <f t="shared" ca="1" si="19"/>
        <v>-4.2563260196290156E-2</v>
      </c>
      <c r="Q419" s="43">
        <f t="shared" ca="1" si="20"/>
        <v>-3.8886982829377512E-2</v>
      </c>
    </row>
    <row r="420" spans="12:17" x14ac:dyDescent="0.3">
      <c r="L420" s="10">
        <f ca="1"/>
        <v>45592.229166666664</v>
      </c>
      <c r="M420" s="50">
        <f ca="1"/>
        <v>68021.7</v>
      </c>
      <c r="N420" s="51">
        <f t="shared" ca="1" si="18"/>
        <v>3401.085</v>
      </c>
      <c r="O420" s="51">
        <f ca="1">MAX(N420:$N$732)</f>
        <v>3653.6205000000004</v>
      </c>
      <c r="P420" s="52">
        <f t="shared" ca="1" si="19"/>
        <v>-6.9119247606586498E-2</v>
      </c>
      <c r="Q420" s="43">
        <f t="shared" ca="1" si="20"/>
        <v>-2.8128467215207887E-2</v>
      </c>
    </row>
    <row r="421" spans="12:17" x14ac:dyDescent="0.3">
      <c r="L421" s="10">
        <f ca="1"/>
        <v>45591.229166666664</v>
      </c>
      <c r="M421" s="50">
        <f ca="1"/>
        <v>67092.759999999995</v>
      </c>
      <c r="N421" s="51">
        <f t="shared" ca="1" si="18"/>
        <v>3354.6379999999999</v>
      </c>
      <c r="O421" s="51">
        <f ca="1">MAX(N421:$N$732)</f>
        <v>3653.6205000000004</v>
      </c>
      <c r="P421" s="52">
        <f t="shared" ca="1" si="19"/>
        <v>-8.1831843236045032E-2</v>
      </c>
      <c r="Q421" s="43">
        <f t="shared" ca="1" si="20"/>
        <v>-1.3750632418520491E-2</v>
      </c>
    </row>
    <row r="422" spans="12:17" x14ac:dyDescent="0.3">
      <c r="L422" s="10">
        <f ca="1"/>
        <v>45590.229166666664</v>
      </c>
      <c r="M422" s="50">
        <f ca="1"/>
        <v>66698.33</v>
      </c>
      <c r="N422" s="51">
        <f t="shared" ca="1" si="18"/>
        <v>3334.9165000000003</v>
      </c>
      <c r="O422" s="51">
        <f ca="1">MAX(N422:$N$732)</f>
        <v>3653.6205000000004</v>
      </c>
      <c r="P422" s="52">
        <f t="shared" ca="1" si="19"/>
        <v>-8.7229639750488627E-2</v>
      </c>
      <c r="Q422" s="43">
        <f t="shared" ca="1" si="20"/>
        <v>-5.8962243705628949E-3</v>
      </c>
    </row>
    <row r="423" spans="12:17" x14ac:dyDescent="0.3">
      <c r="L423" s="10">
        <f ca="1"/>
        <v>45589.229166666664</v>
      </c>
      <c r="M423" s="50">
        <f ca="1"/>
        <v>68198.28</v>
      </c>
      <c r="N423" s="51">
        <f t="shared" ca="1" si="18"/>
        <v>3409.9140000000002</v>
      </c>
      <c r="O423" s="51">
        <f ca="1">MAX(N423:$N$732)</f>
        <v>3653.6205000000004</v>
      </c>
      <c r="P423" s="52">
        <f t="shared" ca="1" si="19"/>
        <v>-6.6702740473456451E-2</v>
      </c>
      <c r="Q423" s="43">
        <f t="shared" ca="1" si="20"/>
        <v>2.2239429463163596E-2</v>
      </c>
    </row>
    <row r="424" spans="12:17" x14ac:dyDescent="0.3">
      <c r="L424" s="10">
        <f ca="1"/>
        <v>45588.229166666664</v>
      </c>
      <c r="M424" s="50">
        <f ca="1"/>
        <v>66668.649999999994</v>
      </c>
      <c r="N424" s="51">
        <f t="shared" ca="1" si="18"/>
        <v>3333.4324999999999</v>
      </c>
      <c r="O424" s="51">
        <f ca="1">MAX(N424:$N$732)</f>
        <v>3653.6205000000004</v>
      </c>
      <c r="P424" s="52">
        <f t="shared" ca="1" si="19"/>
        <v>-8.763581220326537E-2</v>
      </c>
      <c r="Q424" s="43">
        <f t="shared" ca="1" si="20"/>
        <v>-2.2684517152634934E-2</v>
      </c>
    </row>
    <row r="425" spans="12:17" x14ac:dyDescent="0.3">
      <c r="L425" s="10">
        <f ca="1"/>
        <v>45587.229166666664</v>
      </c>
      <c r="M425" s="50">
        <f ca="1"/>
        <v>67426</v>
      </c>
      <c r="N425" s="51">
        <f t="shared" ca="1" si="18"/>
        <v>3371.3</v>
      </c>
      <c r="O425" s="51">
        <f ca="1">MAX(N425:$N$732)</f>
        <v>3653.6205000000004</v>
      </c>
      <c r="P425" s="52">
        <f t="shared" ca="1" si="19"/>
        <v>-7.7271435279060927E-2</v>
      </c>
      <c r="Q425" s="43">
        <f t="shared" ca="1" si="20"/>
        <v>1.1295872772437147E-2</v>
      </c>
    </row>
    <row r="426" spans="12:17" x14ac:dyDescent="0.3">
      <c r="L426" s="10">
        <f ca="1"/>
        <v>45586.229166666664</v>
      </c>
      <c r="M426" s="50">
        <f ca="1"/>
        <v>67377.5</v>
      </c>
      <c r="N426" s="51">
        <f t="shared" ca="1" si="18"/>
        <v>3368.875</v>
      </c>
      <c r="O426" s="51">
        <f ca="1">MAX(N426:$N$732)</f>
        <v>3653.6205000000004</v>
      </c>
      <c r="P426" s="52">
        <f t="shared" ca="1" si="19"/>
        <v>-7.7935160479858379E-2</v>
      </c>
      <c r="Q426" s="43">
        <f t="shared" ca="1" si="20"/>
        <v>-7.1956591769024457E-4</v>
      </c>
    </row>
    <row r="427" spans="12:17" x14ac:dyDescent="0.3">
      <c r="L427" s="10">
        <f ca="1"/>
        <v>45585.229166666664</v>
      </c>
      <c r="M427" s="50">
        <f ca="1"/>
        <v>69031.990000000005</v>
      </c>
      <c r="N427" s="51">
        <f t="shared" ca="1" si="18"/>
        <v>3451.5995000000003</v>
      </c>
      <c r="O427" s="51">
        <f ca="1">MAX(N427:$N$732)</f>
        <v>3653.6205000000004</v>
      </c>
      <c r="P427" s="52">
        <f t="shared" ca="1" si="19"/>
        <v>-5.5293372697027554E-2</v>
      </c>
      <c r="Q427" s="43">
        <f t="shared" ca="1" si="20"/>
        <v>2.425888605348997E-2</v>
      </c>
    </row>
    <row r="428" spans="12:17" x14ac:dyDescent="0.3">
      <c r="L428" s="10">
        <f ca="1"/>
        <v>45584.229166666664</v>
      </c>
      <c r="M428" s="50">
        <f ca="1"/>
        <v>68378</v>
      </c>
      <c r="N428" s="51">
        <f t="shared" ca="1" si="18"/>
        <v>3418.9</v>
      </c>
      <c r="O428" s="51">
        <f ca="1">MAX(N428:$N$732)</f>
        <v>3653.6205000000004</v>
      </c>
      <c r="P428" s="52">
        <f t="shared" ca="1" si="19"/>
        <v>-6.4243262265470738E-2</v>
      </c>
      <c r="Q428" s="43">
        <f t="shared" ca="1" si="20"/>
        <v>-9.5188848804482213E-3</v>
      </c>
    </row>
    <row r="429" spans="12:17" x14ac:dyDescent="0.3">
      <c r="L429" s="10">
        <f ca="1"/>
        <v>45583.229166666664</v>
      </c>
      <c r="M429" s="50">
        <f ca="1"/>
        <v>68428</v>
      </c>
      <c r="N429" s="51">
        <f t="shared" ca="1" si="18"/>
        <v>3421.4</v>
      </c>
      <c r="O429" s="51">
        <f ca="1">MAX(N429:$N$732)</f>
        <v>3653.6205000000004</v>
      </c>
      <c r="P429" s="52">
        <f t="shared" ca="1" si="19"/>
        <v>-6.3559009481143514E-2</v>
      </c>
      <c r="Q429" s="43">
        <f t="shared" ca="1" si="20"/>
        <v>7.3096212485228968E-4</v>
      </c>
    </row>
    <row r="430" spans="12:17" x14ac:dyDescent="0.3">
      <c r="L430" s="10">
        <f ca="1"/>
        <v>45582.229166666664</v>
      </c>
      <c r="M430" s="50">
        <f ca="1"/>
        <v>67421.78</v>
      </c>
      <c r="N430" s="51">
        <f t="shared" ca="1" si="18"/>
        <v>3371.0889999999999</v>
      </c>
      <c r="O430" s="51">
        <f ca="1">MAX(N430:$N$732)</f>
        <v>3653.6205000000004</v>
      </c>
      <c r="P430" s="52">
        <f t="shared" ca="1" si="19"/>
        <v>-7.732918621405821E-2</v>
      </c>
      <c r="Q430" s="43">
        <f t="shared" ca="1" si="20"/>
        <v>-1.4813986471420479E-2</v>
      </c>
    </row>
    <row r="431" spans="12:17" x14ac:dyDescent="0.3">
      <c r="L431" s="10">
        <f ca="1"/>
        <v>45581.229166666664</v>
      </c>
      <c r="M431" s="50">
        <f ca="1"/>
        <v>67620.009999999995</v>
      </c>
      <c r="N431" s="51">
        <f t="shared" ca="1" si="18"/>
        <v>3381.0005000000001</v>
      </c>
      <c r="O431" s="51">
        <f ca="1">MAX(N431:$N$732)</f>
        <v>3653.6205000000004</v>
      </c>
      <c r="P431" s="52">
        <f t="shared" ca="1" si="19"/>
        <v>-7.4616397625314482E-2</v>
      </c>
      <c r="Q431" s="43">
        <f t="shared" ca="1" si="20"/>
        <v>2.9358340463450888E-3</v>
      </c>
    </row>
    <row r="432" spans="12:17" x14ac:dyDescent="0.3">
      <c r="L432" s="10">
        <f ca="1"/>
        <v>45580.229166666664</v>
      </c>
      <c r="M432" s="50">
        <f ca="1"/>
        <v>67074.14</v>
      </c>
      <c r="N432" s="51">
        <f t="shared" ca="1" si="18"/>
        <v>3353.7070000000003</v>
      </c>
      <c r="O432" s="51">
        <f ca="1">MAX(N432:$N$732)</f>
        <v>3653.6205000000004</v>
      </c>
      <c r="P432" s="52">
        <f t="shared" ca="1" si="19"/>
        <v>-8.2086658972928384E-2</v>
      </c>
      <c r="Q432" s="43">
        <f t="shared" ca="1" si="20"/>
        <v>-8.1053704039832988E-3</v>
      </c>
    </row>
    <row r="433" spans="12:17" x14ac:dyDescent="0.3">
      <c r="L433" s="10">
        <f ca="1"/>
        <v>45579.229166666664</v>
      </c>
      <c r="M433" s="50">
        <f ca="1"/>
        <v>66083.990000000005</v>
      </c>
      <c r="N433" s="51">
        <f t="shared" ca="1" si="18"/>
        <v>3304.1995000000006</v>
      </c>
      <c r="O433" s="51">
        <f ca="1">MAX(N433:$N$732)</f>
        <v>3653.6205000000004</v>
      </c>
      <c r="P433" s="52">
        <f t="shared" ca="1" si="19"/>
        <v>-9.5636916860960181E-2</v>
      </c>
      <c r="Q433" s="43">
        <f t="shared" ca="1" si="20"/>
        <v>-1.4872066015212465E-2</v>
      </c>
    </row>
    <row r="434" spans="12:17" x14ac:dyDescent="0.3">
      <c r="L434" s="10">
        <f ca="1"/>
        <v>45578.229166666664</v>
      </c>
      <c r="M434" s="50">
        <f ca="1"/>
        <v>62870.02</v>
      </c>
      <c r="N434" s="51">
        <f t="shared" ca="1" si="18"/>
        <v>3143.5010000000002</v>
      </c>
      <c r="O434" s="51">
        <f ca="1">MAX(N434:$N$732)</f>
        <v>3653.6205000000004</v>
      </c>
      <c r="P434" s="52">
        <f t="shared" ca="1" si="19"/>
        <v>-0.13962027528584323</v>
      </c>
      <c r="Q434" s="43">
        <f t="shared" ca="1" si="20"/>
        <v>-4.9857088234106339E-2</v>
      </c>
    </row>
    <row r="435" spans="12:17" x14ac:dyDescent="0.3">
      <c r="L435" s="10">
        <f ca="1"/>
        <v>45577.229166666664</v>
      </c>
      <c r="M435" s="50">
        <f ca="1"/>
        <v>63206.22</v>
      </c>
      <c r="N435" s="51">
        <f t="shared" ca="1" si="18"/>
        <v>3160.3110000000001</v>
      </c>
      <c r="O435" s="51">
        <f ca="1">MAX(N435:$N$732)</f>
        <v>3653.6205000000004</v>
      </c>
      <c r="P435" s="52">
        <f t="shared" ca="1" si="19"/>
        <v>-0.13501935956402702</v>
      </c>
      <c r="Q435" s="43">
        <f t="shared" ca="1" si="20"/>
        <v>5.3332935199564445E-3</v>
      </c>
    </row>
    <row r="436" spans="12:17" x14ac:dyDescent="0.3">
      <c r="L436" s="10">
        <f ca="1"/>
        <v>45576.229166666664</v>
      </c>
      <c r="M436" s="50">
        <f ca="1"/>
        <v>62540</v>
      </c>
      <c r="N436" s="51">
        <f t="shared" ca="1" si="18"/>
        <v>3127</v>
      </c>
      <c r="O436" s="51">
        <f ca="1">MAX(N436:$N$732)</f>
        <v>3653.6205000000004</v>
      </c>
      <c r="P436" s="52">
        <f t="shared" ca="1" si="19"/>
        <v>-0.14413661736351666</v>
      </c>
      <c r="Q436" s="43">
        <f t="shared" ca="1" si="20"/>
        <v>-1.0596362001929371E-2</v>
      </c>
    </row>
    <row r="437" spans="12:17" x14ac:dyDescent="0.3">
      <c r="L437" s="10">
        <f ca="1"/>
        <v>45575.229166666664</v>
      </c>
      <c r="M437" s="50">
        <f ca="1"/>
        <v>60326.39</v>
      </c>
      <c r="N437" s="51">
        <f t="shared" ca="1" si="18"/>
        <v>3016.3195000000001</v>
      </c>
      <c r="O437" s="51">
        <f ca="1">MAX(N437:$N$732)</f>
        <v>3653.6205000000004</v>
      </c>
      <c r="P437" s="52">
        <f t="shared" ca="1" si="19"/>
        <v>-0.17442999348180807</v>
      </c>
      <c r="Q437" s="43">
        <f t="shared" ca="1" si="20"/>
        <v>-3.6036698927449283E-2</v>
      </c>
    </row>
    <row r="438" spans="12:17" x14ac:dyDescent="0.3">
      <c r="L438" s="10">
        <f ca="1"/>
        <v>45574.229166666664</v>
      </c>
      <c r="M438" s="50">
        <f ca="1"/>
        <v>60636.02</v>
      </c>
      <c r="N438" s="51">
        <f t="shared" ca="1" si="18"/>
        <v>3031.8009999999999</v>
      </c>
      <c r="O438" s="51">
        <f ca="1">MAX(N438:$N$732)</f>
        <v>3653.6205000000004</v>
      </c>
      <c r="P438" s="52">
        <f t="shared" ca="1" si="19"/>
        <v>-0.17019268968958337</v>
      </c>
      <c r="Q438" s="43">
        <f t="shared" ca="1" si="20"/>
        <v>5.1194528325320164E-3</v>
      </c>
    </row>
    <row r="439" spans="12:17" x14ac:dyDescent="0.3">
      <c r="L439" s="10">
        <f ca="1"/>
        <v>45573.229166666664</v>
      </c>
      <c r="M439" s="50">
        <f ca="1"/>
        <v>62160.49</v>
      </c>
      <c r="N439" s="51">
        <f t="shared" ca="1" si="18"/>
        <v>3108.0245</v>
      </c>
      <c r="O439" s="51">
        <f ca="1">MAX(N439:$N$732)</f>
        <v>3653.6205000000004</v>
      </c>
      <c r="P439" s="52">
        <f t="shared" ca="1" si="19"/>
        <v>-0.14933023284711711</v>
      </c>
      <c r="Q439" s="43">
        <f t="shared" ca="1" si="20"/>
        <v>2.483048297642719E-2</v>
      </c>
    </row>
    <row r="440" spans="12:17" x14ac:dyDescent="0.3">
      <c r="L440" s="10">
        <f ca="1"/>
        <v>45572.229166666664</v>
      </c>
      <c r="M440" s="50">
        <f ca="1"/>
        <v>62224</v>
      </c>
      <c r="N440" s="51">
        <f t="shared" ca="1" si="18"/>
        <v>3111.2000000000003</v>
      </c>
      <c r="O440" s="51">
        <f ca="1">MAX(N440:$N$732)</f>
        <v>3653.6205000000004</v>
      </c>
      <c r="P440" s="52">
        <f t="shared" ca="1" si="19"/>
        <v>-0.14846109496046458</v>
      </c>
      <c r="Q440" s="43">
        <f t="shared" ca="1" si="20"/>
        <v>1.0211885021864482E-3</v>
      </c>
    </row>
    <row r="441" spans="12:17" x14ac:dyDescent="0.3">
      <c r="L441" s="10">
        <f ca="1"/>
        <v>45571.229166666664</v>
      </c>
      <c r="M441" s="50">
        <f ca="1"/>
        <v>62819.91</v>
      </c>
      <c r="N441" s="51">
        <f t="shared" ca="1" si="18"/>
        <v>3140.9955000000004</v>
      </c>
      <c r="O441" s="51">
        <f ca="1">MAX(N441:$N$732)</f>
        <v>3653.6205000000004</v>
      </c>
      <c r="P441" s="52">
        <f t="shared" ca="1" si="19"/>
        <v>-0.14030603342629591</v>
      </c>
      <c r="Q441" s="43">
        <f t="shared" ca="1" si="20"/>
        <v>9.5312840313264199E-3</v>
      </c>
    </row>
    <row r="442" spans="12:17" x14ac:dyDescent="0.3">
      <c r="L442" s="10">
        <f ca="1"/>
        <v>45570.229166666664</v>
      </c>
      <c r="M442" s="50">
        <f ca="1"/>
        <v>62058</v>
      </c>
      <c r="N442" s="51">
        <f t="shared" ca="1" si="18"/>
        <v>3102.9</v>
      </c>
      <c r="O442" s="51">
        <f ca="1">MAX(N442:$N$732)</f>
        <v>3653.6205000000004</v>
      </c>
      <c r="P442" s="52">
        <f t="shared" ca="1" si="19"/>
        <v>-0.15073281420443099</v>
      </c>
      <c r="Q442" s="43">
        <f t="shared" ca="1" si="20"/>
        <v>-1.2202629820996265E-2</v>
      </c>
    </row>
    <row r="443" spans="12:17" x14ac:dyDescent="0.3">
      <c r="L443" s="10">
        <f ca="1"/>
        <v>45569.229166666664</v>
      </c>
      <c r="M443" s="50">
        <f ca="1"/>
        <v>62086</v>
      </c>
      <c r="N443" s="51">
        <f t="shared" ca="1" si="18"/>
        <v>3104.3</v>
      </c>
      <c r="O443" s="51">
        <f ca="1">MAX(N443:$N$732)</f>
        <v>3653.6205000000004</v>
      </c>
      <c r="P443" s="52">
        <f t="shared" ca="1" si="19"/>
        <v>-0.15034963264520773</v>
      </c>
      <c r="Q443" s="43">
        <f t="shared" ca="1" si="20"/>
        <v>4.5108906551742482E-4</v>
      </c>
    </row>
    <row r="444" spans="12:17" x14ac:dyDescent="0.3">
      <c r="L444" s="10">
        <f ca="1"/>
        <v>45568.229166666664</v>
      </c>
      <c r="M444" s="50">
        <f ca="1"/>
        <v>60752.71</v>
      </c>
      <c r="N444" s="51">
        <f t="shared" ca="1" si="18"/>
        <v>3037.6355000000003</v>
      </c>
      <c r="O444" s="51">
        <f ca="1">MAX(N444:$N$732)</f>
        <v>3653.6205000000004</v>
      </c>
      <c r="P444" s="52">
        <f t="shared" ca="1" si="19"/>
        <v>-0.16859578054152041</v>
      </c>
      <c r="Q444" s="43">
        <f t="shared" ca="1" si="20"/>
        <v>-2.1708830410037315E-2</v>
      </c>
    </row>
    <row r="445" spans="12:17" x14ac:dyDescent="0.3">
      <c r="L445" s="10">
        <f ca="1"/>
        <v>45567.229166666664</v>
      </c>
      <c r="M445" s="50">
        <f ca="1"/>
        <v>60649.279999999999</v>
      </c>
      <c r="N445" s="51">
        <f t="shared" ca="1" si="18"/>
        <v>3032.4639999999999</v>
      </c>
      <c r="O445" s="51">
        <f ca="1">MAX(N445:$N$732)</f>
        <v>3653.6205000000004</v>
      </c>
      <c r="P445" s="52">
        <f t="shared" ca="1" si="19"/>
        <v>-0.17001122585117978</v>
      </c>
      <c r="Q445" s="43">
        <f t="shared" ca="1" si="20"/>
        <v>-1.703926352848019E-3</v>
      </c>
    </row>
    <row r="446" spans="12:17" x14ac:dyDescent="0.3">
      <c r="L446" s="10">
        <f ca="1"/>
        <v>45566.229166666664</v>
      </c>
      <c r="M446" s="50">
        <f ca="1"/>
        <v>60805.78</v>
      </c>
      <c r="N446" s="51">
        <f t="shared" ca="1" si="18"/>
        <v>3040.2890000000002</v>
      </c>
      <c r="O446" s="51">
        <f ca="1">MAX(N446:$N$732)</f>
        <v>3653.6205000000004</v>
      </c>
      <c r="P446" s="52">
        <f t="shared" ca="1" si="19"/>
        <v>-0.16786951463623553</v>
      </c>
      <c r="Q446" s="43">
        <f t="shared" ca="1" si="20"/>
        <v>2.577086316775677E-3</v>
      </c>
    </row>
    <row r="447" spans="12:17" x14ac:dyDescent="0.3">
      <c r="L447" s="10">
        <f ca="1"/>
        <v>45565.229166666664</v>
      </c>
      <c r="M447" s="50">
        <f ca="1"/>
        <v>63327.59</v>
      </c>
      <c r="N447" s="51">
        <f t="shared" ca="1" si="18"/>
        <v>3166.3795</v>
      </c>
      <c r="O447" s="51">
        <f ca="1">MAX(N447:$N$732)</f>
        <v>3653.6205000000004</v>
      </c>
      <c r="P447" s="52">
        <f t="shared" ca="1" si="19"/>
        <v>-0.13335840435535118</v>
      </c>
      <c r="Q447" s="43">
        <f t="shared" ca="1" si="20"/>
        <v>4.063624492665921E-2</v>
      </c>
    </row>
    <row r="448" spans="12:17" x14ac:dyDescent="0.3">
      <c r="L448" s="10">
        <f ca="1"/>
        <v>45564.229166666664</v>
      </c>
      <c r="M448" s="50">
        <f ca="1"/>
        <v>65602.009999999995</v>
      </c>
      <c r="N448" s="51">
        <f t="shared" ca="1" si="18"/>
        <v>3280.1005</v>
      </c>
      <c r="O448" s="51">
        <f ca="1">MAX(N448:$N$732)</f>
        <v>3653.6205000000004</v>
      </c>
      <c r="P448" s="52">
        <f t="shared" ca="1" si="19"/>
        <v>-0.10223284000076099</v>
      </c>
      <c r="Q448" s="43">
        <f t="shared" ca="1" si="20"/>
        <v>3.5285240554754488E-2</v>
      </c>
    </row>
    <row r="449" spans="12:17" x14ac:dyDescent="0.3">
      <c r="L449" s="10">
        <f ca="1"/>
        <v>45563.229166666664</v>
      </c>
      <c r="M449" s="50">
        <f ca="1"/>
        <v>65858</v>
      </c>
      <c r="N449" s="51">
        <f t="shared" ca="1" si="18"/>
        <v>3292.9</v>
      </c>
      <c r="O449" s="51">
        <f ca="1">MAX(N449:$N$732)</f>
        <v>3653.6205000000004</v>
      </c>
      <c r="P449" s="52">
        <f t="shared" ca="1" si="19"/>
        <v>-9.8729602595562488E-2</v>
      </c>
      <c r="Q449" s="43">
        <f t="shared" ca="1" si="20"/>
        <v>3.8945733164770639E-3</v>
      </c>
    </row>
    <row r="450" spans="12:17" x14ac:dyDescent="0.3">
      <c r="L450" s="10">
        <f ca="1"/>
        <v>45562.229166666664</v>
      </c>
      <c r="M450" s="50">
        <f ca="1"/>
        <v>65769.95</v>
      </c>
      <c r="N450" s="51">
        <f t="shared" ca="1" si="18"/>
        <v>3288.4974999999999</v>
      </c>
      <c r="O450" s="51">
        <f ca="1">MAX(N450:$N$732)</f>
        <v>3653.6205000000004</v>
      </c>
      <c r="P450" s="52">
        <f t="shared" ca="1" si="19"/>
        <v>-9.993457174876276E-2</v>
      </c>
      <c r="Q450" s="43">
        <f t="shared" ca="1" si="20"/>
        <v>-1.3378619530762133E-3</v>
      </c>
    </row>
    <row r="451" spans="12:17" x14ac:dyDescent="0.3">
      <c r="L451" s="10">
        <f ca="1"/>
        <v>45561.229166666664</v>
      </c>
      <c r="M451" s="50">
        <f ca="1"/>
        <v>65173.99</v>
      </c>
      <c r="N451" s="51">
        <f t="shared" ref="N451:N514" ca="1" si="21">$C$6*M451</f>
        <v>3258.6995000000002</v>
      </c>
      <c r="O451" s="51">
        <f ca="1">MAX(N451:$N$732)</f>
        <v>3653.6205000000004</v>
      </c>
      <c r="P451" s="52">
        <f t="shared" ref="P451:P514" ca="1" si="22">(N451 - O451)/O451</f>
        <v>-0.10809031753571566</v>
      </c>
      <c r="Q451" s="43">
        <f t="shared" ca="1" si="20"/>
        <v>-9.1025841280016149E-3</v>
      </c>
    </row>
    <row r="452" spans="12:17" x14ac:dyDescent="0.3">
      <c r="L452" s="10">
        <f ca="1"/>
        <v>45560.229166666664</v>
      </c>
      <c r="M452" s="50">
        <f ca="1"/>
        <v>63152.01</v>
      </c>
      <c r="N452" s="51">
        <f t="shared" ca="1" si="21"/>
        <v>3157.6005000000005</v>
      </c>
      <c r="O452" s="51">
        <f ca="1">MAX(N452:$N$732)</f>
        <v>3653.6205000000004</v>
      </c>
      <c r="P452" s="52">
        <f t="shared" ca="1" si="22"/>
        <v>-0.13576122643279451</v>
      </c>
      <c r="Q452" s="43">
        <f t="shared" ref="Q452:Q515" ca="1" si="23">LN(N452 / N451)</f>
        <v>-3.1515785691350953E-2</v>
      </c>
    </row>
    <row r="453" spans="12:17" x14ac:dyDescent="0.3">
      <c r="L453" s="10">
        <f ca="1"/>
        <v>45559.229166666664</v>
      </c>
      <c r="M453" s="50">
        <f ca="1"/>
        <v>64262.7</v>
      </c>
      <c r="N453" s="51">
        <f t="shared" ca="1" si="21"/>
        <v>3213.1350000000002</v>
      </c>
      <c r="O453" s="51">
        <f ca="1">MAX(N453:$N$732)</f>
        <v>3653.6205000000004</v>
      </c>
      <c r="P453" s="52">
        <f t="shared" ca="1" si="22"/>
        <v>-0.12056137193230665</v>
      </c>
      <c r="Q453" s="43">
        <f t="shared" ca="1" si="23"/>
        <v>1.7434692343162514E-2</v>
      </c>
    </row>
    <row r="454" spans="12:17" x14ac:dyDescent="0.3">
      <c r="L454" s="10">
        <f ca="1"/>
        <v>45558.229166666664</v>
      </c>
      <c r="M454" s="50">
        <f ca="1"/>
        <v>63339.99</v>
      </c>
      <c r="N454" s="51">
        <f t="shared" ca="1" si="21"/>
        <v>3166.9994999999999</v>
      </c>
      <c r="O454" s="51">
        <f ca="1">MAX(N454:$N$732)</f>
        <v>3653.6205000000004</v>
      </c>
      <c r="P454" s="52">
        <f t="shared" ca="1" si="22"/>
        <v>-0.13318870966483806</v>
      </c>
      <c r="Q454" s="43">
        <f t="shared" ca="1" si="23"/>
        <v>-1.4462486379390663E-2</v>
      </c>
    </row>
    <row r="455" spans="12:17" x14ac:dyDescent="0.3">
      <c r="L455" s="10">
        <f ca="1"/>
        <v>45557.229166666664</v>
      </c>
      <c r="M455" s="50">
        <f ca="1"/>
        <v>63578.76</v>
      </c>
      <c r="N455" s="51">
        <f t="shared" ca="1" si="21"/>
        <v>3178.9380000000001</v>
      </c>
      <c r="O455" s="51">
        <f ca="1">MAX(N455:$N$732)</f>
        <v>3653.6205000000004</v>
      </c>
      <c r="P455" s="52">
        <f t="shared" ca="1" si="22"/>
        <v>-0.12992112891856181</v>
      </c>
      <c r="Q455" s="43">
        <f t="shared" ca="1" si="23"/>
        <v>3.7625690717466957E-3</v>
      </c>
    </row>
    <row r="456" spans="12:17" x14ac:dyDescent="0.3">
      <c r="L456" s="10">
        <f ca="1"/>
        <v>45556.229166666664</v>
      </c>
      <c r="M456" s="50">
        <f ca="1"/>
        <v>63348.959999999999</v>
      </c>
      <c r="N456" s="51">
        <f t="shared" ca="1" si="21"/>
        <v>3167.4480000000003</v>
      </c>
      <c r="O456" s="51">
        <f ca="1">MAX(N456:$N$732)</f>
        <v>3653.6205000000004</v>
      </c>
      <c r="P456" s="52">
        <f t="shared" ca="1" si="22"/>
        <v>-0.13306595471532964</v>
      </c>
      <c r="Q456" s="43">
        <f t="shared" ca="1" si="23"/>
        <v>-3.6209624041565066E-3</v>
      </c>
    </row>
    <row r="457" spans="12:17" x14ac:dyDescent="0.3">
      <c r="L457" s="10">
        <f ca="1"/>
        <v>45555.229166666664</v>
      </c>
      <c r="M457" s="50">
        <f ca="1"/>
        <v>63201.05</v>
      </c>
      <c r="N457" s="51">
        <f t="shared" ca="1" si="21"/>
        <v>3160.0525000000002</v>
      </c>
      <c r="O457" s="51">
        <f ca="1">MAX(N457:$N$732)</f>
        <v>3653.6205000000004</v>
      </c>
      <c r="P457" s="52">
        <f t="shared" ca="1" si="22"/>
        <v>-0.13509011130192644</v>
      </c>
      <c r="Q457" s="43">
        <f t="shared" ca="1" si="23"/>
        <v>-2.3375749611005765E-3</v>
      </c>
    </row>
    <row r="458" spans="12:17" x14ac:dyDescent="0.3">
      <c r="L458" s="10">
        <f ca="1"/>
        <v>45554.229166666664</v>
      </c>
      <c r="M458" s="50">
        <f ca="1"/>
        <v>62947.99</v>
      </c>
      <c r="N458" s="51">
        <f t="shared" ca="1" si="21"/>
        <v>3147.3995</v>
      </c>
      <c r="O458" s="51">
        <f ca="1">MAX(N458:$N$732)</f>
        <v>3653.6205000000004</v>
      </c>
      <c r="P458" s="52">
        <f t="shared" ca="1" si="22"/>
        <v>-0.13855325149396341</v>
      </c>
      <c r="Q458" s="43">
        <f t="shared" ca="1" si="23"/>
        <v>-4.0120850615296922E-3</v>
      </c>
    </row>
    <row r="459" spans="12:17" x14ac:dyDescent="0.3">
      <c r="L459" s="10">
        <f ca="1"/>
        <v>45553.229166666664</v>
      </c>
      <c r="M459" s="50">
        <f ca="1"/>
        <v>61759.99</v>
      </c>
      <c r="N459" s="51">
        <f t="shared" ca="1" si="21"/>
        <v>3087.9994999999999</v>
      </c>
      <c r="O459" s="51">
        <f ca="1">MAX(N459:$N$732)</f>
        <v>3653.6205000000004</v>
      </c>
      <c r="P459" s="52">
        <f t="shared" ca="1" si="22"/>
        <v>-0.15481109764957812</v>
      </c>
      <c r="Q459" s="43">
        <f t="shared" ca="1" si="23"/>
        <v>-1.9053086077913905E-2</v>
      </c>
    </row>
    <row r="460" spans="12:17" x14ac:dyDescent="0.3">
      <c r="L460" s="10">
        <f ca="1"/>
        <v>45552.229166666664</v>
      </c>
      <c r="M460" s="50">
        <f ca="1"/>
        <v>60313.99</v>
      </c>
      <c r="N460" s="51">
        <f t="shared" ca="1" si="21"/>
        <v>3015.6995000000002</v>
      </c>
      <c r="O460" s="51">
        <f ca="1">MAX(N460:$N$732)</f>
        <v>3653.6205000000004</v>
      </c>
      <c r="P460" s="52">
        <f t="shared" ca="1" si="22"/>
        <v>-0.17459968817232119</v>
      </c>
      <c r="Q460" s="43">
        <f t="shared" ca="1" si="23"/>
        <v>-2.3691660342147178E-2</v>
      </c>
    </row>
    <row r="461" spans="12:17" x14ac:dyDescent="0.3">
      <c r="L461" s="10">
        <f ca="1"/>
        <v>45551.229166666664</v>
      </c>
      <c r="M461" s="50">
        <f ca="1"/>
        <v>58213.99</v>
      </c>
      <c r="N461" s="51">
        <f t="shared" ca="1" si="21"/>
        <v>2910.6995000000002</v>
      </c>
      <c r="O461" s="51">
        <f ca="1">MAX(N461:$N$732)</f>
        <v>3653.6205000000004</v>
      </c>
      <c r="P461" s="52">
        <f t="shared" ca="1" si="22"/>
        <v>-0.20333830511406431</v>
      </c>
      <c r="Q461" s="43">
        <f t="shared" ca="1" si="23"/>
        <v>-3.543837959916106E-2</v>
      </c>
    </row>
    <row r="462" spans="12:17" x14ac:dyDescent="0.3">
      <c r="L462" s="10">
        <f ca="1"/>
        <v>45550.229166666664</v>
      </c>
      <c r="M462" s="50">
        <f ca="1"/>
        <v>59132</v>
      </c>
      <c r="N462" s="51">
        <f t="shared" ca="1" si="21"/>
        <v>2956.6000000000004</v>
      </c>
      <c r="O462" s="51">
        <f ca="1">MAX(N462:$N$732)</f>
        <v>3653.6205000000004</v>
      </c>
      <c r="P462" s="52">
        <f t="shared" ca="1" si="22"/>
        <v>-0.19077528714325967</v>
      </c>
      <c r="Q462" s="43">
        <f t="shared" ca="1" si="23"/>
        <v>1.5646529180742733E-2</v>
      </c>
    </row>
    <row r="463" spans="12:17" x14ac:dyDescent="0.3">
      <c r="L463" s="10">
        <f ca="1"/>
        <v>45549.229166666664</v>
      </c>
      <c r="M463" s="50">
        <f ca="1"/>
        <v>59993.03</v>
      </c>
      <c r="N463" s="51">
        <f t="shared" ca="1" si="21"/>
        <v>2999.6514999999999</v>
      </c>
      <c r="O463" s="51">
        <f ca="1">MAX(N463:$N$732)</f>
        <v>3653.6205000000004</v>
      </c>
      <c r="P463" s="52">
        <f t="shared" ca="1" si="22"/>
        <v>-0.17899204364547452</v>
      </c>
      <c r="Q463" s="43">
        <f t="shared" ca="1" si="23"/>
        <v>1.4456155768720584E-2</v>
      </c>
    </row>
    <row r="464" spans="12:17" x14ac:dyDescent="0.3">
      <c r="L464" s="10">
        <f ca="1"/>
        <v>45548.229166666664</v>
      </c>
      <c r="M464" s="50">
        <f ca="1"/>
        <v>60498</v>
      </c>
      <c r="N464" s="51">
        <f t="shared" ca="1" si="21"/>
        <v>3024.9</v>
      </c>
      <c r="O464" s="51">
        <f ca="1">MAX(N464:$N$732)</f>
        <v>3653.6205000000004</v>
      </c>
      <c r="P464" s="52">
        <f t="shared" ca="1" si="22"/>
        <v>-0.17208150107544018</v>
      </c>
      <c r="Q464" s="43">
        <f t="shared" ca="1" si="23"/>
        <v>8.381917831569094E-3</v>
      </c>
    </row>
    <row r="465" spans="12:17" x14ac:dyDescent="0.3">
      <c r="L465" s="10">
        <f ca="1"/>
        <v>45547.229166666664</v>
      </c>
      <c r="M465" s="50">
        <f ca="1"/>
        <v>58132.32</v>
      </c>
      <c r="N465" s="51">
        <f t="shared" ca="1" si="21"/>
        <v>2906.616</v>
      </c>
      <c r="O465" s="51">
        <f ca="1">MAX(N465:$N$732)</f>
        <v>3653.6205000000004</v>
      </c>
      <c r="P465" s="52">
        <f t="shared" ca="1" si="22"/>
        <v>-0.20445596361198443</v>
      </c>
      <c r="Q465" s="43">
        <f t="shared" ca="1" si="23"/>
        <v>-3.9888515176949343E-2</v>
      </c>
    </row>
    <row r="466" spans="12:17" x14ac:dyDescent="0.3">
      <c r="L466" s="10">
        <f ca="1"/>
        <v>45546.229166666664</v>
      </c>
      <c r="M466" s="50">
        <f ca="1"/>
        <v>57338</v>
      </c>
      <c r="N466" s="51">
        <f t="shared" ca="1" si="21"/>
        <v>2866.9</v>
      </c>
      <c r="O466" s="51">
        <f ca="1">MAX(N466:$N$732)</f>
        <v>3653.6205000000004</v>
      </c>
      <c r="P466" s="52">
        <f t="shared" ca="1" si="22"/>
        <v>-0.2153262770449203</v>
      </c>
      <c r="Q466" s="43">
        <f t="shared" ca="1" si="23"/>
        <v>-1.3758211280425094E-2</v>
      </c>
    </row>
    <row r="467" spans="12:17" x14ac:dyDescent="0.3">
      <c r="L467" s="10">
        <f ca="1"/>
        <v>45545.229166666664</v>
      </c>
      <c r="M467" s="50">
        <f ca="1"/>
        <v>57635.99</v>
      </c>
      <c r="N467" s="51">
        <f t="shared" ca="1" si="21"/>
        <v>2881.7995000000001</v>
      </c>
      <c r="O467" s="51">
        <f ca="1">MAX(N467:$N$732)</f>
        <v>3653.6205000000004</v>
      </c>
      <c r="P467" s="52">
        <f t="shared" ca="1" si="22"/>
        <v>-0.21124826730088697</v>
      </c>
      <c r="Q467" s="43">
        <f t="shared" ca="1" si="23"/>
        <v>5.1836187862417801E-3</v>
      </c>
    </row>
    <row r="468" spans="12:17" x14ac:dyDescent="0.3">
      <c r="L468" s="10">
        <f ca="1"/>
        <v>45544.229166666664</v>
      </c>
      <c r="M468" s="50">
        <f ca="1"/>
        <v>57042</v>
      </c>
      <c r="N468" s="51">
        <f t="shared" ca="1" si="21"/>
        <v>2852.1000000000004</v>
      </c>
      <c r="O468" s="51">
        <f ca="1">MAX(N468:$N$732)</f>
        <v>3653.6205000000004</v>
      </c>
      <c r="P468" s="52">
        <f t="shared" ca="1" si="22"/>
        <v>-0.21937705352813736</v>
      </c>
      <c r="Q468" s="43">
        <f t="shared" ca="1" si="23"/>
        <v>-1.0359360363052109E-2</v>
      </c>
    </row>
    <row r="469" spans="12:17" x14ac:dyDescent="0.3">
      <c r="L469" s="10">
        <f ca="1"/>
        <v>45543.229166666664</v>
      </c>
      <c r="M469" s="50">
        <f ca="1"/>
        <v>54869.95</v>
      </c>
      <c r="N469" s="51">
        <f t="shared" ca="1" si="21"/>
        <v>2743.4974999999999</v>
      </c>
      <c r="O469" s="51">
        <f ca="1">MAX(N469:$N$732)</f>
        <v>3653.6205000000004</v>
      </c>
      <c r="P469" s="52">
        <f t="shared" ca="1" si="22"/>
        <v>-0.24910167873209613</v>
      </c>
      <c r="Q469" s="43">
        <f t="shared" ca="1" si="23"/>
        <v>-3.8821998779240002E-2</v>
      </c>
    </row>
    <row r="470" spans="12:17" x14ac:dyDescent="0.3">
      <c r="L470" s="10">
        <f ca="1"/>
        <v>45542.229166666664</v>
      </c>
      <c r="M470" s="50">
        <f ca="1"/>
        <v>54160.86</v>
      </c>
      <c r="N470" s="51">
        <f t="shared" ca="1" si="21"/>
        <v>2708.0430000000001</v>
      </c>
      <c r="O470" s="51">
        <f ca="1">MAX(N470:$N$732)</f>
        <v>3653.6205000000004</v>
      </c>
      <c r="P470" s="52">
        <f t="shared" ca="1" si="22"/>
        <v>-0.25880561486886783</v>
      </c>
      <c r="Q470" s="43">
        <f t="shared" ca="1" si="23"/>
        <v>-1.3007332470356594E-2</v>
      </c>
    </row>
    <row r="471" spans="12:17" x14ac:dyDescent="0.3">
      <c r="L471" s="10">
        <f ca="1"/>
        <v>45541.229166666664</v>
      </c>
      <c r="M471" s="50">
        <f ca="1"/>
        <v>53962.97</v>
      </c>
      <c r="N471" s="51">
        <f t="shared" ca="1" si="21"/>
        <v>2698.1485000000002</v>
      </c>
      <c r="O471" s="51">
        <f ca="1">MAX(N471:$N$732)</f>
        <v>3653.6205000000004</v>
      </c>
      <c r="P471" s="52">
        <f t="shared" ca="1" si="22"/>
        <v>-0.26151375053867804</v>
      </c>
      <c r="Q471" s="43">
        <f t="shared" ca="1" si="23"/>
        <v>-3.66043675954287E-3</v>
      </c>
    </row>
    <row r="472" spans="12:17" x14ac:dyDescent="0.3">
      <c r="L472" s="10">
        <f ca="1"/>
        <v>45540.229166666664</v>
      </c>
      <c r="M472" s="50">
        <f ca="1"/>
        <v>56180</v>
      </c>
      <c r="N472" s="51">
        <f t="shared" ca="1" si="21"/>
        <v>2809</v>
      </c>
      <c r="O472" s="51">
        <f ca="1">MAX(N472:$N$732)</f>
        <v>3653.6205000000004</v>
      </c>
      <c r="P472" s="52">
        <f t="shared" ca="1" si="22"/>
        <v>-0.2311735715299387</v>
      </c>
      <c r="Q472" s="43">
        <f t="shared" ca="1" si="23"/>
        <v>4.0262751080288511E-2</v>
      </c>
    </row>
    <row r="473" spans="12:17" x14ac:dyDescent="0.3">
      <c r="L473" s="10">
        <f ca="1"/>
        <v>45539.229166666664</v>
      </c>
      <c r="M473" s="50">
        <f ca="1"/>
        <v>57970.9</v>
      </c>
      <c r="N473" s="51">
        <f t="shared" ca="1" si="21"/>
        <v>2898.5450000000001</v>
      </c>
      <c r="O473" s="51">
        <f ca="1">MAX(N473:$N$732)</f>
        <v>3653.6205000000004</v>
      </c>
      <c r="P473" s="52">
        <f t="shared" ca="1" si="22"/>
        <v>-0.2066650053009064</v>
      </c>
      <c r="Q473" s="43">
        <f t="shared" ca="1" si="23"/>
        <v>3.1380338826720304E-2</v>
      </c>
    </row>
    <row r="474" spans="12:17" x14ac:dyDescent="0.3">
      <c r="L474" s="10">
        <f ca="1"/>
        <v>45538.229166666664</v>
      </c>
      <c r="M474" s="50">
        <f ca="1"/>
        <v>57487.73</v>
      </c>
      <c r="N474" s="51">
        <f t="shared" ca="1" si="21"/>
        <v>2874.3865000000005</v>
      </c>
      <c r="O474" s="51">
        <f ca="1">MAX(N474:$N$732)</f>
        <v>3653.6205000000004</v>
      </c>
      <c r="P474" s="52">
        <f t="shared" ca="1" si="22"/>
        <v>-0.21327721365697391</v>
      </c>
      <c r="Q474" s="43">
        <f t="shared" ca="1" si="23"/>
        <v>-8.3696267750248236E-3</v>
      </c>
    </row>
    <row r="475" spans="12:17" x14ac:dyDescent="0.3">
      <c r="L475" s="10">
        <f ca="1"/>
        <v>45537.229166666664</v>
      </c>
      <c r="M475" s="50">
        <f ca="1"/>
        <v>59132.13</v>
      </c>
      <c r="N475" s="51">
        <f t="shared" ca="1" si="21"/>
        <v>2956.6064999999999</v>
      </c>
      <c r="O475" s="51">
        <f ca="1">MAX(N475:$N$732)</f>
        <v>3653.6205000000004</v>
      </c>
      <c r="P475" s="52">
        <f t="shared" ca="1" si="22"/>
        <v>-0.19077350808602056</v>
      </c>
      <c r="Q475" s="43">
        <f t="shared" ca="1" si="23"/>
        <v>2.820289777985046E-2</v>
      </c>
    </row>
    <row r="476" spans="12:17" x14ac:dyDescent="0.3">
      <c r="L476" s="10">
        <f ca="1"/>
        <v>45536.229166666664</v>
      </c>
      <c r="M476" s="50">
        <f ca="1"/>
        <v>57301.86</v>
      </c>
      <c r="N476" s="51">
        <f t="shared" ca="1" si="21"/>
        <v>2865.0930000000003</v>
      </c>
      <c r="O476" s="51">
        <f ca="1">MAX(N476:$N$732)</f>
        <v>3653.6205000000004</v>
      </c>
      <c r="P476" s="52">
        <f t="shared" ca="1" si="22"/>
        <v>-0.21582085495743197</v>
      </c>
      <c r="Q476" s="43">
        <f t="shared" ca="1" si="23"/>
        <v>-3.1441347580803664E-2</v>
      </c>
    </row>
    <row r="477" spans="12:17" x14ac:dyDescent="0.3">
      <c r="L477" s="10">
        <f ca="1"/>
        <v>45535.229166666664</v>
      </c>
      <c r="M477" s="50">
        <f ca="1"/>
        <v>58973.99</v>
      </c>
      <c r="N477" s="51">
        <f t="shared" ca="1" si="21"/>
        <v>2948.6995000000002</v>
      </c>
      <c r="O477" s="51">
        <f ca="1">MAX(N477:$N$732)</f>
        <v>3653.6205000000004</v>
      </c>
      <c r="P477" s="52">
        <f t="shared" ca="1" si="22"/>
        <v>-0.1929376627922906</v>
      </c>
      <c r="Q477" s="43">
        <f t="shared" ca="1" si="23"/>
        <v>2.8763415319443316E-2</v>
      </c>
    </row>
    <row r="478" spans="12:17" x14ac:dyDescent="0.3">
      <c r="L478" s="10">
        <f ca="1"/>
        <v>45534.229166666664</v>
      </c>
      <c r="M478" s="50">
        <f ca="1"/>
        <v>59123.99</v>
      </c>
      <c r="N478" s="51">
        <f t="shared" ca="1" si="21"/>
        <v>2956.1995000000002</v>
      </c>
      <c r="O478" s="51">
        <f ca="1">MAX(N478:$N$732)</f>
        <v>3653.6205000000004</v>
      </c>
      <c r="P478" s="52">
        <f t="shared" ca="1" si="22"/>
        <v>-0.19088490443930894</v>
      </c>
      <c r="Q478" s="43">
        <f t="shared" ca="1" si="23"/>
        <v>2.5402649674755627E-3</v>
      </c>
    </row>
    <row r="479" spans="12:17" x14ac:dyDescent="0.3">
      <c r="L479" s="10">
        <f ca="1"/>
        <v>45533.229166666664</v>
      </c>
      <c r="M479" s="50">
        <f ca="1"/>
        <v>59359.01</v>
      </c>
      <c r="N479" s="51">
        <f t="shared" ca="1" si="21"/>
        <v>2967.9505000000004</v>
      </c>
      <c r="O479" s="51">
        <f ca="1">MAX(N479:$N$732)</f>
        <v>3653.6205000000004</v>
      </c>
      <c r="P479" s="52">
        <f t="shared" ca="1" si="22"/>
        <v>-0.18766864265185723</v>
      </c>
      <c r="Q479" s="43">
        <f t="shared" ca="1" si="23"/>
        <v>3.9671566087143692E-3</v>
      </c>
    </row>
    <row r="480" spans="12:17" x14ac:dyDescent="0.3">
      <c r="L480" s="10">
        <f ca="1"/>
        <v>45532.229166666664</v>
      </c>
      <c r="M480" s="50">
        <f ca="1"/>
        <v>59034.9</v>
      </c>
      <c r="N480" s="51">
        <f t="shared" ca="1" si="21"/>
        <v>2951.7450000000003</v>
      </c>
      <c r="O480" s="51">
        <f ca="1">MAX(N480:$N$732)</f>
        <v>3653.6205000000004</v>
      </c>
      <c r="P480" s="52">
        <f t="shared" ca="1" si="22"/>
        <v>-0.19210410605042313</v>
      </c>
      <c r="Q480" s="43">
        <f t="shared" ca="1" si="23"/>
        <v>-5.4751263752270147E-3</v>
      </c>
    </row>
    <row r="481" spans="12:17" x14ac:dyDescent="0.3">
      <c r="L481" s="10">
        <f ca="1"/>
        <v>45531.229166666664</v>
      </c>
      <c r="M481" s="50">
        <f ca="1"/>
        <v>59415</v>
      </c>
      <c r="N481" s="51">
        <f t="shared" ca="1" si="21"/>
        <v>2970.75</v>
      </c>
      <c r="O481" s="51">
        <f ca="1">MAX(N481:$N$732)</f>
        <v>3653.6205000000004</v>
      </c>
      <c r="P481" s="52">
        <f t="shared" ca="1" si="22"/>
        <v>-0.18690241638396773</v>
      </c>
      <c r="Q481" s="43">
        <f t="shared" ca="1" si="23"/>
        <v>6.4179252947433648E-3</v>
      </c>
    </row>
    <row r="482" spans="12:17" x14ac:dyDescent="0.3">
      <c r="L482" s="10">
        <f ca="1"/>
        <v>45530.229166666664</v>
      </c>
      <c r="M482" s="50">
        <f ca="1"/>
        <v>62834</v>
      </c>
      <c r="N482" s="51">
        <f t="shared" ca="1" si="21"/>
        <v>3141.7000000000003</v>
      </c>
      <c r="O482" s="51">
        <f ca="1">MAX(N482:$N$732)</f>
        <v>3653.6205000000004</v>
      </c>
      <c r="P482" s="52">
        <f t="shared" ca="1" si="22"/>
        <v>-0.14011321099167254</v>
      </c>
      <c r="Q482" s="43">
        <f t="shared" ca="1" si="23"/>
        <v>5.5949608501255271E-2</v>
      </c>
    </row>
    <row r="483" spans="12:17" x14ac:dyDescent="0.3">
      <c r="L483" s="10">
        <f ca="1"/>
        <v>45529.229166666664</v>
      </c>
      <c r="M483" s="50">
        <f ca="1"/>
        <v>64220</v>
      </c>
      <c r="N483" s="51">
        <f t="shared" ca="1" si="21"/>
        <v>3211</v>
      </c>
      <c r="O483" s="51">
        <f ca="1">MAX(N483:$N$732)</f>
        <v>3653.6205000000004</v>
      </c>
      <c r="P483" s="52">
        <f t="shared" ca="1" si="22"/>
        <v>-0.12114572381012215</v>
      </c>
      <c r="Q483" s="43">
        <f t="shared" ca="1" si="23"/>
        <v>2.1818360418122913E-2</v>
      </c>
    </row>
    <row r="484" spans="12:17" x14ac:dyDescent="0.3">
      <c r="L484" s="10">
        <f ca="1"/>
        <v>45528.229166666664</v>
      </c>
      <c r="M484" s="50">
        <f ca="1"/>
        <v>64157.01</v>
      </c>
      <c r="N484" s="51">
        <f t="shared" ca="1" si="21"/>
        <v>3207.8505000000005</v>
      </c>
      <c r="O484" s="51">
        <f ca="1">MAX(N484:$N$732)</f>
        <v>3653.6205000000004</v>
      </c>
      <c r="P484" s="52">
        <f t="shared" ca="1" si="22"/>
        <v>-0.12200774546781745</v>
      </c>
      <c r="Q484" s="43">
        <f t="shared" ca="1" si="23"/>
        <v>-9.8132843341603208E-4</v>
      </c>
    </row>
    <row r="485" spans="12:17" x14ac:dyDescent="0.3">
      <c r="L485" s="10">
        <f ca="1"/>
        <v>45527.229166666664</v>
      </c>
      <c r="M485" s="50">
        <f ca="1"/>
        <v>64037.24</v>
      </c>
      <c r="N485" s="51">
        <f t="shared" ca="1" si="21"/>
        <v>3201.8620000000001</v>
      </c>
      <c r="O485" s="51">
        <f ca="1">MAX(N485:$N$732)</f>
        <v>3653.6205000000004</v>
      </c>
      <c r="P485" s="52">
        <f t="shared" ca="1" si="22"/>
        <v>-0.12364680458739498</v>
      </c>
      <c r="Q485" s="43">
        <f t="shared" ca="1" si="23"/>
        <v>-1.8685710918963194E-3</v>
      </c>
    </row>
    <row r="486" spans="12:17" x14ac:dyDescent="0.3">
      <c r="L486" s="10">
        <f ca="1"/>
        <v>45526.229166666664</v>
      </c>
      <c r="M486" s="50">
        <f ca="1"/>
        <v>60375.839999999997</v>
      </c>
      <c r="N486" s="51">
        <f t="shared" ca="1" si="21"/>
        <v>3018.7919999999999</v>
      </c>
      <c r="O486" s="51">
        <f ca="1">MAX(N486:$N$732)</f>
        <v>3653.6205000000004</v>
      </c>
      <c r="P486" s="52">
        <f t="shared" ca="1" si="22"/>
        <v>-0.17375326747810849</v>
      </c>
      <c r="Q486" s="43">
        <f t="shared" ca="1" si="23"/>
        <v>-5.8875764216626075E-2</v>
      </c>
    </row>
    <row r="487" spans="12:17" x14ac:dyDescent="0.3">
      <c r="L487" s="10">
        <f ca="1"/>
        <v>45525.229166666664</v>
      </c>
      <c r="M487" s="50">
        <f ca="1"/>
        <v>61156.03</v>
      </c>
      <c r="N487" s="51">
        <f t="shared" ca="1" si="21"/>
        <v>3057.8015</v>
      </c>
      <c r="O487" s="51">
        <f ca="1">MAX(N487:$N$732)</f>
        <v>3653.6205000000004</v>
      </c>
      <c r="P487" s="52">
        <f t="shared" ca="1" si="22"/>
        <v>-0.16307632388202342</v>
      </c>
      <c r="Q487" s="43">
        <f t="shared" ca="1" si="23"/>
        <v>1.2839442327577992E-2</v>
      </c>
    </row>
    <row r="488" spans="12:17" x14ac:dyDescent="0.3">
      <c r="L488" s="10">
        <f ca="1"/>
        <v>45524.229166666664</v>
      </c>
      <c r="M488" s="50">
        <f ca="1"/>
        <v>59013.8</v>
      </c>
      <c r="N488" s="51">
        <f t="shared" ca="1" si="21"/>
        <v>2950.6900000000005</v>
      </c>
      <c r="O488" s="51">
        <f ca="1">MAX(N488:$N$732)</f>
        <v>3653.6205000000004</v>
      </c>
      <c r="P488" s="52">
        <f t="shared" ca="1" si="22"/>
        <v>-0.19239286072540918</v>
      </c>
      <c r="Q488" s="43">
        <f t="shared" ca="1" si="23"/>
        <v>-3.5657152386146994E-2</v>
      </c>
    </row>
    <row r="489" spans="12:17" x14ac:dyDescent="0.3">
      <c r="L489" s="10">
        <f ca="1"/>
        <v>45523.229166666664</v>
      </c>
      <c r="M489" s="50">
        <f ca="1"/>
        <v>59438.5</v>
      </c>
      <c r="N489" s="51">
        <f t="shared" ca="1" si="21"/>
        <v>2971.9250000000002</v>
      </c>
      <c r="O489" s="51">
        <f ca="1">MAX(N489:$N$732)</f>
        <v>3653.6205000000004</v>
      </c>
      <c r="P489" s="52">
        <f t="shared" ca="1" si="22"/>
        <v>-0.18658081757533387</v>
      </c>
      <c r="Q489" s="43">
        <f t="shared" ca="1" si="23"/>
        <v>7.1708496985934487E-3</v>
      </c>
    </row>
    <row r="490" spans="12:17" x14ac:dyDescent="0.3">
      <c r="L490" s="10">
        <f ca="1"/>
        <v>45522.229166666664</v>
      </c>
      <c r="M490" s="50">
        <f ca="1"/>
        <v>58427.35</v>
      </c>
      <c r="N490" s="51">
        <f t="shared" ca="1" si="21"/>
        <v>2921.3675000000003</v>
      </c>
      <c r="O490" s="51">
        <f ca="1">MAX(N490:$N$732)</f>
        <v>3653.6205000000004</v>
      </c>
      <c r="P490" s="52">
        <f t="shared" ca="1" si="22"/>
        <v>-0.20041846163278318</v>
      </c>
      <c r="Q490" s="43">
        <f t="shared" ca="1" si="23"/>
        <v>-1.7158062435947238E-2</v>
      </c>
    </row>
    <row r="491" spans="12:17" x14ac:dyDescent="0.3">
      <c r="L491" s="10">
        <f ca="1"/>
        <v>45521.229166666664</v>
      </c>
      <c r="M491" s="50">
        <f ca="1"/>
        <v>59491.99</v>
      </c>
      <c r="N491" s="51">
        <f t="shared" ca="1" si="21"/>
        <v>2974.5995000000003</v>
      </c>
      <c r="O491" s="51">
        <f ca="1">MAX(N491:$N$732)</f>
        <v>3653.6205000000004</v>
      </c>
      <c r="P491" s="52">
        <f t="shared" ca="1" si="22"/>
        <v>-0.18584880394666062</v>
      </c>
      <c r="Q491" s="43">
        <f t="shared" ca="1" si="23"/>
        <v>1.805757951700367E-2</v>
      </c>
    </row>
    <row r="492" spans="12:17" x14ac:dyDescent="0.3">
      <c r="L492" s="10">
        <f ca="1"/>
        <v>45520.229166666664</v>
      </c>
      <c r="M492" s="50">
        <f ca="1"/>
        <v>58874.6</v>
      </c>
      <c r="N492" s="51">
        <f t="shared" ca="1" si="21"/>
        <v>2943.73</v>
      </c>
      <c r="O492" s="51">
        <f ca="1">MAX(N492:$N$732)</f>
        <v>3653.6205000000004</v>
      </c>
      <c r="P492" s="52">
        <f t="shared" ca="1" si="22"/>
        <v>-0.19429782047697627</v>
      </c>
      <c r="Q492" s="43">
        <f t="shared" ca="1" si="23"/>
        <v>-1.0431923382209848E-2</v>
      </c>
    </row>
    <row r="493" spans="12:17" x14ac:dyDescent="0.3">
      <c r="L493" s="10">
        <f ca="1"/>
        <v>45519.229166666664</v>
      </c>
      <c r="M493" s="50">
        <f ca="1"/>
        <v>57541.06</v>
      </c>
      <c r="N493" s="51">
        <f t="shared" ca="1" si="21"/>
        <v>2877.0529999999999</v>
      </c>
      <c r="O493" s="51">
        <f ca="1">MAX(N493:$N$732)</f>
        <v>3653.6205000000004</v>
      </c>
      <c r="P493" s="52">
        <f t="shared" ca="1" si="22"/>
        <v>-0.21254738963721068</v>
      </c>
      <c r="Q493" s="43">
        <f t="shared" ca="1" si="23"/>
        <v>-2.2910978337253918E-2</v>
      </c>
    </row>
    <row r="494" spans="12:17" x14ac:dyDescent="0.3">
      <c r="L494" s="10">
        <f ca="1"/>
        <v>45518.229166666664</v>
      </c>
      <c r="M494" s="50">
        <f ca="1"/>
        <v>58683.39</v>
      </c>
      <c r="N494" s="51">
        <f t="shared" ca="1" si="21"/>
        <v>2934.1695</v>
      </c>
      <c r="O494" s="51">
        <f ca="1">MAX(N494:$N$732)</f>
        <v>3653.6205000000004</v>
      </c>
      <c r="P494" s="52">
        <f t="shared" ca="1" si="22"/>
        <v>-0.19691453997480043</v>
      </c>
      <c r="Q494" s="43">
        <f t="shared" ca="1" si="23"/>
        <v>1.9657942646202003E-2</v>
      </c>
    </row>
    <row r="495" spans="12:17" x14ac:dyDescent="0.3">
      <c r="L495" s="10">
        <f ca="1"/>
        <v>45517.229166666664</v>
      </c>
      <c r="M495" s="50">
        <f ca="1"/>
        <v>60587.15</v>
      </c>
      <c r="N495" s="51">
        <f t="shared" ca="1" si="21"/>
        <v>3029.3575000000001</v>
      </c>
      <c r="O495" s="51">
        <f ca="1">MAX(N495:$N$732)</f>
        <v>3653.6205000000004</v>
      </c>
      <c r="P495" s="52">
        <f t="shared" ca="1" si="22"/>
        <v>-0.17086147836098475</v>
      </c>
      <c r="Q495" s="43">
        <f t="shared" ca="1" si="23"/>
        <v>3.1926101818424889E-2</v>
      </c>
    </row>
    <row r="496" spans="12:17" x14ac:dyDescent="0.3">
      <c r="L496" s="10">
        <f ca="1"/>
        <v>45516.229166666664</v>
      </c>
      <c r="M496" s="50">
        <f ca="1"/>
        <v>59346.64</v>
      </c>
      <c r="N496" s="51">
        <f t="shared" ca="1" si="21"/>
        <v>2967.3320000000003</v>
      </c>
      <c r="O496" s="51">
        <f ca="1">MAX(N496:$N$732)</f>
        <v>3653.6205000000004</v>
      </c>
      <c r="P496" s="52">
        <f t="shared" ca="1" si="22"/>
        <v>-0.1878379267906998</v>
      </c>
      <c r="Q496" s="43">
        <f t="shared" ca="1" si="23"/>
        <v>-2.068731824345775E-2</v>
      </c>
    </row>
    <row r="497" spans="12:17" x14ac:dyDescent="0.3">
      <c r="L497" s="10">
        <f ca="1"/>
        <v>45515.229166666664</v>
      </c>
      <c r="M497" s="50">
        <f ca="1"/>
        <v>58712.59</v>
      </c>
      <c r="N497" s="51">
        <f t="shared" ca="1" si="21"/>
        <v>2935.6295</v>
      </c>
      <c r="O497" s="51">
        <f ca="1">MAX(N497:$N$732)</f>
        <v>3653.6205000000004</v>
      </c>
      <c r="P497" s="52">
        <f t="shared" ca="1" si="22"/>
        <v>-0.19651493634875333</v>
      </c>
      <c r="Q497" s="43">
        <f t="shared" ca="1" si="23"/>
        <v>-1.0741321896940641E-2</v>
      </c>
    </row>
    <row r="498" spans="12:17" x14ac:dyDescent="0.3">
      <c r="L498" s="10">
        <f ca="1"/>
        <v>45514.229166666664</v>
      </c>
      <c r="M498" s="50">
        <f ca="1"/>
        <v>60923.51</v>
      </c>
      <c r="N498" s="51">
        <f t="shared" ca="1" si="21"/>
        <v>3046.1755000000003</v>
      </c>
      <c r="O498" s="51">
        <f ca="1">MAX(N498:$N$732)</f>
        <v>3653.6205000000004</v>
      </c>
      <c r="P498" s="52">
        <f t="shared" ca="1" si="22"/>
        <v>-0.16625837303025864</v>
      </c>
      <c r="Q498" s="43">
        <f t="shared" ca="1" si="23"/>
        <v>3.6964958668207058E-2</v>
      </c>
    </row>
    <row r="499" spans="12:17" x14ac:dyDescent="0.3">
      <c r="L499" s="10">
        <f ca="1"/>
        <v>45513.229166666664</v>
      </c>
      <c r="M499" s="50">
        <f ca="1"/>
        <v>60837.99</v>
      </c>
      <c r="N499" s="51">
        <f t="shared" ca="1" si="21"/>
        <v>3041.8995</v>
      </c>
      <c r="O499" s="51">
        <f ca="1">MAX(N499:$N$732)</f>
        <v>3653.6205000000004</v>
      </c>
      <c r="P499" s="52">
        <f t="shared" ca="1" si="22"/>
        <v>-0.167428718992572</v>
      </c>
      <c r="Q499" s="43">
        <f t="shared" ca="1" si="23"/>
        <v>-1.4047135434844026E-3</v>
      </c>
    </row>
    <row r="500" spans="12:17" x14ac:dyDescent="0.3">
      <c r="L500" s="10">
        <f ca="1"/>
        <v>45512.229166666664</v>
      </c>
      <c r="M500" s="50">
        <f ca="1"/>
        <v>61685.99</v>
      </c>
      <c r="N500" s="51">
        <f t="shared" ca="1" si="21"/>
        <v>3084.2995000000001</v>
      </c>
      <c r="O500" s="51">
        <f ca="1">MAX(N500:$N$732)</f>
        <v>3653.6205000000004</v>
      </c>
      <c r="P500" s="52">
        <f t="shared" ca="1" si="22"/>
        <v>-0.15582379177038236</v>
      </c>
      <c r="Q500" s="43">
        <f t="shared" ca="1" si="23"/>
        <v>1.3842409307287699E-2</v>
      </c>
    </row>
    <row r="501" spans="12:17" x14ac:dyDescent="0.3">
      <c r="L501" s="10">
        <f ca="1"/>
        <v>45511.229166666664</v>
      </c>
      <c r="M501" s="50">
        <f ca="1"/>
        <v>55134.16</v>
      </c>
      <c r="N501" s="51">
        <f t="shared" ca="1" si="21"/>
        <v>2756.7080000000005</v>
      </c>
      <c r="O501" s="51">
        <f ca="1">MAX(N501:$N$732)</f>
        <v>3653.6205000000004</v>
      </c>
      <c r="P501" s="52">
        <f t="shared" ca="1" si="22"/>
        <v>-0.24548595016915409</v>
      </c>
      <c r="Q501" s="43">
        <f t="shared" ca="1" si="23"/>
        <v>-0.11228735091416125</v>
      </c>
    </row>
    <row r="502" spans="12:17" x14ac:dyDescent="0.3">
      <c r="L502" s="10">
        <f ca="1"/>
        <v>45510.229166666664</v>
      </c>
      <c r="M502" s="50">
        <f ca="1"/>
        <v>56022.01</v>
      </c>
      <c r="N502" s="51">
        <f t="shared" ca="1" si="21"/>
        <v>2801.1005000000005</v>
      </c>
      <c r="O502" s="51">
        <f ca="1">MAX(N502:$N$732)</f>
        <v>3653.6205000000004</v>
      </c>
      <c r="P502" s="52">
        <f t="shared" ca="1" si="22"/>
        <v>-0.23333567347785569</v>
      </c>
      <c r="Q502" s="43">
        <f t="shared" ca="1" si="23"/>
        <v>1.5975161468007128E-2</v>
      </c>
    </row>
    <row r="503" spans="12:17" x14ac:dyDescent="0.3">
      <c r="L503" s="10">
        <f ca="1"/>
        <v>45509.229166666664</v>
      </c>
      <c r="M503" s="50">
        <f ca="1"/>
        <v>54018.81</v>
      </c>
      <c r="N503" s="51">
        <f t="shared" ca="1" si="21"/>
        <v>2700.9405000000002</v>
      </c>
      <c r="O503" s="51">
        <f ca="1">MAX(N503:$N$732)</f>
        <v>3653.6205000000004</v>
      </c>
      <c r="P503" s="52">
        <f t="shared" ca="1" si="22"/>
        <v>-0.26074957702914142</v>
      </c>
      <c r="Q503" s="43">
        <f t="shared" ca="1" si="23"/>
        <v>-3.6412329987494066E-2</v>
      </c>
    </row>
    <row r="504" spans="12:17" x14ac:dyDescent="0.3">
      <c r="L504" s="10">
        <f ca="1"/>
        <v>45508.229166666664</v>
      </c>
      <c r="M504" s="50">
        <f ca="1"/>
        <v>58161</v>
      </c>
      <c r="N504" s="51">
        <f t="shared" ca="1" si="21"/>
        <v>2908.05</v>
      </c>
      <c r="O504" s="51">
        <f ca="1">MAX(N504:$N$732)</f>
        <v>3653.6205000000004</v>
      </c>
      <c r="P504" s="52">
        <f t="shared" ca="1" si="22"/>
        <v>-0.20406347621489429</v>
      </c>
      <c r="Q504" s="43">
        <f t="shared" ca="1" si="23"/>
        <v>7.3882707781543211E-2</v>
      </c>
    </row>
    <row r="505" spans="12:17" x14ac:dyDescent="0.3">
      <c r="L505" s="10">
        <f ca="1"/>
        <v>45507.229166666664</v>
      </c>
      <c r="M505" s="50">
        <f ca="1"/>
        <v>60697.99</v>
      </c>
      <c r="N505" s="51">
        <f t="shared" ca="1" si="21"/>
        <v>3034.8995</v>
      </c>
      <c r="O505" s="51">
        <f ca="1">MAX(N505:$N$732)</f>
        <v>3653.6205000000004</v>
      </c>
      <c r="P505" s="52">
        <f t="shared" ca="1" si="22"/>
        <v>-0.1693446267886882</v>
      </c>
      <c r="Q505" s="43">
        <f t="shared" ca="1" si="23"/>
        <v>4.2695556818197075E-2</v>
      </c>
    </row>
    <row r="506" spans="12:17" x14ac:dyDescent="0.3">
      <c r="L506" s="10">
        <f ca="1"/>
        <v>45506.229166666664</v>
      </c>
      <c r="M506" s="50">
        <f ca="1"/>
        <v>61498.33</v>
      </c>
      <c r="N506" s="51">
        <f t="shared" ca="1" si="21"/>
        <v>3074.9165000000003</v>
      </c>
      <c r="O506" s="51">
        <f ca="1">MAX(N506:$N$732)</f>
        <v>3653.6205000000004</v>
      </c>
      <c r="P506" s="52">
        <f t="shared" ca="1" si="22"/>
        <v>-0.15839192932051924</v>
      </c>
      <c r="Q506" s="43">
        <f t="shared" ca="1" si="23"/>
        <v>1.3099436128861027E-2</v>
      </c>
    </row>
    <row r="507" spans="12:17" x14ac:dyDescent="0.3">
      <c r="L507" s="10">
        <f ca="1"/>
        <v>45505.229166666664</v>
      </c>
      <c r="M507" s="50">
        <f ca="1"/>
        <v>65354.02</v>
      </c>
      <c r="N507" s="51">
        <f t="shared" ca="1" si="21"/>
        <v>3267.701</v>
      </c>
      <c r="O507" s="51">
        <f ca="1">MAX(N507:$N$732)</f>
        <v>3653.6205000000004</v>
      </c>
      <c r="P507" s="52">
        <f t="shared" ca="1" si="22"/>
        <v>-0.10562659696046713</v>
      </c>
      <c r="Q507" s="43">
        <f t="shared" ca="1" si="23"/>
        <v>6.0808933125690925E-2</v>
      </c>
    </row>
    <row r="508" spans="12:17" x14ac:dyDescent="0.3">
      <c r="L508" s="10">
        <f ca="1"/>
        <v>45504.229166666664</v>
      </c>
      <c r="M508" s="50">
        <f ca="1"/>
        <v>64628</v>
      </c>
      <c r="N508" s="51">
        <f t="shared" ca="1" si="21"/>
        <v>3231.4</v>
      </c>
      <c r="O508" s="51">
        <f ca="1">MAX(N508:$N$732)</f>
        <v>3653.6205000000004</v>
      </c>
      <c r="P508" s="52">
        <f t="shared" ca="1" si="22"/>
        <v>-0.11556222109001203</v>
      </c>
      <c r="Q508" s="43">
        <f t="shared" ca="1" si="23"/>
        <v>-1.1171199683345102E-2</v>
      </c>
    </row>
    <row r="509" spans="12:17" x14ac:dyDescent="0.3">
      <c r="L509" s="10">
        <f ca="1"/>
        <v>45503.229166666664</v>
      </c>
      <c r="M509" s="50">
        <f ca="1"/>
        <v>66188</v>
      </c>
      <c r="N509" s="51">
        <f t="shared" ca="1" si="21"/>
        <v>3309.4</v>
      </c>
      <c r="O509" s="51">
        <f ca="1">MAX(N509:$N$732)</f>
        <v>3653.6205000000004</v>
      </c>
      <c r="P509" s="52">
        <f t="shared" ca="1" si="22"/>
        <v>-9.4213534219002859E-2</v>
      </c>
      <c r="Q509" s="43">
        <f t="shared" ca="1" si="23"/>
        <v>2.3851424215013673E-2</v>
      </c>
    </row>
    <row r="510" spans="12:17" x14ac:dyDescent="0.3">
      <c r="L510" s="10">
        <f ca="1"/>
        <v>45502.229166666664</v>
      </c>
      <c r="M510" s="50">
        <f ca="1"/>
        <v>66784.69</v>
      </c>
      <c r="N510" s="51">
        <f t="shared" ca="1" si="21"/>
        <v>3339.2345000000005</v>
      </c>
      <c r="O510" s="51">
        <f ca="1">MAX(N510:$N$732)</f>
        <v>3653.6205000000004</v>
      </c>
      <c r="P510" s="52">
        <f t="shared" ca="1" si="22"/>
        <v>-8.6047798341398599E-2</v>
      </c>
      <c r="Q510" s="43">
        <f t="shared" ca="1" si="23"/>
        <v>8.9746850278235556E-3</v>
      </c>
    </row>
    <row r="511" spans="12:17" x14ac:dyDescent="0.3">
      <c r="L511" s="10">
        <f ca="1"/>
        <v>45501.229166666664</v>
      </c>
      <c r="M511" s="50">
        <f ca="1"/>
        <v>68249.88</v>
      </c>
      <c r="N511" s="51">
        <f t="shared" ca="1" si="21"/>
        <v>3412.4940000000006</v>
      </c>
      <c r="O511" s="51">
        <f ca="1">MAX(N511:$N$732)</f>
        <v>3653.6205000000004</v>
      </c>
      <c r="P511" s="52">
        <f t="shared" ca="1" si="22"/>
        <v>-6.5996591600030657E-2</v>
      </c>
      <c r="Q511" s="43">
        <f t="shared" ca="1" si="23"/>
        <v>2.1701813164343942E-2</v>
      </c>
    </row>
    <row r="512" spans="12:17" x14ac:dyDescent="0.3">
      <c r="L512" s="10">
        <f ca="1"/>
        <v>45500.229166666664</v>
      </c>
      <c r="M512" s="50">
        <f ca="1"/>
        <v>67896.5</v>
      </c>
      <c r="N512" s="51">
        <f t="shared" ca="1" si="21"/>
        <v>3394.8250000000003</v>
      </c>
      <c r="O512" s="51">
        <f ca="1">MAX(N512:$N$732)</f>
        <v>3653.6205000000004</v>
      </c>
      <c r="P512" s="52">
        <f t="shared" ca="1" si="22"/>
        <v>-7.0832616578541785E-2</v>
      </c>
      <c r="Q512" s="43">
        <f t="shared" ca="1" si="23"/>
        <v>-5.1911889774283087E-3</v>
      </c>
    </row>
    <row r="513" spans="12:17" x14ac:dyDescent="0.3">
      <c r="L513" s="10">
        <f ca="1"/>
        <v>45499.229166666664</v>
      </c>
      <c r="M513" s="50">
        <f ca="1"/>
        <v>67907.990000000005</v>
      </c>
      <c r="N513" s="51">
        <f t="shared" ca="1" si="21"/>
        <v>3395.3995000000004</v>
      </c>
      <c r="O513" s="51">
        <f ca="1">MAX(N513:$N$732)</f>
        <v>3653.6205000000004</v>
      </c>
      <c r="P513" s="52">
        <f t="shared" ca="1" si="22"/>
        <v>-7.0675375288703352E-2</v>
      </c>
      <c r="Q513" s="43">
        <f t="shared" ca="1" si="23"/>
        <v>1.6921384598426355E-4</v>
      </c>
    </row>
    <row r="514" spans="12:17" x14ac:dyDescent="0.3">
      <c r="L514" s="10">
        <f ca="1"/>
        <v>45498.229166666664</v>
      </c>
      <c r="M514" s="50">
        <f ca="1"/>
        <v>65799.95</v>
      </c>
      <c r="N514" s="51">
        <f t="shared" ca="1" si="21"/>
        <v>3289.9974999999999</v>
      </c>
      <c r="O514" s="51">
        <f ca="1">MAX(N514:$N$732)</f>
        <v>3653.6205000000004</v>
      </c>
      <c r="P514" s="52">
        <f t="shared" ca="1" si="22"/>
        <v>-9.9524020078166422E-2</v>
      </c>
      <c r="Q514" s="43">
        <f t="shared" ca="1" si="23"/>
        <v>-3.1534622237757971E-2</v>
      </c>
    </row>
    <row r="515" spans="12:17" x14ac:dyDescent="0.3">
      <c r="L515" s="10">
        <f ca="1"/>
        <v>45497.229166666664</v>
      </c>
      <c r="M515" s="50">
        <f ca="1"/>
        <v>65376</v>
      </c>
      <c r="N515" s="51">
        <f t="shared" ref="N515:N578" ca="1" si="24">$C$6*M515</f>
        <v>3268.8</v>
      </c>
      <c r="O515" s="51">
        <f ca="1">MAX(N515:$N$732)</f>
        <v>3653.6205000000004</v>
      </c>
      <c r="P515" s="52">
        <f t="shared" ref="P515:P578" ca="1" si="25">(N515 - O515)/O515</f>
        <v>-0.10532579943647684</v>
      </c>
      <c r="Q515" s="43">
        <f t="shared" ca="1" si="23"/>
        <v>-6.4638598173517086E-3</v>
      </c>
    </row>
    <row r="516" spans="12:17" x14ac:dyDescent="0.3">
      <c r="L516" s="10">
        <f ca="1"/>
        <v>45496.229166666664</v>
      </c>
      <c r="M516" s="50">
        <f ca="1"/>
        <v>65936.009999999995</v>
      </c>
      <c r="N516" s="51">
        <f t="shared" ca="1" si="24"/>
        <v>3296.8004999999998</v>
      </c>
      <c r="O516" s="51">
        <f ca="1">MAX(N516:$N$732)</f>
        <v>3653.6205000000004</v>
      </c>
      <c r="P516" s="52">
        <f t="shared" ca="1" si="25"/>
        <v>-9.766203140145524E-2</v>
      </c>
      <c r="Q516" s="43">
        <f t="shared" ref="Q516:Q579" ca="1" si="26">LN(N516 / N515)</f>
        <v>8.5295076234562766E-3</v>
      </c>
    </row>
    <row r="517" spans="12:17" x14ac:dyDescent="0.3">
      <c r="L517" s="10">
        <f ca="1"/>
        <v>45495.229166666664</v>
      </c>
      <c r="M517" s="50">
        <f ca="1"/>
        <v>67532.009999999995</v>
      </c>
      <c r="N517" s="51">
        <f t="shared" ca="1" si="24"/>
        <v>3376.6005</v>
      </c>
      <c r="O517" s="51">
        <f ca="1">MAX(N517:$N$732)</f>
        <v>3653.6205000000004</v>
      </c>
      <c r="P517" s="52">
        <f t="shared" ca="1" si="25"/>
        <v>-7.5820682525730404E-2</v>
      </c>
      <c r="Q517" s="43">
        <f t="shared" ca="1" si="26"/>
        <v>2.3916981434216642E-2</v>
      </c>
    </row>
    <row r="518" spans="12:17" x14ac:dyDescent="0.3">
      <c r="L518" s="10">
        <f ca="1"/>
        <v>45494.229166666664</v>
      </c>
      <c r="M518" s="50">
        <f ca="1"/>
        <v>68165.34</v>
      </c>
      <c r="N518" s="51">
        <f t="shared" ca="1" si="24"/>
        <v>3408.2669999999998</v>
      </c>
      <c r="O518" s="51">
        <f ca="1">MAX(N518:$N$732)</f>
        <v>3653.6205000000004</v>
      </c>
      <c r="P518" s="52">
        <f t="shared" ca="1" si="25"/>
        <v>-6.7153526207771333E-2</v>
      </c>
      <c r="Q518" s="43">
        <f t="shared" ca="1" si="26"/>
        <v>9.3345168297835433E-3</v>
      </c>
    </row>
    <row r="519" spans="12:17" x14ac:dyDescent="0.3">
      <c r="L519" s="10">
        <f ca="1"/>
        <v>45493.229166666664</v>
      </c>
      <c r="M519" s="50">
        <f ca="1"/>
        <v>67139.960000000006</v>
      </c>
      <c r="N519" s="51">
        <f t="shared" ca="1" si="24"/>
        <v>3356.9980000000005</v>
      </c>
      <c r="O519" s="51">
        <f ca="1">MAX(N519:$N$732)</f>
        <v>3653.6205000000004</v>
      </c>
      <c r="P519" s="52">
        <f t="shared" ca="1" si="25"/>
        <v>-8.1185908607639981E-2</v>
      </c>
      <c r="Q519" s="43">
        <f t="shared" ca="1" si="26"/>
        <v>-1.5156828740989241E-2</v>
      </c>
    </row>
    <row r="520" spans="12:17" x14ac:dyDescent="0.3">
      <c r="L520" s="10">
        <f ca="1"/>
        <v>45492.229166666664</v>
      </c>
      <c r="M520" s="50">
        <f ca="1"/>
        <v>66660</v>
      </c>
      <c r="N520" s="51">
        <f t="shared" ca="1" si="24"/>
        <v>3333</v>
      </c>
      <c r="O520" s="51">
        <f ca="1">MAX(N520:$N$732)</f>
        <v>3653.6205000000004</v>
      </c>
      <c r="P520" s="52">
        <f t="shared" ca="1" si="25"/>
        <v>-8.7754187934953945E-2</v>
      </c>
      <c r="Q520" s="43">
        <f t="shared" ca="1" si="26"/>
        <v>-7.1743229020851751E-3</v>
      </c>
    </row>
    <row r="521" spans="12:17" x14ac:dyDescent="0.3">
      <c r="L521" s="10">
        <f ca="1"/>
        <v>45491.229166666664</v>
      </c>
      <c r="M521" s="50">
        <f ca="1"/>
        <v>63987.92</v>
      </c>
      <c r="N521" s="51">
        <f t="shared" ca="1" si="24"/>
        <v>3199.3960000000002</v>
      </c>
      <c r="O521" s="51">
        <f ca="1">MAX(N521:$N$732)</f>
        <v>3653.6205000000004</v>
      </c>
      <c r="P521" s="52">
        <f t="shared" ca="1" si="25"/>
        <v>-0.12432175153385532</v>
      </c>
      <c r="Q521" s="43">
        <f t="shared" ca="1" si="26"/>
        <v>-4.0910757335444824E-2</v>
      </c>
    </row>
    <row r="522" spans="12:17" x14ac:dyDescent="0.3">
      <c r="L522" s="10">
        <f ca="1"/>
        <v>45490.229166666664</v>
      </c>
      <c r="M522" s="50">
        <f ca="1"/>
        <v>64087.99</v>
      </c>
      <c r="N522" s="51">
        <f t="shared" ca="1" si="24"/>
        <v>3204.3995</v>
      </c>
      <c r="O522" s="51">
        <f ca="1">MAX(N522:$N$732)</f>
        <v>3653.6205000000004</v>
      </c>
      <c r="P522" s="52">
        <f t="shared" ca="1" si="25"/>
        <v>-0.12295228801130287</v>
      </c>
      <c r="Q522" s="43">
        <f t="shared" ca="1" si="26"/>
        <v>1.5626673332033087E-3</v>
      </c>
    </row>
    <row r="523" spans="12:17" x14ac:dyDescent="0.3">
      <c r="L523" s="10">
        <f ca="1"/>
        <v>45489.229166666664</v>
      </c>
      <c r="M523" s="50">
        <f ca="1"/>
        <v>65043.99</v>
      </c>
      <c r="N523" s="51">
        <f t="shared" ca="1" si="24"/>
        <v>3252.1995000000002</v>
      </c>
      <c r="O523" s="51">
        <f ca="1">MAX(N523:$N$732)</f>
        <v>3653.6205000000004</v>
      </c>
      <c r="P523" s="52">
        <f t="shared" ca="1" si="25"/>
        <v>-0.10986937477496643</v>
      </c>
      <c r="Q523" s="43">
        <f t="shared" ca="1" si="26"/>
        <v>1.4806827344029811E-2</v>
      </c>
    </row>
    <row r="524" spans="12:17" x14ac:dyDescent="0.3">
      <c r="L524" s="10">
        <f ca="1"/>
        <v>45488.229166666664</v>
      </c>
      <c r="M524" s="50">
        <f ca="1"/>
        <v>64724.14</v>
      </c>
      <c r="N524" s="51">
        <f t="shared" ca="1" si="24"/>
        <v>3236.2070000000003</v>
      </c>
      <c r="O524" s="51">
        <f ca="1">MAX(N524:$N$732)</f>
        <v>3653.6205000000004</v>
      </c>
      <c r="P524" s="52">
        <f t="shared" ca="1" si="25"/>
        <v>-0.11424653983630759</v>
      </c>
      <c r="Q524" s="43">
        <f t="shared" ca="1" si="26"/>
        <v>-4.9295716554445578E-3</v>
      </c>
    </row>
    <row r="525" spans="12:17" x14ac:dyDescent="0.3">
      <c r="L525" s="10">
        <f ca="1"/>
        <v>45487.229166666664</v>
      </c>
      <c r="M525" s="50">
        <f ca="1"/>
        <v>60797.91</v>
      </c>
      <c r="N525" s="51">
        <f t="shared" ca="1" si="24"/>
        <v>3039.8955000000005</v>
      </c>
      <c r="O525" s="51">
        <f ca="1">MAX(N525:$N$732)</f>
        <v>3653.6205000000004</v>
      </c>
      <c r="P525" s="52">
        <f t="shared" ca="1" si="25"/>
        <v>-0.16797721602448853</v>
      </c>
      <c r="Q525" s="43">
        <f t="shared" ca="1" si="26"/>
        <v>-6.2578825184649828E-2</v>
      </c>
    </row>
    <row r="526" spans="12:17" x14ac:dyDescent="0.3">
      <c r="L526" s="10">
        <f ca="1"/>
        <v>45486.229166666664</v>
      </c>
      <c r="M526" s="50">
        <f ca="1"/>
        <v>59204.02</v>
      </c>
      <c r="N526" s="51">
        <f t="shared" ca="1" si="24"/>
        <v>2960.201</v>
      </c>
      <c r="O526" s="51">
        <f ca="1">MAX(N526:$N$732)</f>
        <v>3653.6205000000004</v>
      </c>
      <c r="P526" s="52">
        <f t="shared" ca="1" si="25"/>
        <v>-0.18978968943271485</v>
      </c>
      <c r="Q526" s="43">
        <f t="shared" ca="1" si="26"/>
        <v>-2.6565968391389944E-2</v>
      </c>
    </row>
    <row r="527" spans="12:17" x14ac:dyDescent="0.3">
      <c r="L527" s="10">
        <f ca="1"/>
        <v>45485.229166666664</v>
      </c>
      <c r="M527" s="50">
        <f ca="1"/>
        <v>57889.1</v>
      </c>
      <c r="N527" s="51">
        <f t="shared" ca="1" si="24"/>
        <v>2894.4549999999999</v>
      </c>
      <c r="O527" s="51">
        <f ca="1">MAX(N527:$N$732)</f>
        <v>3653.6205000000004</v>
      </c>
      <c r="P527" s="52">
        <f t="shared" ca="1" si="25"/>
        <v>-0.20778444285606576</v>
      </c>
      <c r="Q527" s="43">
        <f t="shared" ca="1" si="26"/>
        <v>-2.2460333746386427E-2</v>
      </c>
    </row>
    <row r="528" spans="12:17" x14ac:dyDescent="0.3">
      <c r="L528" s="10">
        <f ca="1"/>
        <v>45484.229166666664</v>
      </c>
      <c r="M528" s="50">
        <f ca="1"/>
        <v>57339.89</v>
      </c>
      <c r="N528" s="51">
        <f t="shared" ca="1" si="24"/>
        <v>2866.9945000000002</v>
      </c>
      <c r="O528" s="51">
        <f ca="1">MAX(N528:$N$732)</f>
        <v>3653.6205000000004</v>
      </c>
      <c r="P528" s="52">
        <f t="shared" ca="1" si="25"/>
        <v>-0.2153004122896727</v>
      </c>
      <c r="Q528" s="43">
        <f t="shared" ca="1" si="26"/>
        <v>-9.5325691717110771E-3</v>
      </c>
    </row>
    <row r="529" spans="12:17" x14ac:dyDescent="0.3">
      <c r="L529" s="10">
        <f ca="1"/>
        <v>45483.229166666664</v>
      </c>
      <c r="M529" s="50">
        <f ca="1"/>
        <v>57725.85</v>
      </c>
      <c r="N529" s="51">
        <f t="shared" ca="1" si="24"/>
        <v>2886.2925</v>
      </c>
      <c r="O529" s="51">
        <f ca="1">MAX(N529:$N$732)</f>
        <v>3653.6205000000004</v>
      </c>
      <c r="P529" s="52">
        <f t="shared" ca="1" si="25"/>
        <v>-0.21001852819689409</v>
      </c>
      <c r="Q529" s="43">
        <f t="shared" ca="1" si="26"/>
        <v>6.7085380495199489E-3</v>
      </c>
    </row>
    <row r="530" spans="12:17" x14ac:dyDescent="0.3">
      <c r="L530" s="10">
        <f ca="1"/>
        <v>45482.229166666664</v>
      </c>
      <c r="M530" s="50">
        <f ca="1"/>
        <v>58050</v>
      </c>
      <c r="N530" s="51">
        <f t="shared" ca="1" si="24"/>
        <v>2902.5</v>
      </c>
      <c r="O530" s="51">
        <f ca="1">MAX(N530:$N$732)</f>
        <v>3653.6205000000004</v>
      </c>
      <c r="P530" s="52">
        <f t="shared" ca="1" si="25"/>
        <v>-0.20558251739610076</v>
      </c>
      <c r="Q530" s="43">
        <f t="shared" ca="1" si="26"/>
        <v>5.5996280225802317E-3</v>
      </c>
    </row>
    <row r="531" spans="12:17" x14ac:dyDescent="0.3">
      <c r="L531" s="10">
        <f ca="1"/>
        <v>45481.229166666664</v>
      </c>
      <c r="M531" s="50">
        <f ca="1"/>
        <v>56714.62</v>
      </c>
      <c r="N531" s="51">
        <f t="shared" ca="1" si="24"/>
        <v>2835.7310000000002</v>
      </c>
      <c r="O531" s="51">
        <f ca="1">MAX(N531:$N$732)</f>
        <v>3653.6205000000004</v>
      </c>
      <c r="P531" s="52">
        <f t="shared" ca="1" si="25"/>
        <v>-0.2238572670587983</v>
      </c>
      <c r="Q531" s="43">
        <f t="shared" ca="1" si="26"/>
        <v>-2.327268232284499E-2</v>
      </c>
    </row>
    <row r="532" spans="12:17" x14ac:dyDescent="0.3">
      <c r="L532" s="10">
        <f ca="1"/>
        <v>45480.229166666664</v>
      </c>
      <c r="M532" s="50">
        <f ca="1"/>
        <v>55857.81</v>
      </c>
      <c r="N532" s="51">
        <f t="shared" ca="1" si="24"/>
        <v>2792.8905</v>
      </c>
      <c r="O532" s="51">
        <f ca="1">MAX(N532:$N$732)</f>
        <v>3653.6205000000004</v>
      </c>
      <c r="P532" s="52">
        <f t="shared" ca="1" si="25"/>
        <v>-0.23558275962158642</v>
      </c>
      <c r="Q532" s="43">
        <f t="shared" ca="1" si="26"/>
        <v>-1.5222671228313587E-2</v>
      </c>
    </row>
    <row r="533" spans="12:17" x14ac:dyDescent="0.3">
      <c r="L533" s="10">
        <f ca="1"/>
        <v>45479.229166666664</v>
      </c>
      <c r="M533" s="50">
        <f ca="1"/>
        <v>58230.13</v>
      </c>
      <c r="N533" s="51">
        <f t="shared" ca="1" si="24"/>
        <v>2911.5065</v>
      </c>
      <c r="O533" s="51">
        <f ca="1">MAX(N533:$N$732)</f>
        <v>3653.6205000000004</v>
      </c>
      <c r="P533" s="52">
        <f t="shared" ca="1" si="25"/>
        <v>-0.20311742831528354</v>
      </c>
      <c r="Q533" s="43">
        <f t="shared" ca="1" si="26"/>
        <v>4.1593563779983814E-2</v>
      </c>
    </row>
    <row r="534" spans="12:17" x14ac:dyDescent="0.3">
      <c r="L534" s="10">
        <f ca="1"/>
        <v>45478.229166666664</v>
      </c>
      <c r="M534" s="50">
        <f ca="1"/>
        <v>56628.79</v>
      </c>
      <c r="N534" s="51">
        <f t="shared" ca="1" si="24"/>
        <v>2831.4395000000004</v>
      </c>
      <c r="O534" s="51">
        <f ca="1">MAX(N534:$N$732)</f>
        <v>3653.6205000000004</v>
      </c>
      <c r="P534" s="52">
        <f t="shared" ca="1" si="25"/>
        <v>-0.22503185538837434</v>
      </c>
      <c r="Q534" s="43">
        <f t="shared" ca="1" si="26"/>
        <v>-2.7885405242015941E-2</v>
      </c>
    </row>
    <row r="535" spans="12:17" x14ac:dyDescent="0.3">
      <c r="L535" s="10">
        <f ca="1"/>
        <v>45477.229166666664</v>
      </c>
      <c r="M535" s="50">
        <f ca="1"/>
        <v>57050.01</v>
      </c>
      <c r="N535" s="51">
        <f t="shared" ca="1" si="24"/>
        <v>2852.5005000000001</v>
      </c>
      <c r="O535" s="51">
        <f ca="1">MAX(N535:$N$732)</f>
        <v>3653.6205000000004</v>
      </c>
      <c r="P535" s="52">
        <f t="shared" ca="1" si="25"/>
        <v>-0.21926743623208822</v>
      </c>
      <c r="Q535" s="43">
        <f t="shared" ca="1" si="26"/>
        <v>7.4107384621974895E-3</v>
      </c>
    </row>
    <row r="536" spans="12:17" x14ac:dyDescent="0.3">
      <c r="L536" s="10">
        <f ca="1"/>
        <v>45476.229166666664</v>
      </c>
      <c r="M536" s="50">
        <f ca="1"/>
        <v>60208.58</v>
      </c>
      <c r="N536" s="51">
        <f t="shared" ca="1" si="24"/>
        <v>3010.4290000000001</v>
      </c>
      <c r="O536" s="51">
        <f ca="1">MAX(N536:$N$732)</f>
        <v>3653.6205000000004</v>
      </c>
      <c r="P536" s="52">
        <f t="shared" ca="1" si="25"/>
        <v>-0.17604222989223983</v>
      </c>
      <c r="Q536" s="43">
        <f t="shared" ca="1" si="26"/>
        <v>5.3886615483100725E-2</v>
      </c>
    </row>
    <row r="537" spans="12:17" x14ac:dyDescent="0.3">
      <c r="L537" s="10">
        <f ca="1"/>
        <v>45475.229166666664</v>
      </c>
      <c r="M537" s="50">
        <f ca="1"/>
        <v>62135.47</v>
      </c>
      <c r="N537" s="51">
        <f t="shared" ca="1" si="24"/>
        <v>3106.7735000000002</v>
      </c>
      <c r="O537" s="51">
        <f ca="1">MAX(N537:$N$732)</f>
        <v>3653.6205000000004</v>
      </c>
      <c r="P537" s="52">
        <f t="shared" ca="1" si="25"/>
        <v>-0.14967263294039437</v>
      </c>
      <c r="Q537" s="43">
        <f t="shared" ca="1" si="26"/>
        <v>3.1502134328122558E-2</v>
      </c>
    </row>
    <row r="538" spans="12:17" x14ac:dyDescent="0.3">
      <c r="L538" s="10">
        <f ca="1"/>
        <v>45474.229166666664</v>
      </c>
      <c r="M538" s="50">
        <f ca="1"/>
        <v>62899.99</v>
      </c>
      <c r="N538" s="51">
        <f t="shared" ca="1" si="24"/>
        <v>3144.9994999999999</v>
      </c>
      <c r="O538" s="51">
        <f ca="1">MAX(N538:$N$732)</f>
        <v>3653.6205000000004</v>
      </c>
      <c r="P538" s="52">
        <f t="shared" ca="1" si="25"/>
        <v>-0.13921013416691758</v>
      </c>
      <c r="Q538" s="43">
        <f t="shared" ca="1" si="26"/>
        <v>1.2229003319739869E-2</v>
      </c>
    </row>
    <row r="539" spans="12:17" x14ac:dyDescent="0.3">
      <c r="L539" s="10">
        <f ca="1"/>
        <v>45473.229166666664</v>
      </c>
      <c r="M539" s="50">
        <f ca="1"/>
        <v>62772.01</v>
      </c>
      <c r="N539" s="51">
        <f t="shared" ca="1" si="24"/>
        <v>3138.6005000000005</v>
      </c>
      <c r="O539" s="51">
        <f ca="1">MAX(N539:$N$732)</f>
        <v>3653.6205000000004</v>
      </c>
      <c r="P539" s="52">
        <f t="shared" ca="1" si="25"/>
        <v>-0.14096154759368137</v>
      </c>
      <c r="Q539" s="43">
        <f t="shared" ca="1" si="26"/>
        <v>-2.0367312407112183E-3</v>
      </c>
    </row>
    <row r="540" spans="12:17" x14ac:dyDescent="0.3">
      <c r="L540" s="10">
        <f ca="1"/>
        <v>45472.229166666664</v>
      </c>
      <c r="M540" s="50">
        <f ca="1"/>
        <v>60986.68</v>
      </c>
      <c r="N540" s="51">
        <f t="shared" ca="1" si="24"/>
        <v>3049.3340000000003</v>
      </c>
      <c r="O540" s="51">
        <f ca="1">MAX(N540:$N$732)</f>
        <v>3653.6205000000004</v>
      </c>
      <c r="P540" s="52">
        <f t="shared" ca="1" si="25"/>
        <v>-0.16539388806253963</v>
      </c>
      <c r="Q540" s="43">
        <f t="shared" ca="1" si="26"/>
        <v>-2.8853793809744521E-2</v>
      </c>
    </row>
    <row r="541" spans="12:17" x14ac:dyDescent="0.3">
      <c r="L541" s="10">
        <f ca="1"/>
        <v>45471.229166666664</v>
      </c>
      <c r="M541" s="50">
        <f ca="1"/>
        <v>60427.839999999997</v>
      </c>
      <c r="N541" s="51">
        <f t="shared" ca="1" si="24"/>
        <v>3021.3919999999998</v>
      </c>
      <c r="O541" s="51">
        <f ca="1">MAX(N541:$N$732)</f>
        <v>3653.6205000000004</v>
      </c>
      <c r="P541" s="52">
        <f t="shared" ca="1" si="25"/>
        <v>-0.1730416445824082</v>
      </c>
      <c r="Q541" s="43">
        <f t="shared" ca="1" si="26"/>
        <v>-9.205553774616633E-3</v>
      </c>
    </row>
    <row r="542" spans="12:17" x14ac:dyDescent="0.3">
      <c r="L542" s="10">
        <f ca="1"/>
        <v>45470.229166666664</v>
      </c>
      <c r="M542" s="50">
        <f ca="1"/>
        <v>61706.47</v>
      </c>
      <c r="N542" s="51">
        <f t="shared" ca="1" si="24"/>
        <v>3085.3235000000004</v>
      </c>
      <c r="O542" s="51">
        <f ca="1">MAX(N542:$N$732)</f>
        <v>3653.6205000000004</v>
      </c>
      <c r="P542" s="52">
        <f t="shared" ca="1" si="25"/>
        <v>-0.15554352182992184</v>
      </c>
      <c r="Q542" s="43">
        <f t="shared" ca="1" si="26"/>
        <v>2.0938861751513178E-2</v>
      </c>
    </row>
    <row r="543" spans="12:17" x14ac:dyDescent="0.3">
      <c r="L543" s="10">
        <f ca="1"/>
        <v>45469.229166666664</v>
      </c>
      <c r="M543" s="50">
        <f ca="1"/>
        <v>60864.99</v>
      </c>
      <c r="N543" s="51">
        <f t="shared" ca="1" si="24"/>
        <v>3043.2494999999999</v>
      </c>
      <c r="O543" s="51">
        <f ca="1">MAX(N543:$N$732)</f>
        <v>3653.6205000000004</v>
      </c>
      <c r="P543" s="52">
        <f t="shared" ca="1" si="25"/>
        <v>-0.16705922248903532</v>
      </c>
      <c r="Q543" s="43">
        <f t="shared" ca="1" si="26"/>
        <v>-1.373065508680163E-2</v>
      </c>
    </row>
    <row r="544" spans="12:17" x14ac:dyDescent="0.3">
      <c r="L544" s="10">
        <f ca="1"/>
        <v>45468.229166666664</v>
      </c>
      <c r="M544" s="50">
        <f ca="1"/>
        <v>61806.01</v>
      </c>
      <c r="N544" s="51">
        <f t="shared" ca="1" si="24"/>
        <v>3090.3005000000003</v>
      </c>
      <c r="O544" s="51">
        <f ca="1">MAX(N544:$N$732)</f>
        <v>3653.6205000000004</v>
      </c>
      <c r="P544" s="52">
        <f t="shared" ca="1" si="25"/>
        <v>-0.15418131138688326</v>
      </c>
      <c r="Q544" s="43">
        <f t="shared" ca="1" si="26"/>
        <v>1.534247636267813E-2</v>
      </c>
    </row>
    <row r="545" spans="12:17" x14ac:dyDescent="0.3">
      <c r="L545" s="10">
        <f ca="1"/>
        <v>45467.229166666664</v>
      </c>
      <c r="M545" s="50">
        <f ca="1"/>
        <v>60293.3</v>
      </c>
      <c r="N545" s="51">
        <f t="shared" ca="1" si="24"/>
        <v>3014.6650000000004</v>
      </c>
      <c r="O545" s="51">
        <f ca="1">MAX(N545:$N$732)</f>
        <v>3653.6205000000004</v>
      </c>
      <c r="P545" s="52">
        <f t="shared" ca="1" si="25"/>
        <v>-0.17488283197447571</v>
      </c>
      <c r="Q545" s="43">
        <f t="shared" ca="1" si="26"/>
        <v>-2.4779622477455653E-2</v>
      </c>
    </row>
    <row r="546" spans="12:17" x14ac:dyDescent="0.3">
      <c r="L546" s="10">
        <f ca="1"/>
        <v>45466.229166666664</v>
      </c>
      <c r="M546" s="50">
        <f ca="1"/>
        <v>63210.01</v>
      </c>
      <c r="N546" s="51">
        <f t="shared" ca="1" si="24"/>
        <v>3160.5005000000001</v>
      </c>
      <c r="O546" s="51">
        <f ca="1">MAX(N546:$N$732)</f>
        <v>3653.6205000000004</v>
      </c>
      <c r="P546" s="52">
        <f t="shared" ca="1" si="25"/>
        <v>-0.13496749320297505</v>
      </c>
      <c r="Q546" s="43">
        <f t="shared" ca="1" si="26"/>
        <v>4.7241688238278907E-2</v>
      </c>
    </row>
    <row r="547" spans="12:17" x14ac:dyDescent="0.3">
      <c r="L547" s="10">
        <f ca="1"/>
        <v>45465.229166666664</v>
      </c>
      <c r="M547" s="50">
        <f ca="1"/>
        <v>64262.01</v>
      </c>
      <c r="N547" s="51">
        <f t="shared" ca="1" si="24"/>
        <v>3213.1005000000005</v>
      </c>
      <c r="O547" s="51">
        <f ca="1">MAX(N547:$N$732)</f>
        <v>3653.6205000000004</v>
      </c>
      <c r="P547" s="52">
        <f t="shared" ca="1" si="25"/>
        <v>-0.1205708146207303</v>
      </c>
      <c r="Q547" s="43">
        <f t="shared" ca="1" si="26"/>
        <v>1.6505957689856375E-2</v>
      </c>
    </row>
    <row r="548" spans="12:17" x14ac:dyDescent="0.3">
      <c r="L548" s="10">
        <f ca="1"/>
        <v>45464.229166666664</v>
      </c>
      <c r="M548" s="50">
        <f ca="1"/>
        <v>64143.56</v>
      </c>
      <c r="N548" s="51">
        <f t="shared" ca="1" si="24"/>
        <v>3207.1779999999999</v>
      </c>
      <c r="O548" s="51">
        <f ca="1">MAX(N548:$N$732)</f>
        <v>3653.6205000000004</v>
      </c>
      <c r="P548" s="52">
        <f t="shared" ca="1" si="25"/>
        <v>-0.12219180946680164</v>
      </c>
      <c r="Q548" s="43">
        <f t="shared" ca="1" si="26"/>
        <v>-1.8449360662196102E-3</v>
      </c>
    </row>
    <row r="549" spans="12:17" x14ac:dyDescent="0.3">
      <c r="L549" s="10">
        <f ca="1"/>
        <v>45463.229166666664</v>
      </c>
      <c r="M549" s="50">
        <f ca="1"/>
        <v>64869.99</v>
      </c>
      <c r="N549" s="51">
        <f t="shared" ca="1" si="24"/>
        <v>3243.4994999999999</v>
      </c>
      <c r="O549" s="51">
        <f ca="1">MAX(N549:$N$732)</f>
        <v>3653.6205000000004</v>
      </c>
      <c r="P549" s="52">
        <f t="shared" ca="1" si="25"/>
        <v>-0.11225057446442521</v>
      </c>
      <c r="Q549" s="43">
        <f t="shared" ca="1" si="26"/>
        <v>1.1261416759841686E-2</v>
      </c>
    </row>
    <row r="550" spans="12:17" x14ac:dyDescent="0.3">
      <c r="L550" s="10">
        <f ca="1"/>
        <v>45462.229166666664</v>
      </c>
      <c r="M550" s="50">
        <f ca="1"/>
        <v>64974.37</v>
      </c>
      <c r="N550" s="51">
        <f t="shared" ca="1" si="24"/>
        <v>3248.7185000000004</v>
      </c>
      <c r="O550" s="51">
        <f ca="1">MAX(N550:$N$732)</f>
        <v>3653.6205000000004</v>
      </c>
      <c r="P550" s="52">
        <f t="shared" ca="1" si="25"/>
        <v>-0.11082212835186359</v>
      </c>
      <c r="Q550" s="43">
        <f t="shared" ca="1" si="26"/>
        <v>1.6077713731205861E-3</v>
      </c>
    </row>
    <row r="551" spans="12:17" x14ac:dyDescent="0.3">
      <c r="L551" s="10">
        <f ca="1"/>
        <v>45461.229166666664</v>
      </c>
      <c r="M551" s="50">
        <f ca="1"/>
        <v>65175.32</v>
      </c>
      <c r="N551" s="51">
        <f t="shared" ca="1" si="24"/>
        <v>3258.7660000000001</v>
      </c>
      <c r="O551" s="51">
        <f ca="1">MAX(N551:$N$732)</f>
        <v>3653.6205000000004</v>
      </c>
      <c r="P551" s="52">
        <f t="shared" ca="1" si="25"/>
        <v>-0.10807211641165258</v>
      </c>
      <c r="Q551" s="43">
        <f t="shared" ca="1" si="26"/>
        <v>3.0879852219766303E-3</v>
      </c>
    </row>
    <row r="552" spans="12:17" x14ac:dyDescent="0.3">
      <c r="L552" s="10">
        <f ca="1"/>
        <v>45460.229166666664</v>
      </c>
      <c r="M552" s="50">
        <f ca="1"/>
        <v>66504.33</v>
      </c>
      <c r="N552" s="51">
        <f t="shared" ca="1" si="24"/>
        <v>3325.2165000000005</v>
      </c>
      <c r="O552" s="51">
        <f ca="1">MAX(N552:$N$732)</f>
        <v>3653.6205000000004</v>
      </c>
      <c r="P552" s="52">
        <f t="shared" ca="1" si="25"/>
        <v>-8.9884540553678186E-2</v>
      </c>
      <c r="Q552" s="43">
        <f t="shared" ca="1" si="26"/>
        <v>2.0186188658431845E-2</v>
      </c>
    </row>
    <row r="553" spans="12:17" x14ac:dyDescent="0.3">
      <c r="L553" s="10">
        <f ca="1"/>
        <v>45459.229166666664</v>
      </c>
      <c r="M553" s="50">
        <f ca="1"/>
        <v>66676.87</v>
      </c>
      <c r="N553" s="51">
        <f t="shared" ca="1" si="24"/>
        <v>3333.8434999999999</v>
      </c>
      <c r="O553" s="51">
        <f ca="1">MAX(N553:$N$732)</f>
        <v>3653.6205000000004</v>
      </c>
      <c r="P553" s="52">
        <f t="shared" ca="1" si="25"/>
        <v>-8.7523321045521962E-2</v>
      </c>
      <c r="Q553" s="43">
        <f t="shared" ca="1" si="26"/>
        <v>2.5910578449522613E-3</v>
      </c>
    </row>
    <row r="554" spans="12:17" x14ac:dyDescent="0.3">
      <c r="L554" s="10">
        <f ca="1"/>
        <v>45458.229166666664</v>
      </c>
      <c r="M554" s="50">
        <f ca="1"/>
        <v>66228.25</v>
      </c>
      <c r="N554" s="51">
        <f t="shared" ca="1" si="24"/>
        <v>3311.4125000000004</v>
      </c>
      <c r="O554" s="51">
        <f ca="1">MAX(N554:$N$732)</f>
        <v>3653.6205000000004</v>
      </c>
      <c r="P554" s="52">
        <f t="shared" ca="1" si="25"/>
        <v>-9.3662710727619364E-2</v>
      </c>
      <c r="Q554" s="43">
        <f t="shared" ca="1" si="26"/>
        <v>-6.7510070922937836E-3</v>
      </c>
    </row>
    <row r="555" spans="12:17" x14ac:dyDescent="0.3">
      <c r="L555" s="10">
        <f ca="1"/>
        <v>45457.229166666664</v>
      </c>
      <c r="M555" s="50">
        <f ca="1"/>
        <v>66043.990000000005</v>
      </c>
      <c r="N555" s="51">
        <f t="shared" ca="1" si="24"/>
        <v>3302.1995000000006</v>
      </c>
      <c r="O555" s="51">
        <f ca="1">MAX(N555:$N$732)</f>
        <v>3653.6205000000004</v>
      </c>
      <c r="P555" s="52">
        <f t="shared" ca="1" si="25"/>
        <v>-9.6184319088421955E-2</v>
      </c>
      <c r="Q555" s="43">
        <f t="shared" ca="1" si="26"/>
        <v>-2.7860739213108462E-3</v>
      </c>
    </row>
    <row r="556" spans="12:17" x14ac:dyDescent="0.3">
      <c r="L556" s="10">
        <f ca="1"/>
        <v>45456.229166666664</v>
      </c>
      <c r="M556" s="50">
        <f ca="1"/>
        <v>66773.009999999995</v>
      </c>
      <c r="N556" s="51">
        <f t="shared" ca="1" si="24"/>
        <v>3338.6504999999997</v>
      </c>
      <c r="O556" s="51">
        <f ca="1">MAX(N556:$N$732)</f>
        <v>3653.6205000000004</v>
      </c>
      <c r="P556" s="52">
        <f t="shared" ca="1" si="25"/>
        <v>-8.6207639791817642E-2</v>
      </c>
      <c r="Q556" s="43">
        <f t="shared" ca="1" si="26"/>
        <v>1.0977921824137926E-2</v>
      </c>
    </row>
    <row r="557" spans="12:17" x14ac:dyDescent="0.3">
      <c r="L557" s="10">
        <f ca="1"/>
        <v>45455.229166666664</v>
      </c>
      <c r="M557" s="50">
        <f ca="1"/>
        <v>68263.990000000005</v>
      </c>
      <c r="N557" s="51">
        <f t="shared" ca="1" si="24"/>
        <v>3413.1995000000006</v>
      </c>
      <c r="O557" s="51">
        <f ca="1">MAX(N557:$N$732)</f>
        <v>3653.6205000000004</v>
      </c>
      <c r="P557" s="52">
        <f t="shared" ca="1" si="25"/>
        <v>-6.580349546429351E-2</v>
      </c>
      <c r="Q557" s="43">
        <f t="shared" ca="1" si="26"/>
        <v>2.2083437764671806E-2</v>
      </c>
    </row>
    <row r="558" spans="12:17" x14ac:dyDescent="0.3">
      <c r="L558" s="10">
        <f ca="1"/>
        <v>45454.229166666664</v>
      </c>
      <c r="M558" s="50">
        <f ca="1"/>
        <v>67314.240000000005</v>
      </c>
      <c r="N558" s="51">
        <f t="shared" ca="1" si="24"/>
        <v>3365.7120000000004</v>
      </c>
      <c r="O558" s="51">
        <f ca="1">MAX(N558:$N$732)</f>
        <v>3653.6205000000004</v>
      </c>
      <c r="P558" s="52">
        <f t="shared" ca="1" si="25"/>
        <v>-7.8800877102589054E-2</v>
      </c>
      <c r="Q558" s="43">
        <f t="shared" ca="1" si="26"/>
        <v>-1.4010590579490419E-2</v>
      </c>
    </row>
    <row r="559" spans="12:17" x14ac:dyDescent="0.3">
      <c r="L559" s="10">
        <f ca="1"/>
        <v>45453.229166666664</v>
      </c>
      <c r="M559" s="50">
        <f ca="1"/>
        <v>69540</v>
      </c>
      <c r="N559" s="51">
        <f t="shared" ca="1" si="24"/>
        <v>3477</v>
      </c>
      <c r="O559" s="51">
        <f ca="1">MAX(N559:$N$732)</f>
        <v>3653.6205000000004</v>
      </c>
      <c r="P559" s="52">
        <f t="shared" ca="1" si="25"/>
        <v>-4.8341227557706236E-2</v>
      </c>
      <c r="Q559" s="43">
        <f t="shared" ca="1" si="26"/>
        <v>3.25303224150299E-2</v>
      </c>
    </row>
    <row r="560" spans="12:17" x14ac:dyDescent="0.3">
      <c r="L560" s="10">
        <f ca="1"/>
        <v>45452.229166666664</v>
      </c>
      <c r="M560" s="50">
        <f ca="1"/>
        <v>69648.14</v>
      </c>
      <c r="N560" s="51">
        <f t="shared" ca="1" si="24"/>
        <v>3482.4070000000002</v>
      </c>
      <c r="O560" s="51">
        <f ca="1">MAX(N560:$N$732)</f>
        <v>3653.6205000000004</v>
      </c>
      <c r="P560" s="52">
        <f t="shared" ca="1" si="25"/>
        <v>-4.6861325635763285E-2</v>
      </c>
      <c r="Q560" s="43">
        <f t="shared" ca="1" si="26"/>
        <v>1.5538683361776074E-3</v>
      </c>
    </row>
    <row r="561" spans="12:17" x14ac:dyDescent="0.3">
      <c r="L561" s="10">
        <f ca="1"/>
        <v>45451.229166666664</v>
      </c>
      <c r="M561" s="50">
        <f ca="1"/>
        <v>69310.460000000006</v>
      </c>
      <c r="N561" s="51">
        <f t="shared" ca="1" si="24"/>
        <v>3465.5230000000006</v>
      </c>
      <c r="O561" s="51">
        <f ca="1">MAX(N561:$N$732)</f>
        <v>3653.6205000000004</v>
      </c>
      <c r="P561" s="52">
        <f t="shared" ca="1" si="25"/>
        <v>-5.1482495239995457E-2</v>
      </c>
      <c r="Q561" s="43">
        <f t="shared" ca="1" si="26"/>
        <v>-4.8601621590837855E-3</v>
      </c>
    </row>
    <row r="562" spans="12:17" x14ac:dyDescent="0.3">
      <c r="L562" s="10">
        <f ca="1"/>
        <v>45450.229166666664</v>
      </c>
      <c r="M562" s="50">
        <f ca="1"/>
        <v>69355.600000000006</v>
      </c>
      <c r="N562" s="51">
        <f t="shared" ca="1" si="24"/>
        <v>3467.7800000000007</v>
      </c>
      <c r="O562" s="51">
        <f ca="1">MAX(N562:$N$732)</f>
        <v>3653.6205000000004</v>
      </c>
      <c r="P562" s="52">
        <f t="shared" ca="1" si="25"/>
        <v>-5.086475182630483E-2</v>
      </c>
      <c r="Q562" s="43">
        <f t="shared" ca="1" si="26"/>
        <v>6.510605636952944E-4</v>
      </c>
    </row>
    <row r="563" spans="12:17" x14ac:dyDescent="0.3">
      <c r="L563" s="10">
        <f ca="1"/>
        <v>45449.229166666664</v>
      </c>
      <c r="M563" s="50">
        <f ca="1"/>
        <v>70799.06</v>
      </c>
      <c r="N563" s="51">
        <f t="shared" ca="1" si="24"/>
        <v>3539.953</v>
      </c>
      <c r="O563" s="51">
        <f ca="1">MAX(N563:$N$732)</f>
        <v>3653.6205000000004</v>
      </c>
      <c r="P563" s="52">
        <f t="shared" ca="1" si="25"/>
        <v>-3.1110921345005718E-2</v>
      </c>
      <c r="Q563" s="43">
        <f t="shared" ca="1" si="26"/>
        <v>2.0598830454873537E-2</v>
      </c>
    </row>
    <row r="564" spans="12:17" x14ac:dyDescent="0.3">
      <c r="L564" s="10">
        <f ca="1"/>
        <v>45448.229166666664</v>
      </c>
      <c r="M564" s="50">
        <f ca="1"/>
        <v>71108</v>
      </c>
      <c r="N564" s="51">
        <f t="shared" ca="1" si="24"/>
        <v>3555.4</v>
      </c>
      <c r="O564" s="51">
        <f ca="1">MAX(N564:$N$732)</f>
        <v>3653.6205000000004</v>
      </c>
      <c r="P564" s="52">
        <f t="shared" ca="1" si="25"/>
        <v>-2.6883060241204675E-2</v>
      </c>
      <c r="Q564" s="43">
        <f t="shared" ca="1" si="26"/>
        <v>4.3541242850611553E-3</v>
      </c>
    </row>
    <row r="565" spans="12:17" x14ac:dyDescent="0.3">
      <c r="L565" s="10">
        <f ca="1"/>
        <v>45447.229166666664</v>
      </c>
      <c r="M565" s="50">
        <f ca="1"/>
        <v>70537.84</v>
      </c>
      <c r="N565" s="51">
        <f t="shared" ca="1" si="24"/>
        <v>3526.8919999999998</v>
      </c>
      <c r="O565" s="51">
        <f ca="1">MAX(N565:$N$732)</f>
        <v>3653.6205000000004</v>
      </c>
      <c r="P565" s="52">
        <f t="shared" ca="1" si="25"/>
        <v>-3.468573159144487E-2</v>
      </c>
      <c r="Q565" s="43">
        <f t="shared" ca="1" si="26"/>
        <v>-8.0505446456615309E-3</v>
      </c>
    </row>
    <row r="566" spans="12:17" x14ac:dyDescent="0.3">
      <c r="L566" s="10">
        <f ca="1"/>
        <v>45446.229166666664</v>
      </c>
      <c r="M566" s="50">
        <f ca="1"/>
        <v>68809.899999999994</v>
      </c>
      <c r="N566" s="51">
        <f t="shared" ca="1" si="24"/>
        <v>3440.4949999999999</v>
      </c>
      <c r="O566" s="51">
        <f ca="1">MAX(N566:$N$732)</f>
        <v>3653.6205000000004</v>
      </c>
      <c r="P566" s="52">
        <f t="shared" ca="1" si="25"/>
        <v>-5.8332686714452291E-2</v>
      </c>
      <c r="Q566" s="43">
        <f t="shared" ca="1" si="26"/>
        <v>-2.4801673478584987E-2</v>
      </c>
    </row>
    <row r="567" spans="12:17" x14ac:dyDescent="0.3">
      <c r="L567" s="10">
        <f ca="1"/>
        <v>45445.229166666664</v>
      </c>
      <c r="M567" s="50">
        <f ca="1"/>
        <v>67765.63</v>
      </c>
      <c r="N567" s="51">
        <f t="shared" ca="1" si="24"/>
        <v>3388.2815000000005</v>
      </c>
      <c r="O567" s="51">
        <f ca="1">MAX(N567:$N$732)</f>
        <v>3653.6205000000004</v>
      </c>
      <c r="P567" s="52">
        <f t="shared" ca="1" si="25"/>
        <v>-7.2623579816239778E-2</v>
      </c>
      <c r="Q567" s="43">
        <f t="shared" ca="1" si="26"/>
        <v>-1.5292495676779178E-2</v>
      </c>
    </row>
    <row r="568" spans="12:17" x14ac:dyDescent="0.3">
      <c r="L568" s="10">
        <f ca="1"/>
        <v>45444.229166666664</v>
      </c>
      <c r="M568" s="50">
        <f ca="1"/>
        <v>67766.850000000006</v>
      </c>
      <c r="N568" s="51">
        <f t="shared" ca="1" si="24"/>
        <v>3388.3425000000007</v>
      </c>
      <c r="O568" s="51">
        <f ca="1">MAX(N568:$N$732)</f>
        <v>3653.6205000000004</v>
      </c>
      <c r="P568" s="52">
        <f t="shared" ca="1" si="25"/>
        <v>-7.2606884048302164E-2</v>
      </c>
      <c r="Q568" s="43">
        <f t="shared" ca="1" si="26"/>
        <v>1.8003064653276717E-5</v>
      </c>
    </row>
    <row r="569" spans="12:17" x14ac:dyDescent="0.3">
      <c r="L569" s="10">
        <f ca="1"/>
        <v>45443.229166666664</v>
      </c>
      <c r="M569" s="50">
        <f ca="1"/>
        <v>67540.009999999995</v>
      </c>
      <c r="N569" s="51">
        <f t="shared" ca="1" si="24"/>
        <v>3377.0005000000001</v>
      </c>
      <c r="O569" s="51">
        <f ca="1">MAX(N569:$N$732)</f>
        <v>3653.6205000000004</v>
      </c>
      <c r="P569" s="52">
        <f t="shared" ca="1" si="25"/>
        <v>-7.571120208023803E-2</v>
      </c>
      <c r="Q569" s="43">
        <f t="shared" ca="1" si="26"/>
        <v>-3.3529743062473238E-3</v>
      </c>
    </row>
    <row r="570" spans="12:17" x14ac:dyDescent="0.3">
      <c r="L570" s="10">
        <f ca="1"/>
        <v>45442.229166666664</v>
      </c>
      <c r="M570" s="50">
        <f ca="1"/>
        <v>68352.17</v>
      </c>
      <c r="N570" s="51">
        <f t="shared" ca="1" si="24"/>
        <v>3417.6085000000003</v>
      </c>
      <c r="O570" s="51">
        <f ca="1">MAX(N570:$N$732)</f>
        <v>3653.6205000000004</v>
      </c>
      <c r="P570" s="52">
        <f t="shared" ca="1" si="25"/>
        <v>-6.4596747253854128E-2</v>
      </c>
      <c r="Q570" s="43">
        <f t="shared" ca="1" si="26"/>
        <v>1.1953148002230999E-2</v>
      </c>
    </row>
    <row r="571" spans="12:17" x14ac:dyDescent="0.3">
      <c r="L571" s="10">
        <f ca="1"/>
        <v>45441.229166666664</v>
      </c>
      <c r="M571" s="50">
        <f ca="1"/>
        <v>67652.42</v>
      </c>
      <c r="N571" s="51">
        <f t="shared" ca="1" si="24"/>
        <v>3382.6210000000001</v>
      </c>
      <c r="O571" s="51">
        <f ca="1">MAX(N571:$N$732)</f>
        <v>3653.6205000000004</v>
      </c>
      <c r="P571" s="52">
        <f t="shared" ca="1" si="25"/>
        <v>-7.4172864970513577E-2</v>
      </c>
      <c r="Q571" s="43">
        <f t="shared" ca="1" si="26"/>
        <v>-1.0290184685345228E-2</v>
      </c>
    </row>
    <row r="572" spans="12:17" x14ac:dyDescent="0.3">
      <c r="L572" s="10">
        <f ca="1"/>
        <v>45440.229166666664</v>
      </c>
      <c r="M572" s="50">
        <f ca="1"/>
        <v>68398.39</v>
      </c>
      <c r="N572" s="51">
        <f t="shared" ca="1" si="24"/>
        <v>3419.9195</v>
      </c>
      <c r="O572" s="51">
        <f ca="1">MAX(N572:$N$732)</f>
        <v>3653.6205000000004</v>
      </c>
      <c r="P572" s="52">
        <f t="shared" ca="1" si="25"/>
        <v>-6.3964223980022133E-2</v>
      </c>
      <c r="Q572" s="43">
        <f t="shared" ca="1" si="26"/>
        <v>1.0966160005080484E-2</v>
      </c>
    </row>
    <row r="573" spans="12:17" x14ac:dyDescent="0.3">
      <c r="L573" s="10">
        <f ca="1"/>
        <v>45439.229166666664</v>
      </c>
      <c r="M573" s="50">
        <f ca="1"/>
        <v>69436.429999999993</v>
      </c>
      <c r="N573" s="51">
        <f t="shared" ca="1" si="24"/>
        <v>3471.8215</v>
      </c>
      <c r="O573" s="51">
        <f ca="1">MAX(N573:$N$732)</f>
        <v>3653.6205000000004</v>
      </c>
      <c r="P573" s="52">
        <f t="shared" ca="1" si="25"/>
        <v>-4.9758588775161629E-2</v>
      </c>
      <c r="Q573" s="43">
        <f t="shared" ca="1" si="26"/>
        <v>1.5062371400381039E-2</v>
      </c>
    </row>
    <row r="574" spans="12:17" x14ac:dyDescent="0.3">
      <c r="L574" s="10">
        <f ca="1"/>
        <v>45438.229166666664</v>
      </c>
      <c r="M574" s="50">
        <f ca="1"/>
        <v>68507.67</v>
      </c>
      <c r="N574" s="51">
        <f t="shared" ca="1" si="24"/>
        <v>3425.3834999999999</v>
      </c>
      <c r="O574" s="51">
        <f ca="1">MAX(N574:$N$732)</f>
        <v>3653.6205000000004</v>
      </c>
      <c r="P574" s="52">
        <f t="shared" ca="1" si="25"/>
        <v>-6.2468721094596578E-2</v>
      </c>
      <c r="Q574" s="43">
        <f t="shared" ca="1" si="26"/>
        <v>-1.3465947937329636E-2</v>
      </c>
    </row>
    <row r="575" spans="12:17" x14ac:dyDescent="0.3">
      <c r="L575" s="10">
        <f ca="1"/>
        <v>45437.229166666664</v>
      </c>
      <c r="M575" s="50">
        <f ca="1"/>
        <v>69290.570000000007</v>
      </c>
      <c r="N575" s="51">
        <f t="shared" ca="1" si="24"/>
        <v>3464.5285000000003</v>
      </c>
      <c r="O575" s="51">
        <f ca="1">MAX(N575:$N$732)</f>
        <v>3653.6205000000004</v>
      </c>
      <c r="P575" s="52">
        <f t="shared" ca="1" si="25"/>
        <v>-5.1754690997600897E-2</v>
      </c>
      <c r="Q575" s="43">
        <f t="shared" ca="1" si="26"/>
        <v>1.1363112097898139E-2</v>
      </c>
    </row>
    <row r="576" spans="12:17" x14ac:dyDescent="0.3">
      <c r="L576" s="10">
        <f ca="1"/>
        <v>45436.229166666664</v>
      </c>
      <c r="M576" s="50">
        <f ca="1"/>
        <v>68549.990000000005</v>
      </c>
      <c r="N576" s="51">
        <f t="shared" ca="1" si="24"/>
        <v>3427.4995000000004</v>
      </c>
      <c r="O576" s="51">
        <f ca="1">MAX(N576:$N$732)</f>
        <v>3653.6205000000004</v>
      </c>
      <c r="P576" s="52">
        <f t="shared" ca="1" si="25"/>
        <v>-6.1889569537941905E-2</v>
      </c>
      <c r="Q576" s="43">
        <f t="shared" ca="1" si="26"/>
        <v>-1.0745561771342589E-2</v>
      </c>
    </row>
    <row r="577" spans="12:17" x14ac:dyDescent="0.3">
      <c r="L577" s="10">
        <f ca="1"/>
        <v>45435.229166666664</v>
      </c>
      <c r="M577" s="50">
        <f ca="1"/>
        <v>67969.649999999994</v>
      </c>
      <c r="N577" s="51">
        <f t="shared" ca="1" si="24"/>
        <v>3398.4825000000001</v>
      </c>
      <c r="O577" s="51">
        <f ca="1">MAX(N577:$N$732)</f>
        <v>3653.6205000000004</v>
      </c>
      <c r="P577" s="52">
        <f t="shared" ca="1" si="25"/>
        <v>-6.9831554755071121E-2</v>
      </c>
      <c r="Q577" s="43">
        <f t="shared" ca="1" si="26"/>
        <v>-8.5019781146903565E-3</v>
      </c>
    </row>
    <row r="578" spans="12:17" x14ac:dyDescent="0.3">
      <c r="L578" s="10">
        <f ca="1"/>
        <v>45434.229166666664</v>
      </c>
      <c r="M578" s="50">
        <f ca="1"/>
        <v>69166.62</v>
      </c>
      <c r="N578" s="51">
        <f t="shared" ca="1" si="24"/>
        <v>3458.3310000000001</v>
      </c>
      <c r="O578" s="51">
        <f ca="1">MAX(N578:$N$732)</f>
        <v>3653.6205000000004</v>
      </c>
      <c r="P578" s="52">
        <f t="shared" ca="1" si="25"/>
        <v>-5.3450953649948126E-2</v>
      </c>
      <c r="Q578" s="43">
        <f t="shared" ca="1" si="26"/>
        <v>1.7457094288918586E-2</v>
      </c>
    </row>
    <row r="579" spans="12:17" x14ac:dyDescent="0.3">
      <c r="L579" s="10">
        <f ca="1"/>
        <v>45433.229166666664</v>
      </c>
      <c r="M579" s="50">
        <f ca="1"/>
        <v>70148.34</v>
      </c>
      <c r="N579" s="51">
        <f t="shared" ref="N579:N642" ca="1" si="27">$C$6*M579</f>
        <v>3507.4169999999999</v>
      </c>
      <c r="O579" s="51">
        <f ca="1">MAX(N579:$N$732)</f>
        <v>3653.6205000000004</v>
      </c>
      <c r="P579" s="52">
        <f t="shared" ref="P579:P642" ca="1" si="28">(N579 - O579)/O579</f>
        <v>-4.001606078135387E-2</v>
      </c>
      <c r="Q579" s="43">
        <f t="shared" ca="1" si="26"/>
        <v>1.4093766386815441E-2</v>
      </c>
    </row>
    <row r="580" spans="12:17" x14ac:dyDescent="0.3">
      <c r="L580" s="10">
        <f ca="1"/>
        <v>45432.229166666664</v>
      </c>
      <c r="M580" s="50">
        <f ca="1"/>
        <v>71446.62</v>
      </c>
      <c r="N580" s="51">
        <f t="shared" ca="1" si="27"/>
        <v>3572.3310000000001</v>
      </c>
      <c r="O580" s="51">
        <f ca="1">MAX(N580:$N$732)</f>
        <v>3653.6205000000004</v>
      </c>
      <c r="P580" s="52">
        <f t="shared" ca="1" si="28"/>
        <v>-2.2249026684627016E-2</v>
      </c>
      <c r="Q580" s="43">
        <f t="shared" ref="Q580:Q643" ca="1" si="29">LN(N580 / N579)</f>
        <v>1.8338454758227877E-2</v>
      </c>
    </row>
    <row r="581" spans="12:17" x14ac:dyDescent="0.3">
      <c r="L581" s="10">
        <f ca="1"/>
        <v>45431.229166666664</v>
      </c>
      <c r="M581" s="50">
        <f ca="1"/>
        <v>66274.009999999995</v>
      </c>
      <c r="N581" s="51">
        <f t="shared" ca="1" si="27"/>
        <v>3313.7004999999999</v>
      </c>
      <c r="O581" s="51">
        <f ca="1">MAX(N581:$N$732)</f>
        <v>3653.6205000000004</v>
      </c>
      <c r="P581" s="52">
        <f t="shared" ca="1" si="28"/>
        <v>-9.3036482579403224E-2</v>
      </c>
      <c r="Q581" s="43">
        <f t="shared" ca="1" si="29"/>
        <v>-7.5152783144480248E-2</v>
      </c>
    </row>
    <row r="582" spans="12:17" x14ac:dyDescent="0.3">
      <c r="L582" s="10">
        <f ca="1"/>
        <v>45430.229166666664</v>
      </c>
      <c r="M582" s="50">
        <f ca="1"/>
        <v>66915.199999999997</v>
      </c>
      <c r="N582" s="51">
        <f t="shared" ca="1" si="27"/>
        <v>3345.76</v>
      </c>
      <c r="O582" s="51">
        <f ca="1">MAX(N582:$N$732)</f>
        <v>3653.6205000000004</v>
      </c>
      <c r="P582" s="52">
        <f t="shared" ca="1" si="28"/>
        <v>-8.4261761723747775E-2</v>
      </c>
      <c r="Q582" s="43">
        <f t="shared" ca="1" si="29"/>
        <v>9.6283318061598563E-3</v>
      </c>
    </row>
    <row r="583" spans="12:17" x14ac:dyDescent="0.3">
      <c r="L583" s="10">
        <f ca="1"/>
        <v>45429.229166666664</v>
      </c>
      <c r="M583" s="50">
        <f ca="1"/>
        <v>67024</v>
      </c>
      <c r="N583" s="51">
        <f t="shared" ca="1" si="27"/>
        <v>3351.2000000000003</v>
      </c>
      <c r="O583" s="51">
        <f ca="1">MAX(N583:$N$732)</f>
        <v>3653.6205000000004</v>
      </c>
      <c r="P583" s="52">
        <f t="shared" ca="1" si="28"/>
        <v>-8.2772827665051729E-2</v>
      </c>
      <c r="Q583" s="43">
        <f t="shared" ca="1" si="29"/>
        <v>1.6246180943356198E-3</v>
      </c>
    </row>
    <row r="584" spans="12:17" x14ac:dyDescent="0.3">
      <c r="L584" s="10">
        <f ca="1"/>
        <v>45428.229166666664</v>
      </c>
      <c r="M584" s="50">
        <f ca="1"/>
        <v>65235.21</v>
      </c>
      <c r="N584" s="51">
        <f t="shared" ca="1" si="27"/>
        <v>3261.7605000000003</v>
      </c>
      <c r="O584" s="51">
        <f ca="1">MAX(N584:$N$732)</f>
        <v>3653.6205000000004</v>
      </c>
      <c r="P584" s="52">
        <f t="shared" ca="1" si="28"/>
        <v>-0.10725251842658538</v>
      </c>
      <c r="Q584" s="43">
        <f t="shared" ca="1" si="29"/>
        <v>-2.7051410361314362E-2</v>
      </c>
    </row>
    <row r="585" spans="12:17" x14ac:dyDescent="0.3">
      <c r="L585" s="10">
        <f ca="1"/>
        <v>45427.229166666664</v>
      </c>
      <c r="M585" s="50">
        <f ca="1"/>
        <v>66206.5</v>
      </c>
      <c r="N585" s="51">
        <f t="shared" ca="1" si="27"/>
        <v>3310.3250000000003</v>
      </c>
      <c r="O585" s="51">
        <f ca="1">MAX(N585:$N$732)</f>
        <v>3653.6205000000004</v>
      </c>
      <c r="P585" s="52">
        <f t="shared" ca="1" si="28"/>
        <v>-9.3960360688801731E-2</v>
      </c>
      <c r="Q585" s="43">
        <f t="shared" ca="1" si="29"/>
        <v>1.477929159071751E-2</v>
      </c>
    </row>
    <row r="586" spans="12:17" x14ac:dyDescent="0.3">
      <c r="L586" s="10">
        <f ca="1"/>
        <v>45426.229166666664</v>
      </c>
      <c r="M586" s="50">
        <f ca="1"/>
        <v>61577.49</v>
      </c>
      <c r="N586" s="51">
        <f t="shared" ca="1" si="27"/>
        <v>3078.8744999999999</v>
      </c>
      <c r="O586" s="51">
        <f ca="1">MAX(N586:$N$732)</f>
        <v>3653.6205000000004</v>
      </c>
      <c r="P586" s="52">
        <f t="shared" ca="1" si="28"/>
        <v>-0.15730862031237247</v>
      </c>
      <c r="Q586" s="43">
        <f t="shared" ca="1" si="29"/>
        <v>-7.2482263755447626E-2</v>
      </c>
    </row>
    <row r="587" spans="12:17" x14ac:dyDescent="0.3">
      <c r="L587" s="10">
        <f ca="1"/>
        <v>45425.229166666664</v>
      </c>
      <c r="M587" s="50">
        <f ca="1"/>
        <v>62940.08</v>
      </c>
      <c r="N587" s="51">
        <f t="shared" ca="1" si="27"/>
        <v>3147.0040000000004</v>
      </c>
      <c r="O587" s="51">
        <f ca="1">MAX(N587:$N$732)</f>
        <v>3653.6205000000004</v>
      </c>
      <c r="P587" s="52">
        <f t="shared" ca="1" si="28"/>
        <v>-0.13866150028444388</v>
      </c>
      <c r="Q587" s="43">
        <f t="shared" ca="1" si="29"/>
        <v>2.1886781008613874E-2</v>
      </c>
    </row>
    <row r="588" spans="12:17" x14ac:dyDescent="0.3">
      <c r="L588" s="10">
        <f ca="1"/>
        <v>45424.229166666664</v>
      </c>
      <c r="M588" s="50">
        <f ca="1"/>
        <v>61483.99</v>
      </c>
      <c r="N588" s="51">
        <f t="shared" ca="1" si="27"/>
        <v>3074.1995000000002</v>
      </c>
      <c r="O588" s="51">
        <f ca="1">MAX(N588:$N$732)</f>
        <v>3653.6205000000004</v>
      </c>
      <c r="P588" s="52">
        <f t="shared" ca="1" si="28"/>
        <v>-0.1585881730190643</v>
      </c>
      <c r="Q588" s="43">
        <f t="shared" ca="1" si="29"/>
        <v>-2.3406346968515821E-2</v>
      </c>
    </row>
    <row r="589" spans="12:17" x14ac:dyDescent="0.3">
      <c r="L589" s="10">
        <f ca="1"/>
        <v>45423.229166666664</v>
      </c>
      <c r="M589" s="50">
        <f ca="1"/>
        <v>60825.99</v>
      </c>
      <c r="N589" s="51">
        <f t="shared" ca="1" si="27"/>
        <v>3041.2995000000001</v>
      </c>
      <c r="O589" s="51">
        <f ca="1">MAX(N589:$N$732)</f>
        <v>3653.6205000000004</v>
      </c>
      <c r="P589" s="52">
        <f t="shared" ca="1" si="28"/>
        <v>-0.16759293966081051</v>
      </c>
      <c r="Q589" s="43">
        <f t="shared" ca="1" si="29"/>
        <v>-1.0759650979382786E-2</v>
      </c>
    </row>
    <row r="590" spans="12:17" x14ac:dyDescent="0.3">
      <c r="L590" s="10">
        <f ca="1"/>
        <v>45422.229166666664</v>
      </c>
      <c r="M590" s="50">
        <f ca="1"/>
        <v>60799.99</v>
      </c>
      <c r="N590" s="51">
        <f t="shared" ca="1" si="27"/>
        <v>3039.9994999999999</v>
      </c>
      <c r="O590" s="51">
        <f ca="1">MAX(N590:$N$732)</f>
        <v>3653.6205000000004</v>
      </c>
      <c r="P590" s="52">
        <f t="shared" ca="1" si="28"/>
        <v>-0.1679487511086607</v>
      </c>
      <c r="Q590" s="43">
        <f t="shared" ca="1" si="29"/>
        <v>-4.2754024092636405E-4</v>
      </c>
    </row>
    <row r="591" spans="12:17" x14ac:dyDescent="0.3">
      <c r="L591" s="10">
        <f ca="1"/>
        <v>45421.229166666664</v>
      </c>
      <c r="M591" s="50">
        <f ca="1"/>
        <v>63074.01</v>
      </c>
      <c r="N591" s="51">
        <f t="shared" ca="1" si="27"/>
        <v>3153.7005000000004</v>
      </c>
      <c r="O591" s="51">
        <f ca="1">MAX(N591:$N$732)</f>
        <v>3653.6205000000004</v>
      </c>
      <c r="P591" s="52">
        <f t="shared" ca="1" si="28"/>
        <v>-0.13682866077634501</v>
      </c>
      <c r="Q591" s="43">
        <f t="shared" ca="1" si="29"/>
        <v>3.6719174305045191E-2</v>
      </c>
    </row>
    <row r="592" spans="12:17" x14ac:dyDescent="0.3">
      <c r="L592" s="10">
        <f ca="1"/>
        <v>45420.229166666664</v>
      </c>
      <c r="M592" s="50">
        <f ca="1"/>
        <v>61193.03</v>
      </c>
      <c r="N592" s="51">
        <f t="shared" ca="1" si="27"/>
        <v>3059.6514999999999</v>
      </c>
      <c r="O592" s="51">
        <f ca="1">MAX(N592:$N$732)</f>
        <v>3653.6205000000004</v>
      </c>
      <c r="P592" s="52">
        <f t="shared" ca="1" si="28"/>
        <v>-0.1625699768216213</v>
      </c>
      <c r="Q592" s="43">
        <f t="shared" ca="1" si="29"/>
        <v>-3.0275504659909205E-2</v>
      </c>
    </row>
    <row r="593" spans="12:17" x14ac:dyDescent="0.3">
      <c r="L593" s="10">
        <f ca="1"/>
        <v>45419.229166666664</v>
      </c>
      <c r="M593" s="50">
        <f ca="1"/>
        <v>62312.08</v>
      </c>
      <c r="N593" s="51">
        <f t="shared" ca="1" si="27"/>
        <v>3115.6040000000003</v>
      </c>
      <c r="O593" s="51">
        <f ca="1">MAX(N593:$N$732)</f>
        <v>3653.6205000000004</v>
      </c>
      <c r="P593" s="52">
        <f t="shared" ca="1" si="28"/>
        <v>-0.14725571525559375</v>
      </c>
      <c r="Q593" s="43">
        <f t="shared" ca="1" si="29"/>
        <v>1.8122013335120347E-2</v>
      </c>
    </row>
    <row r="594" spans="12:17" x14ac:dyDescent="0.3">
      <c r="L594" s="10">
        <f ca="1"/>
        <v>45418.229166666664</v>
      </c>
      <c r="M594" s="50">
        <f ca="1"/>
        <v>63165.19</v>
      </c>
      <c r="N594" s="51">
        <f t="shared" ca="1" si="27"/>
        <v>3158.2595000000001</v>
      </c>
      <c r="O594" s="51">
        <f ca="1">MAX(N594:$N$732)</f>
        <v>3653.6205000000004</v>
      </c>
      <c r="P594" s="52">
        <f t="shared" ca="1" si="28"/>
        <v>-0.13558085739884596</v>
      </c>
      <c r="Q594" s="43">
        <f t="shared" ca="1" si="29"/>
        <v>1.3598050793730882E-2</v>
      </c>
    </row>
    <row r="595" spans="12:17" x14ac:dyDescent="0.3">
      <c r="L595" s="10">
        <f ca="1"/>
        <v>45417.229166666664</v>
      </c>
      <c r="M595" s="50">
        <f ca="1"/>
        <v>64012</v>
      </c>
      <c r="N595" s="51">
        <f t="shared" ca="1" si="27"/>
        <v>3200.6000000000004</v>
      </c>
      <c r="O595" s="51">
        <f ca="1">MAX(N595:$N$732)</f>
        <v>3653.6205000000004</v>
      </c>
      <c r="P595" s="52">
        <f t="shared" ca="1" si="28"/>
        <v>-0.12399221539292328</v>
      </c>
      <c r="Q595" s="43">
        <f t="shared" ca="1" si="29"/>
        <v>1.3317207511333192E-2</v>
      </c>
    </row>
    <row r="596" spans="12:17" x14ac:dyDescent="0.3">
      <c r="L596" s="10">
        <f ca="1"/>
        <v>45416.229166666664</v>
      </c>
      <c r="M596" s="50">
        <f ca="1"/>
        <v>63892.04</v>
      </c>
      <c r="N596" s="51">
        <f t="shared" ca="1" si="27"/>
        <v>3194.6020000000003</v>
      </c>
      <c r="O596" s="51">
        <f ca="1">MAX(N596:$N$732)</f>
        <v>3653.6205000000004</v>
      </c>
      <c r="P596" s="52">
        <f t="shared" ca="1" si="28"/>
        <v>-0.12563387467308115</v>
      </c>
      <c r="Q596" s="43">
        <f t="shared" ca="1" si="29"/>
        <v>-1.8757817997593694E-3</v>
      </c>
    </row>
    <row r="597" spans="12:17" x14ac:dyDescent="0.3">
      <c r="L597" s="10">
        <f ca="1"/>
        <v>45415.229166666664</v>
      </c>
      <c r="M597" s="50">
        <f ca="1"/>
        <v>62882.01</v>
      </c>
      <c r="N597" s="51">
        <f t="shared" ca="1" si="27"/>
        <v>3144.1005000000005</v>
      </c>
      <c r="O597" s="51">
        <f ca="1">MAX(N597:$N$732)</f>
        <v>3653.6205000000004</v>
      </c>
      <c r="P597" s="52">
        <f t="shared" ca="1" si="28"/>
        <v>-0.13945619146816149</v>
      </c>
      <c r="Q597" s="43">
        <f t="shared" ca="1" si="29"/>
        <v>-1.5934670725068909E-2</v>
      </c>
    </row>
    <row r="598" spans="12:17" x14ac:dyDescent="0.3">
      <c r="L598" s="10">
        <f ca="1"/>
        <v>45414.229166666664</v>
      </c>
      <c r="M598" s="50">
        <f ca="1"/>
        <v>59060.61</v>
      </c>
      <c r="N598" s="51">
        <f t="shared" ca="1" si="27"/>
        <v>2953.0305000000003</v>
      </c>
      <c r="O598" s="51">
        <f ca="1">MAX(N598:$N$732)</f>
        <v>3653.6205000000004</v>
      </c>
      <c r="P598" s="52">
        <f t="shared" ca="1" si="28"/>
        <v>-0.19175226326872211</v>
      </c>
      <c r="Q598" s="43">
        <f t="shared" ca="1" si="29"/>
        <v>-6.2695908516965021E-2</v>
      </c>
    </row>
    <row r="599" spans="12:17" x14ac:dyDescent="0.3">
      <c r="L599" s="10">
        <f ca="1"/>
        <v>45413.229166666664</v>
      </c>
      <c r="M599" s="50">
        <f ca="1"/>
        <v>58364.97</v>
      </c>
      <c r="N599" s="51">
        <f t="shared" ca="1" si="27"/>
        <v>2918.2485000000001</v>
      </c>
      <c r="O599" s="51">
        <f ca="1">MAX(N599:$N$732)</f>
        <v>3653.6205000000004</v>
      </c>
      <c r="P599" s="52">
        <f t="shared" ca="1" si="28"/>
        <v>-0.20127213540650984</v>
      </c>
      <c r="Q599" s="43">
        <f t="shared" ca="1" si="29"/>
        <v>-1.1848323644138192E-2</v>
      </c>
    </row>
    <row r="600" spans="12:17" x14ac:dyDescent="0.3">
      <c r="L600" s="10">
        <f ca="1"/>
        <v>45412.229166666664</v>
      </c>
      <c r="M600" s="50">
        <f ca="1"/>
        <v>60672</v>
      </c>
      <c r="N600" s="51">
        <f t="shared" ca="1" si="27"/>
        <v>3033.6000000000004</v>
      </c>
      <c r="O600" s="51">
        <f ca="1">MAX(N600:$N$732)</f>
        <v>3653.6205000000004</v>
      </c>
      <c r="P600" s="52">
        <f t="shared" ca="1" si="28"/>
        <v>-0.16970030138598138</v>
      </c>
      <c r="Q600" s="43">
        <f t="shared" ca="1" si="29"/>
        <v>3.8766425534744312E-2</v>
      </c>
    </row>
    <row r="601" spans="12:17" x14ac:dyDescent="0.3">
      <c r="L601" s="10">
        <f ca="1"/>
        <v>45411.229166666664</v>
      </c>
      <c r="M601" s="50">
        <f ca="1"/>
        <v>63866</v>
      </c>
      <c r="N601" s="51">
        <f t="shared" ca="1" si="27"/>
        <v>3193.3</v>
      </c>
      <c r="O601" s="51">
        <f ca="1">MAX(N601:$N$732)</f>
        <v>3653.6205000000004</v>
      </c>
      <c r="P601" s="52">
        <f t="shared" ca="1" si="28"/>
        <v>-0.1259902335231588</v>
      </c>
      <c r="Q601" s="43">
        <f t="shared" ca="1" si="29"/>
        <v>5.1304831768251957E-2</v>
      </c>
    </row>
    <row r="602" spans="12:17" x14ac:dyDescent="0.3">
      <c r="L602" s="10">
        <f ca="1"/>
        <v>45410.229166666664</v>
      </c>
      <c r="M602" s="50">
        <f ca="1"/>
        <v>63118.62</v>
      </c>
      <c r="N602" s="51">
        <f t="shared" ca="1" si="27"/>
        <v>3155.9310000000005</v>
      </c>
      <c r="O602" s="51">
        <f ca="1">MAX(N602:$N$732)</f>
        <v>3653.6205000000004</v>
      </c>
      <c r="P602" s="52">
        <f t="shared" ca="1" si="28"/>
        <v>-0.13621817044216822</v>
      </c>
      <c r="Q602" s="43">
        <f t="shared" ca="1" si="29"/>
        <v>-1.1771325220062009E-2</v>
      </c>
    </row>
    <row r="603" spans="12:17" x14ac:dyDescent="0.3">
      <c r="L603" s="10">
        <f ca="1"/>
        <v>45409.229166666664</v>
      </c>
      <c r="M603" s="50">
        <f ca="1"/>
        <v>63461.98</v>
      </c>
      <c r="N603" s="51">
        <f t="shared" ca="1" si="27"/>
        <v>3173.0990000000002</v>
      </c>
      <c r="O603" s="51">
        <f ca="1">MAX(N603:$N$732)</f>
        <v>3653.6205000000004</v>
      </c>
      <c r="P603" s="52">
        <f t="shared" ca="1" si="28"/>
        <v>-0.13151926972163644</v>
      </c>
      <c r="Q603" s="43">
        <f t="shared" ca="1" si="29"/>
        <v>5.4251732439512812E-3</v>
      </c>
    </row>
    <row r="604" spans="12:17" x14ac:dyDescent="0.3">
      <c r="L604" s="10">
        <f ca="1"/>
        <v>45408.229166666664</v>
      </c>
      <c r="M604" s="50">
        <f ca="1"/>
        <v>63770.01</v>
      </c>
      <c r="N604" s="51">
        <f t="shared" ca="1" si="27"/>
        <v>3188.5005000000001</v>
      </c>
      <c r="O604" s="51">
        <f ca="1">MAX(N604:$N$732)</f>
        <v>3653.6205000000004</v>
      </c>
      <c r="P604" s="52">
        <f t="shared" ca="1" si="28"/>
        <v>-0.12730386201851021</v>
      </c>
      <c r="Q604" s="43">
        <f t="shared" ca="1" si="29"/>
        <v>4.8420307160186356E-3</v>
      </c>
    </row>
    <row r="605" spans="12:17" x14ac:dyDescent="0.3">
      <c r="L605" s="10">
        <f ca="1"/>
        <v>45407.229166666664</v>
      </c>
      <c r="M605" s="50">
        <f ca="1"/>
        <v>64498.34</v>
      </c>
      <c r="N605" s="51">
        <f t="shared" ca="1" si="27"/>
        <v>3224.9169999999999</v>
      </c>
      <c r="O605" s="51">
        <f ca="1">MAX(N605:$N$732)</f>
        <v>3653.6205000000004</v>
      </c>
      <c r="P605" s="52">
        <f t="shared" ca="1" si="28"/>
        <v>-0.11733662541032942</v>
      </c>
      <c r="Q605" s="43">
        <f t="shared" ca="1" si="29"/>
        <v>1.1356469895713771E-2</v>
      </c>
    </row>
    <row r="606" spans="12:17" x14ac:dyDescent="0.3">
      <c r="L606" s="10">
        <f ca="1"/>
        <v>45406.229166666664</v>
      </c>
      <c r="M606" s="50">
        <f ca="1"/>
        <v>64289.59</v>
      </c>
      <c r="N606" s="51">
        <f t="shared" ca="1" si="27"/>
        <v>3214.4794999999999</v>
      </c>
      <c r="O606" s="51">
        <f ca="1">MAX(N606:$N$732)</f>
        <v>3653.6205000000004</v>
      </c>
      <c r="P606" s="52">
        <f t="shared" ca="1" si="28"/>
        <v>-0.12019338078489555</v>
      </c>
      <c r="Q606" s="43">
        <f t="shared" ca="1" si="29"/>
        <v>-3.2417662557915222E-3</v>
      </c>
    </row>
    <row r="607" spans="12:17" x14ac:dyDescent="0.3">
      <c r="L607" s="10">
        <f ca="1"/>
        <v>45405.229166666664</v>
      </c>
      <c r="M607" s="50">
        <f ca="1"/>
        <v>66414</v>
      </c>
      <c r="N607" s="51">
        <f t="shared" ca="1" si="27"/>
        <v>3320.7000000000003</v>
      </c>
      <c r="O607" s="51">
        <f ca="1">MAX(N607:$N$732)</f>
        <v>3653.6205000000004</v>
      </c>
      <c r="P607" s="52">
        <f t="shared" ca="1" si="28"/>
        <v>-9.1120711633843776E-2</v>
      </c>
      <c r="Q607" s="43">
        <f t="shared" ca="1" si="29"/>
        <v>3.2510156850902951E-2</v>
      </c>
    </row>
    <row r="608" spans="12:17" x14ac:dyDescent="0.3">
      <c r="L608" s="10">
        <f ca="1"/>
        <v>45404.229166666664</v>
      </c>
      <c r="M608" s="50">
        <f ca="1"/>
        <v>66819.320000000007</v>
      </c>
      <c r="N608" s="51">
        <f t="shared" ca="1" si="27"/>
        <v>3340.9660000000003</v>
      </c>
      <c r="O608" s="51">
        <f ca="1">MAX(N608:$N$732)</f>
        <v>3653.6205000000004</v>
      </c>
      <c r="P608" s="52">
        <f t="shared" ca="1" si="28"/>
        <v>-8.5573884862973612E-2</v>
      </c>
      <c r="Q608" s="43">
        <f t="shared" ca="1" si="29"/>
        <v>6.0843826514524963E-3</v>
      </c>
    </row>
    <row r="609" spans="12:17" x14ac:dyDescent="0.3">
      <c r="L609" s="10">
        <f ca="1"/>
        <v>45403.229166666664</v>
      </c>
      <c r="M609" s="50">
        <f ca="1"/>
        <v>64941.15</v>
      </c>
      <c r="N609" s="51">
        <f t="shared" ca="1" si="27"/>
        <v>3247.0575000000003</v>
      </c>
      <c r="O609" s="51">
        <f ca="1">MAX(N609:$N$732)</f>
        <v>3653.6205000000004</v>
      </c>
      <c r="P609" s="52">
        <f t="shared" ca="1" si="28"/>
        <v>-0.1112767459017706</v>
      </c>
      <c r="Q609" s="43">
        <f t="shared" ca="1" si="29"/>
        <v>-2.851078511094856E-2</v>
      </c>
    </row>
    <row r="610" spans="12:17" x14ac:dyDescent="0.3">
      <c r="L610" s="10">
        <f ca="1"/>
        <v>45402.229166666664</v>
      </c>
      <c r="M610" s="50">
        <f ca="1"/>
        <v>64940.59</v>
      </c>
      <c r="N610" s="51">
        <f t="shared" ca="1" si="27"/>
        <v>3247.0295000000001</v>
      </c>
      <c r="O610" s="51">
        <f ca="1">MAX(N610:$N$732)</f>
        <v>3653.6205000000004</v>
      </c>
      <c r="P610" s="52">
        <f t="shared" ca="1" si="28"/>
        <v>-0.11128440953295514</v>
      </c>
      <c r="Q610" s="43">
        <f t="shared" ca="1" si="29"/>
        <v>-8.6232291006756477E-6</v>
      </c>
    </row>
    <row r="611" spans="12:17" x14ac:dyDescent="0.3">
      <c r="L611" s="10">
        <f ca="1"/>
        <v>45401.229166666664</v>
      </c>
      <c r="M611" s="50">
        <f ca="1"/>
        <v>63818.01</v>
      </c>
      <c r="N611" s="51">
        <f t="shared" ca="1" si="27"/>
        <v>3190.9005000000002</v>
      </c>
      <c r="O611" s="51">
        <f ca="1">MAX(N611:$N$732)</f>
        <v>3653.6205000000004</v>
      </c>
      <c r="P611" s="52">
        <f t="shared" ca="1" si="28"/>
        <v>-0.12664697934555605</v>
      </c>
      <c r="Q611" s="43">
        <f t="shared" ca="1" si="29"/>
        <v>-1.7437413026821207E-2</v>
      </c>
    </row>
    <row r="612" spans="12:17" x14ac:dyDescent="0.3">
      <c r="L612" s="10">
        <f ca="1"/>
        <v>45400.229166666664</v>
      </c>
      <c r="M612" s="50">
        <f ca="1"/>
        <v>63470.080000000002</v>
      </c>
      <c r="N612" s="51">
        <f t="shared" ca="1" si="27"/>
        <v>3173.5040000000004</v>
      </c>
      <c r="O612" s="51">
        <f ca="1">MAX(N612:$N$732)</f>
        <v>3653.6205000000004</v>
      </c>
      <c r="P612" s="52">
        <f t="shared" ca="1" si="28"/>
        <v>-0.13140842077057538</v>
      </c>
      <c r="Q612" s="43">
        <f t="shared" ca="1" si="29"/>
        <v>-5.4668251605373124E-3</v>
      </c>
    </row>
    <row r="613" spans="12:17" x14ac:dyDescent="0.3">
      <c r="L613" s="10">
        <f ca="1"/>
        <v>45399.229166666664</v>
      </c>
      <c r="M613" s="50">
        <f ca="1"/>
        <v>61277.37</v>
      </c>
      <c r="N613" s="51">
        <f t="shared" ca="1" si="27"/>
        <v>3063.8685000000005</v>
      </c>
      <c r="O613" s="51">
        <f ca="1">MAX(N613:$N$732)</f>
        <v>3653.6205000000004</v>
      </c>
      <c r="P613" s="52">
        <f t="shared" ca="1" si="28"/>
        <v>-0.16141577922501801</v>
      </c>
      <c r="Q613" s="43">
        <f t="shared" ca="1" si="29"/>
        <v>-3.5158006998813093E-2</v>
      </c>
    </row>
    <row r="614" spans="12:17" x14ac:dyDescent="0.3">
      <c r="L614" s="10">
        <f ca="1"/>
        <v>45398.229166666664</v>
      </c>
      <c r="M614" s="50">
        <f ca="1"/>
        <v>63793.39</v>
      </c>
      <c r="N614" s="51">
        <f t="shared" ca="1" si="27"/>
        <v>3189.6695</v>
      </c>
      <c r="O614" s="51">
        <f ca="1">MAX(N614:$N$732)</f>
        <v>3653.6205000000004</v>
      </c>
      <c r="P614" s="52">
        <f t="shared" ca="1" si="28"/>
        <v>-0.12698390541655885</v>
      </c>
      <c r="Q614" s="43">
        <f t="shared" ca="1" si="29"/>
        <v>4.0238973210926191E-2</v>
      </c>
    </row>
    <row r="615" spans="12:17" x14ac:dyDescent="0.3">
      <c r="L615" s="10">
        <f ca="1"/>
        <v>45397.229166666664</v>
      </c>
      <c r="M615" s="50">
        <f ca="1"/>
        <v>63419.99</v>
      </c>
      <c r="N615" s="51">
        <f t="shared" ca="1" si="27"/>
        <v>3170.9994999999999</v>
      </c>
      <c r="O615" s="51">
        <f ca="1">MAX(N615:$N$732)</f>
        <v>3653.6205000000004</v>
      </c>
      <c r="P615" s="52">
        <f t="shared" ca="1" si="28"/>
        <v>-0.13209390520991451</v>
      </c>
      <c r="Q615" s="43">
        <f t="shared" ca="1" si="29"/>
        <v>-5.8704685364766558E-3</v>
      </c>
    </row>
    <row r="616" spans="12:17" x14ac:dyDescent="0.3">
      <c r="L616" s="10">
        <f ca="1"/>
        <v>45396.229166666664</v>
      </c>
      <c r="M616" s="50">
        <f ca="1"/>
        <v>65661.84</v>
      </c>
      <c r="N616" s="51">
        <f t="shared" ca="1" si="27"/>
        <v>3283.0920000000001</v>
      </c>
      <c r="O616" s="51">
        <f ca="1">MAX(N616:$N$732)</f>
        <v>3653.6205000000004</v>
      </c>
      <c r="P616" s="52">
        <f t="shared" ca="1" si="28"/>
        <v>-0.10141406311903503</v>
      </c>
      <c r="Q616" s="43">
        <f t="shared" ca="1" si="29"/>
        <v>3.4738823399140743E-2</v>
      </c>
    </row>
    <row r="617" spans="12:17" x14ac:dyDescent="0.3">
      <c r="L617" s="10">
        <f ca="1"/>
        <v>45395.229166666664</v>
      </c>
      <c r="M617" s="50">
        <f ca="1"/>
        <v>63924.51</v>
      </c>
      <c r="N617" s="51">
        <f t="shared" ca="1" si="27"/>
        <v>3196.2255000000005</v>
      </c>
      <c r="O617" s="51">
        <f ca="1">MAX(N617:$N$732)</f>
        <v>3653.6205000000004</v>
      </c>
      <c r="P617" s="52">
        <f t="shared" ca="1" si="28"/>
        <v>-0.12518952091493901</v>
      </c>
      <c r="Q617" s="43">
        <f t="shared" ca="1" si="29"/>
        <v>-2.6815078915186006E-2</v>
      </c>
    </row>
    <row r="618" spans="12:17" x14ac:dyDescent="0.3">
      <c r="L618" s="10">
        <f ca="1"/>
        <v>45394.229166666664</v>
      </c>
      <c r="M618" s="50">
        <f ca="1"/>
        <v>67116.52</v>
      </c>
      <c r="N618" s="51">
        <f t="shared" ca="1" si="27"/>
        <v>3355.8260000000005</v>
      </c>
      <c r="O618" s="51">
        <f ca="1">MAX(N618:$N$732)</f>
        <v>3653.6205000000004</v>
      </c>
      <c r="P618" s="52">
        <f t="shared" ca="1" si="28"/>
        <v>-8.1506686312932591E-2</v>
      </c>
      <c r="Q618" s="43">
        <f t="shared" ca="1" si="29"/>
        <v>4.8727357462222669E-2</v>
      </c>
    </row>
    <row r="619" spans="12:17" x14ac:dyDescent="0.3">
      <c r="L619" s="10">
        <f ca="1"/>
        <v>45393.229166666664</v>
      </c>
      <c r="M619" s="50">
        <f ca="1"/>
        <v>70006.23</v>
      </c>
      <c r="N619" s="51">
        <f t="shared" ca="1" si="27"/>
        <v>3500.3114999999998</v>
      </c>
      <c r="O619" s="51">
        <f ca="1">MAX(N619:$N$732)</f>
        <v>3653.6205000000004</v>
      </c>
      <c r="P619" s="52">
        <f t="shared" ca="1" si="28"/>
        <v>-4.196084404496872E-2</v>
      </c>
      <c r="Q619" s="43">
        <f t="shared" ca="1" si="29"/>
        <v>4.2154024711693272E-2</v>
      </c>
    </row>
    <row r="620" spans="12:17" x14ac:dyDescent="0.3">
      <c r="L620" s="10">
        <f ca="1"/>
        <v>45392.229166666664</v>
      </c>
      <c r="M620" s="50">
        <f ca="1"/>
        <v>70631.08</v>
      </c>
      <c r="N620" s="51">
        <f t="shared" ca="1" si="27"/>
        <v>3531.5540000000001</v>
      </c>
      <c r="O620" s="51">
        <f ca="1">MAX(N620:$N$732)</f>
        <v>3653.6205000000004</v>
      </c>
      <c r="P620" s="52">
        <f t="shared" ca="1" si="28"/>
        <v>-3.3409736999231408E-2</v>
      </c>
      <c r="Q620" s="43">
        <f t="shared" ca="1" si="29"/>
        <v>8.8860361676844444E-3</v>
      </c>
    </row>
    <row r="621" spans="12:17" x14ac:dyDescent="0.3">
      <c r="L621" s="10">
        <f ca="1"/>
        <v>45391.229166666664</v>
      </c>
      <c r="M621" s="50">
        <f ca="1"/>
        <v>69146</v>
      </c>
      <c r="N621" s="51">
        <f t="shared" ca="1" si="27"/>
        <v>3457.3</v>
      </c>
      <c r="O621" s="51">
        <f ca="1">MAX(N621:$N$732)</f>
        <v>3653.6205000000004</v>
      </c>
      <c r="P621" s="52">
        <f t="shared" ca="1" si="28"/>
        <v>-5.3733139498204657E-2</v>
      </c>
      <c r="Q621" s="43">
        <f t="shared" ca="1" si="29"/>
        <v>-2.1250063083031949E-2</v>
      </c>
    </row>
    <row r="622" spans="12:17" x14ac:dyDescent="0.3">
      <c r="L622" s="10">
        <f ca="1"/>
        <v>45390.229166666664</v>
      </c>
      <c r="M622" s="50">
        <f ca="1"/>
        <v>71620</v>
      </c>
      <c r="N622" s="51">
        <f t="shared" ca="1" si="27"/>
        <v>3581</v>
      </c>
      <c r="O622" s="51">
        <f ca="1">MAX(N622:$N$732)</f>
        <v>3653.6205000000004</v>
      </c>
      <c r="P622" s="52">
        <f t="shared" ca="1" si="28"/>
        <v>-1.9876311729693993E-2</v>
      </c>
      <c r="Q622" s="43">
        <f t="shared" ca="1" si="29"/>
        <v>3.5154153396540114E-2</v>
      </c>
    </row>
    <row r="623" spans="12:17" x14ac:dyDescent="0.3">
      <c r="L623" s="10">
        <f ca="1"/>
        <v>45389.229166666664</v>
      </c>
      <c r="M623" s="50">
        <f ca="1"/>
        <v>69360.39</v>
      </c>
      <c r="N623" s="51">
        <f t="shared" ca="1" si="27"/>
        <v>3468.0195000000003</v>
      </c>
      <c r="O623" s="51">
        <f ca="1">MAX(N623:$N$732)</f>
        <v>3653.6205000000004</v>
      </c>
      <c r="P623" s="52">
        <f t="shared" ca="1" si="28"/>
        <v>-5.079920040956637E-2</v>
      </c>
      <c r="Q623" s="43">
        <f t="shared" ca="1" si="29"/>
        <v>-3.2058409276438014E-2</v>
      </c>
    </row>
    <row r="624" spans="12:17" x14ac:dyDescent="0.3">
      <c r="L624" s="10">
        <f ca="1"/>
        <v>45388.229166666664</v>
      </c>
      <c r="M624" s="50">
        <f ca="1"/>
        <v>68896</v>
      </c>
      <c r="N624" s="51">
        <f t="shared" ca="1" si="27"/>
        <v>3444.8</v>
      </c>
      <c r="O624" s="51">
        <f ca="1">MAX(N624:$N$732)</f>
        <v>3653.6205000000004</v>
      </c>
      <c r="P624" s="52">
        <f t="shared" ca="1" si="28"/>
        <v>-5.7154403419840745E-2</v>
      </c>
      <c r="Q624" s="43">
        <f t="shared" ca="1" si="29"/>
        <v>-6.7178341118960929E-3</v>
      </c>
    </row>
    <row r="625" spans="12:17" x14ac:dyDescent="0.3">
      <c r="L625" s="10">
        <f ca="1"/>
        <v>45387.229166666664</v>
      </c>
      <c r="M625" s="50">
        <f ca="1"/>
        <v>67820.62</v>
      </c>
      <c r="N625" s="51">
        <f t="shared" ca="1" si="27"/>
        <v>3391.0309999999999</v>
      </c>
      <c r="O625" s="51">
        <f ca="1">MAX(N625:$N$732)</f>
        <v>3653.6205000000004</v>
      </c>
      <c r="P625" s="52">
        <f t="shared" ca="1" si="28"/>
        <v>-7.187103860403686E-2</v>
      </c>
      <c r="Q625" s="43">
        <f t="shared" ca="1" si="29"/>
        <v>-1.5731842680183385E-2</v>
      </c>
    </row>
    <row r="626" spans="12:17" x14ac:dyDescent="0.3">
      <c r="L626" s="10">
        <f ca="1"/>
        <v>45386.229166666664</v>
      </c>
      <c r="M626" s="50">
        <f ca="1"/>
        <v>68487.789999999994</v>
      </c>
      <c r="N626" s="51">
        <f t="shared" ca="1" si="27"/>
        <v>3424.3894999999998</v>
      </c>
      <c r="O626" s="51">
        <f ca="1">MAX(N626:$N$732)</f>
        <v>3653.6205000000004</v>
      </c>
      <c r="P626" s="52">
        <f t="shared" ca="1" si="28"/>
        <v>-6.2740780001645124E-2</v>
      </c>
      <c r="Q626" s="43">
        <f t="shared" ca="1" si="29"/>
        <v>9.7892027031337078E-3</v>
      </c>
    </row>
    <row r="627" spans="12:17" x14ac:dyDescent="0.3">
      <c r="L627" s="10">
        <f ca="1"/>
        <v>45385.229166666664</v>
      </c>
      <c r="M627" s="50">
        <f ca="1"/>
        <v>65963.28</v>
      </c>
      <c r="N627" s="51">
        <f t="shared" ca="1" si="27"/>
        <v>3298.1640000000002</v>
      </c>
      <c r="O627" s="51">
        <f ca="1">MAX(N627:$N$732)</f>
        <v>3653.6205000000004</v>
      </c>
      <c r="P627" s="52">
        <f t="shared" ca="1" si="28"/>
        <v>-9.7288839932883064E-2</v>
      </c>
      <c r="Q627" s="43">
        <f t="shared" ca="1" si="29"/>
        <v>-3.7557257642518604E-2</v>
      </c>
    </row>
    <row r="628" spans="12:17" x14ac:dyDescent="0.3">
      <c r="L628" s="10">
        <f ca="1"/>
        <v>45384.229166666664</v>
      </c>
      <c r="M628" s="50">
        <f ca="1"/>
        <v>65463.99</v>
      </c>
      <c r="N628" s="51">
        <f t="shared" ca="1" si="27"/>
        <v>3273.1995000000002</v>
      </c>
      <c r="O628" s="51">
        <f ca="1">MAX(N628:$N$732)</f>
        <v>3653.6205000000004</v>
      </c>
      <c r="P628" s="52">
        <f t="shared" ca="1" si="28"/>
        <v>-0.1041216513866178</v>
      </c>
      <c r="Q628" s="43">
        <f t="shared" ca="1" si="29"/>
        <v>-7.5980030930285075E-3</v>
      </c>
    </row>
    <row r="629" spans="12:17" x14ac:dyDescent="0.3">
      <c r="L629" s="10">
        <f ca="1"/>
        <v>45383.229166666664</v>
      </c>
      <c r="M629" s="50">
        <f ca="1"/>
        <v>69649.8</v>
      </c>
      <c r="N629" s="51">
        <f t="shared" ca="1" si="27"/>
        <v>3482.4900000000002</v>
      </c>
      <c r="O629" s="51">
        <f ca="1">MAX(N629:$N$732)</f>
        <v>3653.6205000000004</v>
      </c>
      <c r="P629" s="52">
        <f t="shared" ca="1" si="28"/>
        <v>-4.6838608443323597E-2</v>
      </c>
      <c r="Q629" s="43">
        <f t="shared" ca="1" si="29"/>
        <v>6.1979608251977229E-2</v>
      </c>
    </row>
    <row r="630" spans="12:17" x14ac:dyDescent="0.3">
      <c r="L630" s="10">
        <f ca="1"/>
        <v>45382.229166666664</v>
      </c>
      <c r="M630" s="50">
        <f ca="1"/>
        <v>71280.009999999995</v>
      </c>
      <c r="N630" s="51">
        <f t="shared" ca="1" si="27"/>
        <v>3564.0005000000001</v>
      </c>
      <c r="O630" s="51">
        <f ca="1">MAX(N630:$N$732)</f>
        <v>3653.6205000000004</v>
      </c>
      <c r="P630" s="52">
        <f t="shared" ca="1" si="28"/>
        <v>-2.4529093812562179E-2</v>
      </c>
      <c r="Q630" s="43">
        <f t="shared" ca="1" si="29"/>
        <v>2.3136094733018045E-2</v>
      </c>
    </row>
    <row r="631" spans="12:17" x14ac:dyDescent="0.3">
      <c r="L631" s="10">
        <f ca="1"/>
        <v>45381.229166666664</v>
      </c>
      <c r="M631" s="50">
        <f ca="1"/>
        <v>69582.179999999993</v>
      </c>
      <c r="N631" s="51">
        <f t="shared" ca="1" si="27"/>
        <v>3479.1089999999999</v>
      </c>
      <c r="O631" s="51">
        <f ca="1">MAX(N631:$N$732)</f>
        <v>3653.6205000000004</v>
      </c>
      <c r="P631" s="52">
        <f t="shared" ca="1" si="28"/>
        <v>-4.7763991908847815E-2</v>
      </c>
      <c r="Q631" s="43">
        <f t="shared" ca="1" si="29"/>
        <v>-2.4107423379159634E-2</v>
      </c>
    </row>
    <row r="632" spans="12:17" x14ac:dyDescent="0.3">
      <c r="L632" s="10">
        <f ca="1"/>
        <v>45380.229166666664</v>
      </c>
      <c r="M632" s="50">
        <f ca="1"/>
        <v>69850.539999999994</v>
      </c>
      <c r="N632" s="51">
        <f t="shared" ca="1" si="27"/>
        <v>3492.527</v>
      </c>
      <c r="O632" s="51">
        <f ca="1">MAX(N632:$N$732)</f>
        <v>3653.6205000000004</v>
      </c>
      <c r="P632" s="52">
        <f t="shared" ca="1" si="28"/>
        <v>-4.4091470364806741E-2</v>
      </c>
      <c r="Q632" s="43">
        <f t="shared" ca="1" si="29"/>
        <v>3.849316449721875E-3</v>
      </c>
    </row>
    <row r="633" spans="12:17" x14ac:dyDescent="0.3">
      <c r="L633" s="10">
        <f ca="1"/>
        <v>45379.229166666664</v>
      </c>
      <c r="M633" s="50">
        <f ca="1"/>
        <v>70780.600000000006</v>
      </c>
      <c r="N633" s="51">
        <f t="shared" ca="1" si="27"/>
        <v>3539.0300000000007</v>
      </c>
      <c r="O633" s="51">
        <f ca="1">MAX(N633:$N$732)</f>
        <v>3653.6205000000004</v>
      </c>
      <c r="P633" s="52">
        <f t="shared" ca="1" si="28"/>
        <v>-3.1363547472979141E-2</v>
      </c>
      <c r="Q633" s="43">
        <f t="shared" ca="1" si="29"/>
        <v>1.3227135327370522E-2</v>
      </c>
    </row>
    <row r="634" spans="12:17" x14ac:dyDescent="0.3">
      <c r="L634" s="10">
        <f ca="1"/>
        <v>45378.229166666664</v>
      </c>
      <c r="M634" s="50">
        <f ca="1"/>
        <v>69469.990000000005</v>
      </c>
      <c r="N634" s="51">
        <f t="shared" ca="1" si="27"/>
        <v>3473.4995000000004</v>
      </c>
      <c r="O634" s="51">
        <f ca="1">MAX(N634:$N$732)</f>
        <v>3653.6205000000004</v>
      </c>
      <c r="P634" s="52">
        <f t="shared" ca="1" si="28"/>
        <v>-4.9299318306321109E-2</v>
      </c>
      <c r="Q634" s="43">
        <f t="shared" ca="1" si="29"/>
        <v>-1.869009109453218E-2</v>
      </c>
    </row>
    <row r="635" spans="12:17" x14ac:dyDescent="0.3">
      <c r="L635" s="10">
        <f ca="1"/>
        <v>45377.229166666664</v>
      </c>
      <c r="M635" s="50">
        <f ca="1"/>
        <v>69988</v>
      </c>
      <c r="N635" s="51">
        <f t="shared" ca="1" si="27"/>
        <v>3499.4</v>
      </c>
      <c r="O635" s="51">
        <f ca="1">MAX(N635:$N$732)</f>
        <v>3653.6205000000004</v>
      </c>
      <c r="P635" s="52">
        <f t="shared" ca="1" si="28"/>
        <v>-4.221032261013434E-2</v>
      </c>
      <c r="Q635" s="43">
        <f t="shared" ca="1" si="29"/>
        <v>7.4289380246215378E-3</v>
      </c>
    </row>
    <row r="636" spans="12:17" x14ac:dyDescent="0.3">
      <c r="L636" s="10">
        <f ca="1"/>
        <v>45376.229166666664</v>
      </c>
      <c r="M636" s="50">
        <f ca="1"/>
        <v>69880.009999999995</v>
      </c>
      <c r="N636" s="51">
        <f t="shared" ca="1" si="27"/>
        <v>3494.0005000000001</v>
      </c>
      <c r="O636" s="51">
        <f ca="1">MAX(N636:$N$732)</f>
        <v>3653.6205000000004</v>
      </c>
      <c r="P636" s="52">
        <f t="shared" ca="1" si="28"/>
        <v>-4.3688171773724263E-2</v>
      </c>
      <c r="Q636" s="43">
        <f t="shared" ca="1" si="29"/>
        <v>-1.5441704140664338E-3</v>
      </c>
    </row>
    <row r="637" spans="12:17" x14ac:dyDescent="0.3">
      <c r="L637" s="10">
        <f ca="1"/>
        <v>45375.229166666664</v>
      </c>
      <c r="M637" s="50">
        <f ca="1"/>
        <v>67209.990000000005</v>
      </c>
      <c r="N637" s="51">
        <f t="shared" ca="1" si="27"/>
        <v>3360.4995000000004</v>
      </c>
      <c r="O637" s="51">
        <f ca="1">MAX(N637:$N$732)</f>
        <v>3653.6205000000004</v>
      </c>
      <c r="P637" s="52">
        <f t="shared" ca="1" si="28"/>
        <v>-8.0227544157911321E-2</v>
      </c>
      <c r="Q637" s="43">
        <f t="shared" ca="1" si="29"/>
        <v>-3.8957731173826296E-2</v>
      </c>
    </row>
    <row r="638" spans="12:17" x14ac:dyDescent="0.3">
      <c r="L638" s="10">
        <f ca="1"/>
        <v>45374.229166666664</v>
      </c>
      <c r="M638" s="50">
        <f ca="1"/>
        <v>63990.01</v>
      </c>
      <c r="N638" s="51">
        <f t="shared" ca="1" si="27"/>
        <v>3199.5005000000001</v>
      </c>
      <c r="O638" s="51">
        <f ca="1">MAX(N638:$N$732)</f>
        <v>3653.6205000000004</v>
      </c>
      <c r="P638" s="52">
        <f t="shared" ca="1" si="28"/>
        <v>-0.12429314976747045</v>
      </c>
      <c r="Q638" s="43">
        <f t="shared" ca="1" si="29"/>
        <v>-4.9094919768706134E-2</v>
      </c>
    </row>
    <row r="639" spans="12:17" x14ac:dyDescent="0.3">
      <c r="L639" s="10">
        <f ca="1"/>
        <v>45373.229166666664</v>
      </c>
      <c r="M639" s="50">
        <f ca="1"/>
        <v>63796.639999999999</v>
      </c>
      <c r="N639" s="51">
        <f t="shared" ca="1" si="27"/>
        <v>3189.8320000000003</v>
      </c>
      <c r="O639" s="51">
        <f ca="1">MAX(N639:$N$732)</f>
        <v>3653.6205000000004</v>
      </c>
      <c r="P639" s="52">
        <f t="shared" ca="1" si="28"/>
        <v>-0.12693942898557747</v>
      </c>
      <c r="Q639" s="43">
        <f t="shared" ca="1" si="29"/>
        <v>-3.0264530386603433E-3</v>
      </c>
    </row>
    <row r="640" spans="12:17" x14ac:dyDescent="0.3">
      <c r="L640" s="10">
        <f ca="1"/>
        <v>45372.229166666664</v>
      </c>
      <c r="M640" s="50">
        <f ca="1"/>
        <v>65501.27</v>
      </c>
      <c r="N640" s="51">
        <f t="shared" ca="1" si="27"/>
        <v>3275.0635000000002</v>
      </c>
      <c r="O640" s="51">
        <f ca="1">MAX(N640:$N$732)</f>
        <v>3653.6205000000004</v>
      </c>
      <c r="P640" s="52">
        <f t="shared" ca="1" si="28"/>
        <v>-0.10361147251062341</v>
      </c>
      <c r="Q640" s="43">
        <f t="shared" ca="1" si="29"/>
        <v>2.6369007379098922E-2</v>
      </c>
    </row>
    <row r="641" spans="12:17" x14ac:dyDescent="0.3">
      <c r="L641" s="10">
        <f ca="1"/>
        <v>45371.229166666664</v>
      </c>
      <c r="M641" s="50">
        <f ca="1"/>
        <v>67840.509999999995</v>
      </c>
      <c r="N641" s="51">
        <f t="shared" ca="1" si="27"/>
        <v>3392.0254999999997</v>
      </c>
      <c r="O641" s="51">
        <f ca="1">MAX(N641:$N$732)</f>
        <v>3653.6205000000004</v>
      </c>
      <c r="P641" s="52">
        <f t="shared" ca="1" si="28"/>
        <v>-7.159884284643156E-2</v>
      </c>
      <c r="Q641" s="43">
        <f t="shared" ca="1" si="29"/>
        <v>3.5089977377855998E-2</v>
      </c>
    </row>
    <row r="642" spans="12:17" x14ac:dyDescent="0.3">
      <c r="L642" s="10">
        <f ca="1"/>
        <v>45370.229166666664</v>
      </c>
      <c r="M642" s="50">
        <f ca="1"/>
        <v>61937.4</v>
      </c>
      <c r="N642" s="51">
        <f t="shared" ca="1" si="27"/>
        <v>3096.8700000000003</v>
      </c>
      <c r="O642" s="51">
        <f ca="1">MAX(N642:$N$732)</f>
        <v>3653.6205000000004</v>
      </c>
      <c r="P642" s="52">
        <f t="shared" ca="1" si="28"/>
        <v>-0.15238323192022818</v>
      </c>
      <c r="Q642" s="43">
        <f t="shared" ca="1" si="29"/>
        <v>-9.1035311585942552E-2</v>
      </c>
    </row>
    <row r="643" spans="12:17" x14ac:dyDescent="0.3">
      <c r="L643" s="10">
        <f ca="1"/>
        <v>45369.229166666664</v>
      </c>
      <c r="M643" s="50">
        <f ca="1"/>
        <v>67609.990000000005</v>
      </c>
      <c r="N643" s="51">
        <f t="shared" ref="N643:N706" ca="1" si="30">$C$6*M643</f>
        <v>3380.4995000000004</v>
      </c>
      <c r="O643" s="51">
        <f ca="1">MAX(N643:$N$732)</f>
        <v>3653.6205000000004</v>
      </c>
      <c r="P643" s="52">
        <f t="shared" ref="P643:P706" ca="1" si="31">(N643 - O643)/O643</f>
        <v>-7.4753521883293594E-2</v>
      </c>
      <c r="Q643" s="43">
        <f t="shared" ca="1" si="29"/>
        <v>8.7631555637334796E-2</v>
      </c>
    </row>
    <row r="644" spans="12:17" x14ac:dyDescent="0.3">
      <c r="L644" s="10">
        <f ca="1"/>
        <v>45368.229166666664</v>
      </c>
      <c r="M644" s="50">
        <f ca="1"/>
        <v>68393.48</v>
      </c>
      <c r="N644" s="51">
        <f t="shared" ca="1" si="30"/>
        <v>3419.674</v>
      </c>
      <c r="O644" s="51">
        <f ca="1">MAX(N644:$N$732)</f>
        <v>3653.6205000000004</v>
      </c>
      <c r="P644" s="52">
        <f t="shared" ca="1" si="31"/>
        <v>-6.4031417603443067E-2</v>
      </c>
      <c r="Q644" s="43">
        <f t="shared" ref="Q644:Q707" ca="1" si="32">LN(N644 / N643)</f>
        <v>1.1521745252220409E-2</v>
      </c>
    </row>
    <row r="645" spans="12:17" x14ac:dyDescent="0.3">
      <c r="L645" s="10">
        <f ca="1"/>
        <v>45367.229166666664</v>
      </c>
      <c r="M645" s="50">
        <f ca="1"/>
        <v>65300.63</v>
      </c>
      <c r="N645" s="51">
        <f t="shared" ca="1" si="30"/>
        <v>3265.0315000000001</v>
      </c>
      <c r="O645" s="51">
        <f ca="1">MAX(N645:$N$732)</f>
        <v>3653.6205000000004</v>
      </c>
      <c r="P645" s="52">
        <f t="shared" ca="1" si="31"/>
        <v>-0.10635724208357172</v>
      </c>
      <c r="Q645" s="43">
        <f t="shared" ca="1" si="32"/>
        <v>-4.6275814432356704E-2</v>
      </c>
    </row>
    <row r="646" spans="12:17" x14ac:dyDescent="0.3">
      <c r="L646" s="10">
        <f ca="1"/>
        <v>45366.229166666664</v>
      </c>
      <c r="M646" s="50">
        <f ca="1"/>
        <v>69499.850000000006</v>
      </c>
      <c r="N646" s="51">
        <f t="shared" ca="1" si="30"/>
        <v>3474.9925000000003</v>
      </c>
      <c r="O646" s="51">
        <f ca="1">MAX(N646:$N$732)</f>
        <v>3653.6205000000004</v>
      </c>
      <c r="P646" s="52">
        <f t="shared" ca="1" si="31"/>
        <v>-4.8890682543520907E-2</v>
      </c>
      <c r="Q646" s="43">
        <f t="shared" ca="1" si="32"/>
        <v>6.2322910279711007E-2</v>
      </c>
    </row>
    <row r="647" spans="12:17" x14ac:dyDescent="0.3">
      <c r="L647" s="10">
        <f ca="1"/>
        <v>45365.229166666664</v>
      </c>
      <c r="M647" s="50">
        <f ca="1"/>
        <v>71388.94</v>
      </c>
      <c r="N647" s="51">
        <f t="shared" ca="1" si="30"/>
        <v>3569.4470000000001</v>
      </c>
      <c r="O647" s="51">
        <f ca="1">MAX(N647:$N$732)</f>
        <v>3653.6205000000004</v>
      </c>
      <c r="P647" s="52">
        <f t="shared" ca="1" si="31"/>
        <v>-2.3038380696626899E-2</v>
      </c>
      <c r="Q647" s="43">
        <f t="shared" ca="1" si="32"/>
        <v>2.6818361091170501E-2</v>
      </c>
    </row>
    <row r="648" spans="12:17" x14ac:dyDescent="0.3">
      <c r="L648" s="10">
        <f ca="1"/>
        <v>45364.229166666664</v>
      </c>
      <c r="M648" s="50">
        <f ca="1"/>
        <v>73072.41</v>
      </c>
      <c r="N648" s="51">
        <f t="shared" ca="1" si="30"/>
        <v>3653.6205000000004</v>
      </c>
      <c r="O648" s="51">
        <f ca="1">MAX(N648:$N$732)</f>
        <v>3653.6205000000004</v>
      </c>
      <c r="P648" s="52">
        <f t="shared" ca="1" si="31"/>
        <v>0</v>
      </c>
      <c r="Q648" s="43">
        <f t="shared" ca="1" si="32"/>
        <v>2.3307911945009079E-2</v>
      </c>
    </row>
    <row r="649" spans="12:17" x14ac:dyDescent="0.3">
      <c r="L649" s="10">
        <f ca="1"/>
        <v>45363.229166666664</v>
      </c>
      <c r="M649" s="50">
        <f ca="1"/>
        <v>71452.009999999995</v>
      </c>
      <c r="N649" s="51">
        <f t="shared" ca="1" si="30"/>
        <v>3572.6005</v>
      </c>
      <c r="O649" s="51">
        <f ca="1">MAX(N649:$N$732)</f>
        <v>3603.9050000000007</v>
      </c>
      <c r="P649" s="52">
        <f t="shared" ca="1" si="31"/>
        <v>-8.686272251904709E-3</v>
      </c>
      <c r="Q649" s="43">
        <f t="shared" ca="1" si="32"/>
        <v>-2.2424831790492435E-2</v>
      </c>
    </row>
    <row r="650" spans="12:17" x14ac:dyDescent="0.3">
      <c r="L650" s="10">
        <f ca="1"/>
        <v>45362.229166666664</v>
      </c>
      <c r="M650" s="50">
        <f ca="1"/>
        <v>72078.100000000006</v>
      </c>
      <c r="N650" s="51">
        <f t="shared" ca="1" si="30"/>
        <v>3603.9050000000007</v>
      </c>
      <c r="O650" s="51">
        <f ca="1">MAX(N650:$N$732)</f>
        <v>3603.9050000000007</v>
      </c>
      <c r="P650" s="52">
        <f t="shared" ca="1" si="31"/>
        <v>0</v>
      </c>
      <c r="Q650" s="43">
        <f t="shared" ca="1" si="32"/>
        <v>8.7242178114950667E-3</v>
      </c>
    </row>
    <row r="651" spans="12:17" x14ac:dyDescent="0.3">
      <c r="L651" s="10">
        <f ca="1"/>
        <v>45361.229166666664</v>
      </c>
      <c r="M651" s="50">
        <f ca="1"/>
        <v>68955.88</v>
      </c>
      <c r="N651" s="51">
        <f t="shared" ca="1" si="30"/>
        <v>3447.7940000000003</v>
      </c>
      <c r="O651" s="51">
        <f ca="1">MAX(N651:$N$732)</f>
        <v>3447.7940000000003</v>
      </c>
      <c r="P651" s="52">
        <f t="shared" ca="1" si="31"/>
        <v>0</v>
      </c>
      <c r="Q651" s="43">
        <f t="shared" ca="1" si="32"/>
        <v>-4.428337356115343E-2</v>
      </c>
    </row>
    <row r="652" spans="12:17" x14ac:dyDescent="0.3">
      <c r="L652" s="10">
        <f ca="1"/>
        <v>45360.229166666664</v>
      </c>
      <c r="M652" s="50">
        <f ca="1"/>
        <v>68313.27</v>
      </c>
      <c r="N652" s="51">
        <f t="shared" ca="1" si="30"/>
        <v>3415.6635000000006</v>
      </c>
      <c r="O652" s="51">
        <f ca="1">MAX(N652:$N$732)</f>
        <v>3415.6635000000006</v>
      </c>
      <c r="P652" s="52">
        <f t="shared" ca="1" si="31"/>
        <v>0</v>
      </c>
      <c r="Q652" s="43">
        <f t="shared" ca="1" si="32"/>
        <v>-9.3628421886472035E-3</v>
      </c>
    </row>
    <row r="653" spans="12:17" x14ac:dyDescent="0.3">
      <c r="L653" s="10">
        <f ca="1"/>
        <v>45359.229166666664</v>
      </c>
      <c r="M653" s="50">
        <f ca="1"/>
        <v>68124.19</v>
      </c>
      <c r="N653" s="51">
        <f t="shared" ca="1" si="30"/>
        <v>3406.2095000000004</v>
      </c>
      <c r="O653" s="51">
        <f ca="1">MAX(N653:$N$732)</f>
        <v>3412.2855000000004</v>
      </c>
      <c r="P653" s="52">
        <f t="shared" ca="1" si="31"/>
        <v>-1.7806247454968294E-3</v>
      </c>
      <c r="Q653" s="43">
        <f t="shared" ca="1" si="32"/>
        <v>-2.7716745979518929E-3</v>
      </c>
    </row>
    <row r="654" spans="12:17" x14ac:dyDescent="0.3">
      <c r="L654" s="10">
        <f ca="1"/>
        <v>45358.229166666664</v>
      </c>
      <c r="M654" s="50">
        <f ca="1"/>
        <v>66823.17</v>
      </c>
      <c r="N654" s="51">
        <f t="shared" ca="1" si="30"/>
        <v>3341.1585</v>
      </c>
      <c r="O654" s="51">
        <f ca="1">MAX(N654:$N$732)</f>
        <v>3412.2855000000004</v>
      </c>
      <c r="P654" s="52">
        <f t="shared" ca="1" si="31"/>
        <v>-2.0844387141697375E-2</v>
      </c>
      <c r="Q654" s="43">
        <f t="shared" ca="1" si="32"/>
        <v>-1.9282486315176355E-2</v>
      </c>
    </row>
    <row r="655" spans="12:17" x14ac:dyDescent="0.3">
      <c r="L655" s="10">
        <f ca="1"/>
        <v>45357.229166666664</v>
      </c>
      <c r="M655" s="50">
        <f ca="1"/>
        <v>66074.039999999994</v>
      </c>
      <c r="N655" s="51">
        <f t="shared" ca="1" si="30"/>
        <v>3303.7019999999998</v>
      </c>
      <c r="O655" s="51">
        <f ca="1">MAX(N655:$N$732)</f>
        <v>3412.2855000000004</v>
      </c>
      <c r="P655" s="52">
        <f t="shared" ca="1" si="31"/>
        <v>-3.1821340857909053E-2</v>
      </c>
      <c r="Q655" s="43">
        <f t="shared" ca="1" si="32"/>
        <v>-1.1273945248864234E-2</v>
      </c>
    </row>
    <row r="656" spans="12:17" x14ac:dyDescent="0.3">
      <c r="L656" s="10">
        <f ca="1"/>
        <v>45356.229166666664</v>
      </c>
      <c r="M656" s="50">
        <f ca="1"/>
        <v>63724.01</v>
      </c>
      <c r="N656" s="51">
        <f t="shared" ca="1" si="30"/>
        <v>3186.2005000000004</v>
      </c>
      <c r="O656" s="51">
        <f ca="1">MAX(N656:$N$732)</f>
        <v>3412.2855000000004</v>
      </c>
      <c r="P656" s="52">
        <f t="shared" ca="1" si="31"/>
        <v>-6.6256179326143722E-2</v>
      </c>
      <c r="Q656" s="43">
        <f t="shared" ca="1" si="32"/>
        <v>-3.6214516803042558E-2</v>
      </c>
    </row>
    <row r="657" spans="12:17" x14ac:dyDescent="0.3">
      <c r="L657" s="10">
        <f ca="1"/>
        <v>45355.229166666664</v>
      </c>
      <c r="M657" s="50">
        <f ca="1"/>
        <v>68245.710000000006</v>
      </c>
      <c r="N657" s="51">
        <f t="shared" ca="1" si="30"/>
        <v>3412.2855000000004</v>
      </c>
      <c r="O657" s="51">
        <f ca="1">MAX(N657:$N$732)</f>
        <v>3412.2855000000004</v>
      </c>
      <c r="P657" s="52">
        <f t="shared" ca="1" si="31"/>
        <v>0</v>
      </c>
      <c r="Q657" s="43">
        <f t="shared" ca="1" si="32"/>
        <v>6.8553160309236236E-2</v>
      </c>
    </row>
    <row r="658" spans="12:17" x14ac:dyDescent="0.3">
      <c r="L658" s="10">
        <f ca="1"/>
        <v>45354.229166666664</v>
      </c>
      <c r="M658" s="50">
        <f ca="1"/>
        <v>63113.97</v>
      </c>
      <c r="N658" s="51">
        <f t="shared" ca="1" si="30"/>
        <v>3155.6985000000004</v>
      </c>
      <c r="O658" s="51">
        <f ca="1">MAX(N658:$N$732)</f>
        <v>3155.6985000000004</v>
      </c>
      <c r="P658" s="52">
        <f t="shared" ca="1" si="31"/>
        <v>0</v>
      </c>
      <c r="Q658" s="43">
        <f t="shared" ca="1" si="32"/>
        <v>-7.8172435291894438E-2</v>
      </c>
    </row>
    <row r="659" spans="12:17" x14ac:dyDescent="0.3">
      <c r="L659" s="10">
        <f ca="1"/>
        <v>45353.229166666664</v>
      </c>
      <c r="M659" s="50">
        <f ca="1"/>
        <v>61987.28</v>
      </c>
      <c r="N659" s="51">
        <f t="shared" ca="1" si="30"/>
        <v>3099.364</v>
      </c>
      <c r="O659" s="51">
        <f ca="1">MAX(N659:$N$732)</f>
        <v>3121.605</v>
      </c>
      <c r="P659" s="52">
        <f t="shared" ca="1" si="31"/>
        <v>-7.1248604483911274E-3</v>
      </c>
      <c r="Q659" s="43">
        <f t="shared" ca="1" si="32"/>
        <v>-1.8012936948412158E-2</v>
      </c>
    </row>
    <row r="660" spans="12:17" x14ac:dyDescent="0.3">
      <c r="L660" s="10">
        <f ca="1"/>
        <v>45352.229166666664</v>
      </c>
      <c r="M660" s="50">
        <f ca="1"/>
        <v>62387.9</v>
      </c>
      <c r="N660" s="51">
        <f t="shared" ca="1" si="30"/>
        <v>3119.3950000000004</v>
      </c>
      <c r="O660" s="51">
        <f ca="1">MAX(N660:$N$732)</f>
        <v>3121.605</v>
      </c>
      <c r="P660" s="52">
        <f t="shared" ca="1" si="31"/>
        <v>-7.0796913767103193E-4</v>
      </c>
      <c r="Q660" s="43">
        <f t="shared" ca="1" si="32"/>
        <v>6.4421436096347377E-3</v>
      </c>
    </row>
    <row r="661" spans="12:17" x14ac:dyDescent="0.3">
      <c r="L661" s="10">
        <f ca="1"/>
        <v>45351.229166666664</v>
      </c>
      <c r="M661" s="50">
        <f ca="1"/>
        <v>61130.98</v>
      </c>
      <c r="N661" s="51">
        <f t="shared" ca="1" si="30"/>
        <v>3056.5490000000004</v>
      </c>
      <c r="O661" s="51">
        <f ca="1">MAX(N661:$N$732)</f>
        <v>3121.605</v>
      </c>
      <c r="P661" s="52">
        <f t="shared" ca="1" si="31"/>
        <v>-2.0840561185671982E-2</v>
      </c>
      <c r="Q661" s="43">
        <f t="shared" ca="1" si="32"/>
        <v>-2.0352570995341074E-2</v>
      </c>
    </row>
    <row r="662" spans="12:17" x14ac:dyDescent="0.3">
      <c r="L662" s="10">
        <f ca="1"/>
        <v>45350.229166666664</v>
      </c>
      <c r="M662" s="50">
        <f ca="1"/>
        <v>62432.1</v>
      </c>
      <c r="N662" s="51">
        <f t="shared" ca="1" si="30"/>
        <v>3121.605</v>
      </c>
      <c r="O662" s="51">
        <f ca="1">MAX(N662:$N$732)</f>
        <v>3121.605</v>
      </c>
      <c r="P662" s="52">
        <f t="shared" ca="1" si="31"/>
        <v>0</v>
      </c>
      <c r="Q662" s="43">
        <f t="shared" ca="1" si="32"/>
        <v>2.1060790861507816E-2</v>
      </c>
    </row>
    <row r="663" spans="12:17" x14ac:dyDescent="0.3">
      <c r="L663" s="10">
        <f ca="1"/>
        <v>45349.229166666664</v>
      </c>
      <c r="M663" s="50">
        <f ca="1"/>
        <v>57037.34</v>
      </c>
      <c r="N663" s="51">
        <f t="shared" ca="1" si="30"/>
        <v>2851.8670000000002</v>
      </c>
      <c r="O663" s="51">
        <f ca="1">MAX(N663:$N$732)</f>
        <v>2851.8670000000002</v>
      </c>
      <c r="P663" s="52">
        <f t="shared" ca="1" si="31"/>
        <v>0</v>
      </c>
      <c r="Q663" s="43">
        <f t="shared" ca="1" si="32"/>
        <v>-9.0373425104563435E-2</v>
      </c>
    </row>
    <row r="664" spans="12:17" x14ac:dyDescent="0.3">
      <c r="L664" s="10">
        <f ca="1"/>
        <v>45348.229166666664</v>
      </c>
      <c r="M664" s="50">
        <f ca="1"/>
        <v>54476.47</v>
      </c>
      <c r="N664" s="51">
        <f t="shared" ca="1" si="30"/>
        <v>2723.8235000000004</v>
      </c>
      <c r="O664" s="51">
        <f ca="1">MAX(N664:$N$732)</f>
        <v>2723.8235000000004</v>
      </c>
      <c r="P664" s="52">
        <f t="shared" ca="1" si="31"/>
        <v>0</v>
      </c>
      <c r="Q664" s="43">
        <f t="shared" ca="1" si="32"/>
        <v>-4.5937275755513263E-2</v>
      </c>
    </row>
    <row r="665" spans="12:17" x14ac:dyDescent="0.3">
      <c r="L665" s="10">
        <f ca="1"/>
        <v>45347.229166666664</v>
      </c>
      <c r="M665" s="50">
        <f ca="1"/>
        <v>51728.85</v>
      </c>
      <c r="N665" s="51">
        <f t="shared" ca="1" si="30"/>
        <v>2586.4425000000001</v>
      </c>
      <c r="O665" s="51">
        <f ca="1">MAX(N665:$N$732)</f>
        <v>2612.9410000000003</v>
      </c>
      <c r="P665" s="52">
        <f t="shared" ca="1" si="31"/>
        <v>-1.0141254624578261E-2</v>
      </c>
      <c r="Q665" s="43">
        <f t="shared" ca="1" si="32"/>
        <v>-5.1753212367562917E-2</v>
      </c>
    </row>
    <row r="666" spans="12:17" x14ac:dyDescent="0.3">
      <c r="L666" s="10">
        <f ca="1"/>
        <v>45346.229166666664</v>
      </c>
      <c r="M666" s="50">
        <f ca="1"/>
        <v>51568.22</v>
      </c>
      <c r="N666" s="51">
        <f t="shared" ca="1" si="30"/>
        <v>2578.4110000000001</v>
      </c>
      <c r="O666" s="51">
        <f ca="1">MAX(N666:$N$732)</f>
        <v>2612.9410000000003</v>
      </c>
      <c r="P666" s="52">
        <f t="shared" ca="1" si="31"/>
        <v>-1.3214994138788513E-2</v>
      </c>
      <c r="Q666" s="43">
        <f t="shared" ca="1" si="32"/>
        <v>-3.1100616788885416E-3</v>
      </c>
    </row>
    <row r="667" spans="12:17" x14ac:dyDescent="0.3">
      <c r="L667" s="10">
        <f ca="1"/>
        <v>45345.229166666664</v>
      </c>
      <c r="M667" s="50">
        <f ca="1"/>
        <v>50744.15</v>
      </c>
      <c r="N667" s="51">
        <f t="shared" ca="1" si="30"/>
        <v>2537.2075000000004</v>
      </c>
      <c r="O667" s="51">
        <f ca="1">MAX(N667:$N$732)</f>
        <v>2612.9410000000003</v>
      </c>
      <c r="P667" s="52">
        <f t="shared" ca="1" si="31"/>
        <v>-2.8984006910221016E-2</v>
      </c>
      <c r="Q667" s="43">
        <f t="shared" ca="1" si="32"/>
        <v>-1.6109250933854555E-2</v>
      </c>
    </row>
    <row r="668" spans="12:17" x14ac:dyDescent="0.3">
      <c r="L668" s="10">
        <f ca="1"/>
        <v>45344.229166666664</v>
      </c>
      <c r="M668" s="50">
        <f ca="1"/>
        <v>51288.42</v>
      </c>
      <c r="N668" s="51">
        <f t="shared" ca="1" si="30"/>
        <v>2564.4210000000003</v>
      </c>
      <c r="O668" s="51">
        <f ca="1">MAX(N668:$N$732)</f>
        <v>2612.9410000000003</v>
      </c>
      <c r="P668" s="52">
        <f t="shared" ca="1" si="31"/>
        <v>-1.8569114266261649E-2</v>
      </c>
      <c r="Q668" s="43">
        <f t="shared" ca="1" si="32"/>
        <v>1.0668655359765146E-2</v>
      </c>
    </row>
    <row r="669" spans="12:17" x14ac:dyDescent="0.3">
      <c r="L669" s="10">
        <f ca="1"/>
        <v>45343.229166666664</v>
      </c>
      <c r="M669" s="50">
        <f ca="1"/>
        <v>51849.39</v>
      </c>
      <c r="N669" s="51">
        <f t="shared" ca="1" si="30"/>
        <v>2592.4695000000002</v>
      </c>
      <c r="O669" s="51">
        <f ca="1">MAX(N669:$N$732)</f>
        <v>2612.9410000000003</v>
      </c>
      <c r="P669" s="52">
        <f t="shared" ca="1" si="31"/>
        <v>-7.8346583409269876E-3</v>
      </c>
      <c r="Q669" s="43">
        <f t="shared" ca="1" si="32"/>
        <v>1.0878174198952957E-2</v>
      </c>
    </row>
    <row r="670" spans="12:17" x14ac:dyDescent="0.3">
      <c r="L670" s="10">
        <f ca="1"/>
        <v>45342.229166666664</v>
      </c>
      <c r="M670" s="50">
        <f ca="1"/>
        <v>52258.82</v>
      </c>
      <c r="N670" s="51">
        <f t="shared" ca="1" si="30"/>
        <v>2612.9410000000003</v>
      </c>
      <c r="O670" s="51">
        <f ca="1">MAX(N670:$N$732)</f>
        <v>2612.9410000000003</v>
      </c>
      <c r="P670" s="52">
        <f t="shared" ca="1" si="31"/>
        <v>0</v>
      </c>
      <c r="Q670" s="43">
        <f t="shared" ca="1" si="32"/>
        <v>7.8655105264593961E-3</v>
      </c>
    </row>
    <row r="671" spans="12:17" x14ac:dyDescent="0.3">
      <c r="L671" s="10">
        <f ca="1"/>
        <v>45341.229166666664</v>
      </c>
      <c r="M671" s="50">
        <f ca="1"/>
        <v>51774.73</v>
      </c>
      <c r="N671" s="51">
        <f t="shared" ca="1" si="30"/>
        <v>2588.7365000000004</v>
      </c>
      <c r="O671" s="51">
        <f ca="1">MAX(N671:$N$732)</f>
        <v>2606.8834999999999</v>
      </c>
      <c r="P671" s="52">
        <f t="shared" ca="1" si="31"/>
        <v>-6.9611856456184102E-3</v>
      </c>
      <c r="Q671" s="43">
        <f t="shared" ca="1" si="32"/>
        <v>-9.3064880309005893E-3</v>
      </c>
    </row>
    <row r="672" spans="12:17" x14ac:dyDescent="0.3">
      <c r="L672" s="10">
        <f ca="1"/>
        <v>45340.229166666664</v>
      </c>
      <c r="M672" s="50">
        <f ca="1"/>
        <v>52137.67</v>
      </c>
      <c r="N672" s="51">
        <f t="shared" ca="1" si="30"/>
        <v>2606.8834999999999</v>
      </c>
      <c r="O672" s="51">
        <f ca="1">MAX(N672:$N$732)</f>
        <v>2606.8834999999999</v>
      </c>
      <c r="P672" s="52">
        <f t="shared" ca="1" si="31"/>
        <v>0</v>
      </c>
      <c r="Q672" s="43">
        <f t="shared" ca="1" si="32"/>
        <v>6.9855277307064477E-3</v>
      </c>
    </row>
    <row r="673" spans="12:17" x14ac:dyDescent="0.3">
      <c r="L673" s="10">
        <f ca="1"/>
        <v>45339.229166666664</v>
      </c>
      <c r="M673" s="50">
        <f ca="1"/>
        <v>51642.64</v>
      </c>
      <c r="N673" s="51">
        <f t="shared" ca="1" si="30"/>
        <v>2582.1320000000001</v>
      </c>
      <c r="O673" s="51">
        <f ca="1">MAX(N673:$N$732)</f>
        <v>2606.2055</v>
      </c>
      <c r="P673" s="52">
        <f t="shared" ca="1" si="31"/>
        <v>-9.2369922479251798E-3</v>
      </c>
      <c r="Q673" s="43">
        <f t="shared" ca="1" si="32"/>
        <v>-9.5400322946761051E-3</v>
      </c>
    </row>
    <row r="674" spans="12:17" x14ac:dyDescent="0.3">
      <c r="L674" s="10">
        <f ca="1"/>
        <v>45338.229166666664</v>
      </c>
      <c r="M674" s="50">
        <f ca="1"/>
        <v>52124.11</v>
      </c>
      <c r="N674" s="51">
        <f t="shared" ca="1" si="30"/>
        <v>2606.2055</v>
      </c>
      <c r="O674" s="51">
        <f ca="1">MAX(N674:$N$732)</f>
        <v>2606.2055</v>
      </c>
      <c r="P674" s="52">
        <f t="shared" ca="1" si="31"/>
        <v>0</v>
      </c>
      <c r="Q674" s="43">
        <f t="shared" ca="1" si="32"/>
        <v>9.2799178006312943E-3</v>
      </c>
    </row>
    <row r="675" spans="12:17" x14ac:dyDescent="0.3">
      <c r="L675" s="10">
        <f ca="1"/>
        <v>45337.229166666664</v>
      </c>
      <c r="M675" s="50">
        <f ca="1"/>
        <v>51880</v>
      </c>
      <c r="N675" s="51">
        <f t="shared" ca="1" si="30"/>
        <v>2594</v>
      </c>
      <c r="O675" s="51">
        <f ca="1">MAX(N675:$N$732)</f>
        <v>2594</v>
      </c>
      <c r="P675" s="52">
        <f t="shared" ca="1" si="31"/>
        <v>0</v>
      </c>
      <c r="Q675" s="43">
        <f t="shared" ca="1" si="32"/>
        <v>-4.6942461844266571E-3</v>
      </c>
    </row>
    <row r="676" spans="12:17" x14ac:dyDescent="0.3">
      <c r="L676" s="10">
        <f ca="1"/>
        <v>45336.229166666664</v>
      </c>
      <c r="M676" s="50">
        <f ca="1"/>
        <v>51795.17</v>
      </c>
      <c r="N676" s="51">
        <f t="shared" ca="1" si="30"/>
        <v>2589.7584999999999</v>
      </c>
      <c r="O676" s="51">
        <f ca="1">MAX(N676:$N$732)</f>
        <v>2589.7584999999999</v>
      </c>
      <c r="P676" s="52">
        <f t="shared" ca="1" si="31"/>
        <v>0</v>
      </c>
      <c r="Q676" s="43">
        <f t="shared" ca="1" si="32"/>
        <v>-1.6364577734704635E-3</v>
      </c>
    </row>
    <row r="677" spans="12:17" x14ac:dyDescent="0.3">
      <c r="L677" s="10">
        <f ca="1"/>
        <v>45335.229166666664</v>
      </c>
      <c r="M677" s="50">
        <f ca="1"/>
        <v>49699.59</v>
      </c>
      <c r="N677" s="51">
        <f t="shared" ca="1" si="30"/>
        <v>2484.9794999999999</v>
      </c>
      <c r="O677" s="51">
        <f ca="1">MAX(N677:$N$732)</f>
        <v>2495.8634999999999</v>
      </c>
      <c r="P677" s="52">
        <f t="shared" ca="1" si="31"/>
        <v>-4.3608154051693994E-3</v>
      </c>
      <c r="Q677" s="43">
        <f t="shared" ca="1" si="32"/>
        <v>-4.1300218103198852E-2</v>
      </c>
    </row>
    <row r="678" spans="12:17" x14ac:dyDescent="0.3">
      <c r="L678" s="10">
        <f ca="1"/>
        <v>45334.229166666664</v>
      </c>
      <c r="M678" s="50">
        <f ca="1"/>
        <v>49917.27</v>
      </c>
      <c r="N678" s="51">
        <f t="shared" ca="1" si="30"/>
        <v>2495.8634999999999</v>
      </c>
      <c r="O678" s="51">
        <f ca="1">MAX(N678:$N$732)</f>
        <v>2495.8634999999999</v>
      </c>
      <c r="P678" s="52">
        <f t="shared" ca="1" si="31"/>
        <v>0</v>
      </c>
      <c r="Q678" s="43">
        <f t="shared" ca="1" si="32"/>
        <v>4.3703514941824959E-3</v>
      </c>
    </row>
    <row r="679" spans="12:17" x14ac:dyDescent="0.3">
      <c r="L679" s="10">
        <f ca="1"/>
        <v>45333.229166666664</v>
      </c>
      <c r="M679" s="50">
        <f ca="1"/>
        <v>48299.99</v>
      </c>
      <c r="N679" s="51">
        <f t="shared" ca="1" si="30"/>
        <v>2414.9994999999999</v>
      </c>
      <c r="O679" s="51">
        <f ca="1">MAX(N679:$N$732)</f>
        <v>2414.9994999999999</v>
      </c>
      <c r="P679" s="52">
        <f t="shared" ca="1" si="31"/>
        <v>0</v>
      </c>
      <c r="Q679" s="43">
        <f t="shared" ca="1" si="32"/>
        <v>-3.2935681446588344E-2</v>
      </c>
    </row>
    <row r="680" spans="12:17" x14ac:dyDescent="0.3">
      <c r="L680" s="10">
        <f ca="1"/>
        <v>45332.229166666664</v>
      </c>
      <c r="M680" s="50">
        <f ca="1"/>
        <v>47751.09</v>
      </c>
      <c r="N680" s="51">
        <f t="shared" ca="1" si="30"/>
        <v>2387.5544999999997</v>
      </c>
      <c r="O680" s="51">
        <f ca="1">MAX(N680:$N$732)</f>
        <v>2387.5544999999997</v>
      </c>
      <c r="P680" s="52">
        <f t="shared" ca="1" si="31"/>
        <v>0</v>
      </c>
      <c r="Q680" s="43">
        <f t="shared" ca="1" si="32"/>
        <v>-1.1429459727835205E-2</v>
      </c>
    </row>
    <row r="681" spans="12:17" x14ac:dyDescent="0.3">
      <c r="L681" s="10">
        <f ca="1"/>
        <v>45331.229166666664</v>
      </c>
      <c r="M681" s="50">
        <f ca="1"/>
        <v>47132.77</v>
      </c>
      <c r="N681" s="51">
        <f t="shared" ca="1" si="30"/>
        <v>2356.6385</v>
      </c>
      <c r="O681" s="51">
        <f ca="1">MAX(N681:$N$732)</f>
        <v>2356.6385</v>
      </c>
      <c r="P681" s="52">
        <f t="shared" ca="1" si="31"/>
        <v>0</v>
      </c>
      <c r="Q681" s="43">
        <f t="shared" ca="1" si="32"/>
        <v>-1.3033381077871494E-2</v>
      </c>
    </row>
    <row r="682" spans="12:17" x14ac:dyDescent="0.3">
      <c r="L682" s="10">
        <f ca="1"/>
        <v>45330.229166666664</v>
      </c>
      <c r="M682" s="50">
        <f ca="1"/>
        <v>45288.65</v>
      </c>
      <c r="N682" s="51">
        <f t="shared" ca="1" si="30"/>
        <v>2264.4325000000003</v>
      </c>
      <c r="O682" s="51">
        <f ca="1">MAX(N682:$N$732)</f>
        <v>2347.5520000000001</v>
      </c>
      <c r="P682" s="52">
        <f t="shared" ca="1" si="31"/>
        <v>-3.5406883425798355E-2</v>
      </c>
      <c r="Q682" s="43">
        <f t="shared" ca="1" si="32"/>
        <v>-3.9912063594217825E-2</v>
      </c>
    </row>
    <row r="683" spans="12:17" x14ac:dyDescent="0.3">
      <c r="L683" s="10">
        <f ca="1"/>
        <v>45329.229166666664</v>
      </c>
      <c r="M683" s="50">
        <f ca="1"/>
        <v>44349.599999999999</v>
      </c>
      <c r="N683" s="51">
        <f t="shared" ca="1" si="30"/>
        <v>2217.48</v>
      </c>
      <c r="O683" s="51">
        <f ca="1">MAX(N683:$N$732)</f>
        <v>2347.5520000000001</v>
      </c>
      <c r="P683" s="52">
        <f t="shared" ca="1" si="31"/>
        <v>-5.5407505350254266E-2</v>
      </c>
      <c r="Q683" s="43">
        <f t="shared" ca="1" si="32"/>
        <v>-2.0952759670055172E-2</v>
      </c>
    </row>
    <row r="684" spans="12:17" x14ac:dyDescent="0.3">
      <c r="L684" s="10">
        <f ca="1"/>
        <v>45328.229166666664</v>
      </c>
      <c r="M684" s="50">
        <f ca="1"/>
        <v>43098.95</v>
      </c>
      <c r="N684" s="51">
        <f t="shared" ca="1" si="30"/>
        <v>2154.9474999999998</v>
      </c>
      <c r="O684" s="51">
        <f ca="1">MAX(N684:$N$732)</f>
        <v>2347.5520000000001</v>
      </c>
      <c r="P684" s="52">
        <f t="shared" ca="1" si="31"/>
        <v>-8.2044827973991791E-2</v>
      </c>
      <c r="Q684" s="43">
        <f t="shared" ca="1" si="32"/>
        <v>-2.8605054685199464E-2</v>
      </c>
    </row>
    <row r="685" spans="12:17" x14ac:dyDescent="0.3">
      <c r="L685" s="10">
        <f ca="1"/>
        <v>45327.229166666664</v>
      </c>
      <c r="M685" s="50">
        <f ca="1"/>
        <v>42708.7</v>
      </c>
      <c r="N685" s="51">
        <f t="shared" ca="1" si="30"/>
        <v>2135.4349999999999</v>
      </c>
      <c r="O685" s="51">
        <f ca="1">MAX(N685:$N$732)</f>
        <v>2347.5520000000001</v>
      </c>
      <c r="P685" s="52">
        <f t="shared" ca="1" si="31"/>
        <v>-9.0356677935142724E-2</v>
      </c>
      <c r="Q685" s="43">
        <f t="shared" ca="1" si="32"/>
        <v>-9.0959883104264824E-3</v>
      </c>
    </row>
    <row r="686" spans="12:17" x14ac:dyDescent="0.3">
      <c r="L686" s="10">
        <f ca="1"/>
        <v>45326.229166666664</v>
      </c>
      <c r="M686" s="50">
        <f ca="1"/>
        <v>42582.879999999997</v>
      </c>
      <c r="N686" s="51">
        <f t="shared" ca="1" si="30"/>
        <v>2129.1439999999998</v>
      </c>
      <c r="O686" s="51">
        <f ca="1">MAX(N686:$N$732)</f>
        <v>2347.5520000000001</v>
      </c>
      <c r="P686" s="52">
        <f t="shared" ca="1" si="31"/>
        <v>-9.3036490778479169E-2</v>
      </c>
      <c r="Q686" s="43">
        <f t="shared" ca="1" si="32"/>
        <v>-2.9503519870889617E-3</v>
      </c>
    </row>
    <row r="687" spans="12:17" x14ac:dyDescent="0.3">
      <c r="L687" s="10">
        <f ca="1"/>
        <v>45325.229166666664</v>
      </c>
      <c r="M687" s="50">
        <f ca="1"/>
        <v>43011.09</v>
      </c>
      <c r="N687" s="51">
        <f t="shared" ca="1" si="30"/>
        <v>2150.5544999999997</v>
      </c>
      <c r="O687" s="51">
        <f ca="1">MAX(N687:$N$732)</f>
        <v>2347.5520000000001</v>
      </c>
      <c r="P687" s="52">
        <f t="shared" ca="1" si="31"/>
        <v>-8.3916139024822617E-2</v>
      </c>
      <c r="Q687" s="43">
        <f t="shared" ca="1" si="32"/>
        <v>1.0005694851545828E-2</v>
      </c>
    </row>
    <row r="688" spans="12:17" x14ac:dyDescent="0.3">
      <c r="L688" s="10">
        <f ca="1"/>
        <v>45324.229166666664</v>
      </c>
      <c r="M688" s="50">
        <f ca="1"/>
        <v>43200</v>
      </c>
      <c r="N688" s="51">
        <f t="shared" ca="1" si="30"/>
        <v>2160</v>
      </c>
      <c r="O688" s="51">
        <f ca="1">MAX(N688:$N$732)</f>
        <v>2347.5520000000001</v>
      </c>
      <c r="P688" s="52">
        <f t="shared" ca="1" si="31"/>
        <v>-7.9892585978926178E-2</v>
      </c>
      <c r="Q688" s="43">
        <f t="shared" ca="1" si="32"/>
        <v>4.3825058320451811E-3</v>
      </c>
    </row>
    <row r="689" spans="12:17" x14ac:dyDescent="0.3">
      <c r="L689" s="10">
        <f ca="1"/>
        <v>45323.229166666664</v>
      </c>
      <c r="M689" s="50">
        <f ca="1"/>
        <v>43082.94</v>
      </c>
      <c r="N689" s="51">
        <f t="shared" ca="1" si="30"/>
        <v>2154.1470000000004</v>
      </c>
      <c r="O689" s="51">
        <f ca="1">MAX(N689:$N$732)</f>
        <v>2347.5520000000001</v>
      </c>
      <c r="P689" s="52">
        <f t="shared" ca="1" si="31"/>
        <v>-8.238582148553035E-2</v>
      </c>
      <c r="Q689" s="43">
        <f t="shared" ca="1" si="32"/>
        <v>-2.7134001651210131E-3</v>
      </c>
    </row>
    <row r="690" spans="12:17" x14ac:dyDescent="0.3">
      <c r="L690" s="10">
        <f ca="1"/>
        <v>45322.229166666664</v>
      </c>
      <c r="M690" s="50">
        <f ca="1"/>
        <v>42580</v>
      </c>
      <c r="N690" s="51">
        <f t="shared" ca="1" si="30"/>
        <v>2129</v>
      </c>
      <c r="O690" s="51">
        <f ca="1">MAX(N690:$N$732)</f>
        <v>2347.5520000000001</v>
      </c>
      <c r="P690" s="52">
        <f t="shared" ca="1" si="31"/>
        <v>-9.309783127274715E-2</v>
      </c>
      <c r="Q690" s="43">
        <f t="shared" ca="1" si="32"/>
        <v>-1.1742435619610183E-2</v>
      </c>
    </row>
    <row r="691" spans="12:17" x14ac:dyDescent="0.3">
      <c r="L691" s="10">
        <f ca="1"/>
        <v>45321.229166666664</v>
      </c>
      <c r="M691" s="50">
        <f ca="1"/>
        <v>42941.1</v>
      </c>
      <c r="N691" s="51">
        <f t="shared" ca="1" si="30"/>
        <v>2147.0549999999998</v>
      </c>
      <c r="O691" s="51">
        <f ca="1">MAX(N691:$N$732)</f>
        <v>2347.5520000000001</v>
      </c>
      <c r="P691" s="52">
        <f t="shared" ca="1" si="31"/>
        <v>-8.5406840828233105E-2</v>
      </c>
      <c r="Q691" s="43">
        <f t="shared" ca="1" si="32"/>
        <v>8.4447497973837819E-3</v>
      </c>
    </row>
    <row r="692" spans="12:17" x14ac:dyDescent="0.3">
      <c r="L692" s="10">
        <f ca="1"/>
        <v>45320.229166666664</v>
      </c>
      <c r="M692" s="50">
        <f ca="1"/>
        <v>43302.7</v>
      </c>
      <c r="N692" s="51">
        <f t="shared" ca="1" si="30"/>
        <v>2165.1349999999998</v>
      </c>
      <c r="O692" s="51">
        <f ca="1">MAX(N692:$N$732)</f>
        <v>2347.5520000000001</v>
      </c>
      <c r="P692" s="52">
        <f t="shared" ca="1" si="31"/>
        <v>-7.7705200992353035E-2</v>
      </c>
      <c r="Q692" s="43">
        <f t="shared" ca="1" si="32"/>
        <v>8.3855794598923436E-3</v>
      </c>
    </row>
    <row r="693" spans="12:17" x14ac:dyDescent="0.3">
      <c r="L693" s="10">
        <f ca="1"/>
        <v>45319.229166666664</v>
      </c>
      <c r="M693" s="50">
        <f ca="1"/>
        <v>42031.06</v>
      </c>
      <c r="N693" s="51">
        <f t="shared" ca="1" si="30"/>
        <v>2101.5529999999999</v>
      </c>
      <c r="O693" s="51">
        <f ca="1">MAX(N693:$N$732)</f>
        <v>2347.5520000000001</v>
      </c>
      <c r="P693" s="52">
        <f t="shared" ca="1" si="31"/>
        <v>-0.10478958506563443</v>
      </c>
      <c r="Q693" s="43">
        <f t="shared" ca="1" si="32"/>
        <v>-2.9806119942710416E-2</v>
      </c>
    </row>
    <row r="694" spans="12:17" x14ac:dyDescent="0.3">
      <c r="L694" s="10">
        <f ca="1"/>
        <v>45318.229166666664</v>
      </c>
      <c r="M694" s="50">
        <f ca="1"/>
        <v>42120.63</v>
      </c>
      <c r="N694" s="51">
        <f t="shared" ca="1" si="30"/>
        <v>2106.0315000000001</v>
      </c>
      <c r="O694" s="51">
        <f ca="1">MAX(N694:$N$732)</f>
        <v>2347.5520000000001</v>
      </c>
      <c r="P694" s="52">
        <f t="shared" ca="1" si="31"/>
        <v>-0.10288185309633187</v>
      </c>
      <c r="Q694" s="43">
        <f t="shared" ca="1" si="32"/>
        <v>2.1287756389743169E-3</v>
      </c>
    </row>
    <row r="695" spans="12:17" x14ac:dyDescent="0.3">
      <c r="L695" s="10">
        <f ca="1"/>
        <v>45317.229166666664</v>
      </c>
      <c r="M695" s="50">
        <f ca="1"/>
        <v>41823.51</v>
      </c>
      <c r="N695" s="51">
        <f t="shared" ca="1" si="30"/>
        <v>2091.1755000000003</v>
      </c>
      <c r="O695" s="51">
        <f ca="1">MAX(N695:$N$732)</f>
        <v>2347.5520000000001</v>
      </c>
      <c r="P695" s="52">
        <f t="shared" ca="1" si="31"/>
        <v>-0.10921014742165448</v>
      </c>
      <c r="Q695" s="43">
        <f t="shared" ca="1" si="32"/>
        <v>-7.0790228069771439E-3</v>
      </c>
    </row>
    <row r="696" spans="12:17" x14ac:dyDescent="0.3">
      <c r="L696" s="10">
        <f ca="1"/>
        <v>45316.229166666664</v>
      </c>
      <c r="M696" s="50">
        <f ca="1"/>
        <v>39961.089999999997</v>
      </c>
      <c r="N696" s="51">
        <f t="shared" ca="1" si="30"/>
        <v>1998.0545</v>
      </c>
      <c r="O696" s="51">
        <f ca="1">MAX(N696:$N$732)</f>
        <v>2347.5520000000001</v>
      </c>
      <c r="P696" s="52">
        <f t="shared" ca="1" si="31"/>
        <v>-0.1488774263573289</v>
      </c>
      <c r="Q696" s="43">
        <f t="shared" ca="1" si="32"/>
        <v>-4.5552390926284207E-2</v>
      </c>
    </row>
    <row r="697" spans="12:17" x14ac:dyDescent="0.3">
      <c r="L697" s="10">
        <f ca="1"/>
        <v>45315.229166666664</v>
      </c>
      <c r="M697" s="50">
        <f ca="1"/>
        <v>40084.879999999997</v>
      </c>
      <c r="N697" s="51">
        <f t="shared" ca="1" si="30"/>
        <v>2004.2439999999999</v>
      </c>
      <c r="O697" s="51">
        <f ca="1">MAX(N697:$N$732)</f>
        <v>2347.5520000000001</v>
      </c>
      <c r="P697" s="52">
        <f t="shared" ca="1" si="31"/>
        <v>-0.14624085004293844</v>
      </c>
      <c r="Q697" s="43">
        <f t="shared" ca="1" si="32"/>
        <v>3.0929751663038374E-3</v>
      </c>
    </row>
    <row r="698" spans="12:17" x14ac:dyDescent="0.3">
      <c r="L698" s="10">
        <f ca="1"/>
        <v>45314.229166666664</v>
      </c>
      <c r="M698" s="50">
        <f ca="1"/>
        <v>39897.599999999999</v>
      </c>
      <c r="N698" s="51">
        <f t="shared" ca="1" si="30"/>
        <v>1994.88</v>
      </c>
      <c r="O698" s="51">
        <f ca="1">MAX(N698:$N$732)</f>
        <v>2347.5520000000001</v>
      </c>
      <c r="P698" s="52">
        <f t="shared" ca="1" si="31"/>
        <v>-0.15022968607298157</v>
      </c>
      <c r="Q698" s="43">
        <f t="shared" ca="1" si="32"/>
        <v>-4.6830341411442621E-3</v>
      </c>
    </row>
    <row r="699" spans="12:17" x14ac:dyDescent="0.3">
      <c r="L699" s="10">
        <f ca="1"/>
        <v>45313.229166666664</v>
      </c>
      <c r="M699" s="50">
        <f ca="1"/>
        <v>39568.019999999997</v>
      </c>
      <c r="N699" s="51">
        <f t="shared" ca="1" si="30"/>
        <v>1978.4009999999998</v>
      </c>
      <c r="O699" s="51">
        <f ca="1">MAX(N699:$N$732)</f>
        <v>2347.5520000000001</v>
      </c>
      <c r="P699" s="52">
        <f t="shared" ca="1" si="31"/>
        <v>-0.15724933888578413</v>
      </c>
      <c r="Q699" s="43">
        <f t="shared" ca="1" si="32"/>
        <v>-8.2949554728822209E-3</v>
      </c>
    </row>
    <row r="700" spans="12:17" x14ac:dyDescent="0.3">
      <c r="L700" s="10">
        <f ca="1"/>
        <v>45312.229166666664</v>
      </c>
      <c r="M700" s="50">
        <f ca="1"/>
        <v>41580.33</v>
      </c>
      <c r="N700" s="51">
        <f t="shared" ca="1" si="30"/>
        <v>2079.0165000000002</v>
      </c>
      <c r="O700" s="51">
        <f ca="1">MAX(N700:$N$732)</f>
        <v>2347.5520000000001</v>
      </c>
      <c r="P700" s="52">
        <f t="shared" ca="1" si="31"/>
        <v>-0.11438958540641483</v>
      </c>
      <c r="Q700" s="43">
        <f t="shared" ca="1" si="32"/>
        <v>4.960600266842026E-2</v>
      </c>
    </row>
    <row r="701" spans="12:17" x14ac:dyDescent="0.3">
      <c r="L701" s="10">
        <f ca="1"/>
        <v>45311.229166666664</v>
      </c>
      <c r="M701" s="50">
        <f ca="1"/>
        <v>41696.04</v>
      </c>
      <c r="N701" s="51">
        <f t="shared" ca="1" si="30"/>
        <v>2084.8020000000001</v>
      </c>
      <c r="O701" s="51">
        <f ca="1">MAX(N701:$N$732)</f>
        <v>2347.5520000000001</v>
      </c>
      <c r="P701" s="52">
        <f t="shared" ca="1" si="31"/>
        <v>-0.11192510325649868</v>
      </c>
      <c r="Q701" s="43">
        <f t="shared" ca="1" si="32"/>
        <v>2.7789413603003681E-3</v>
      </c>
    </row>
    <row r="702" spans="12:17" x14ac:dyDescent="0.3">
      <c r="L702" s="10">
        <f ca="1"/>
        <v>45310.229166666664</v>
      </c>
      <c r="M702" s="50">
        <f ca="1"/>
        <v>41659.03</v>
      </c>
      <c r="N702" s="51">
        <f t="shared" ca="1" si="30"/>
        <v>2082.9515000000001</v>
      </c>
      <c r="O702" s="51">
        <f ca="1">MAX(N702:$N$732)</f>
        <v>2347.5520000000001</v>
      </c>
      <c r="P702" s="52">
        <f t="shared" ca="1" si="31"/>
        <v>-0.11271337120540886</v>
      </c>
      <c r="Q702" s="43">
        <f t="shared" ca="1" si="32"/>
        <v>-8.8800843025015747E-4</v>
      </c>
    </row>
    <row r="703" spans="12:17" x14ac:dyDescent="0.3">
      <c r="L703" s="10">
        <f ca="1"/>
        <v>45309.229166666664</v>
      </c>
      <c r="M703" s="50">
        <f ca="1"/>
        <v>41327.5</v>
      </c>
      <c r="N703" s="51">
        <f t="shared" ca="1" si="30"/>
        <v>2066.375</v>
      </c>
      <c r="O703" s="51">
        <f ca="1">MAX(N703:$N$732)</f>
        <v>2347.5520000000001</v>
      </c>
      <c r="P703" s="52">
        <f t="shared" ca="1" si="31"/>
        <v>-0.1197745566445387</v>
      </c>
      <c r="Q703" s="43">
        <f t="shared" ca="1" si="32"/>
        <v>-7.9900138913296254E-3</v>
      </c>
    </row>
    <row r="704" spans="12:17" x14ac:dyDescent="0.3">
      <c r="L704" s="10">
        <f ca="1"/>
        <v>45308.229166666664</v>
      </c>
      <c r="M704" s="50">
        <f ca="1"/>
        <v>42776.1</v>
      </c>
      <c r="N704" s="51">
        <f t="shared" ca="1" si="30"/>
        <v>2138.8049999999998</v>
      </c>
      <c r="O704" s="51">
        <f ca="1">MAX(N704:$N$732)</f>
        <v>2347.5520000000001</v>
      </c>
      <c r="P704" s="52">
        <f t="shared" ca="1" si="31"/>
        <v>-8.8921139979008038E-2</v>
      </c>
      <c r="Q704" s="43">
        <f t="shared" ca="1" si="32"/>
        <v>3.4451397458158985E-2</v>
      </c>
    </row>
    <row r="705" spans="12:17" x14ac:dyDescent="0.3">
      <c r="L705" s="10">
        <f ca="1"/>
        <v>45307.229166666664</v>
      </c>
      <c r="M705" s="50">
        <f ca="1"/>
        <v>43137.95</v>
      </c>
      <c r="N705" s="51">
        <f t="shared" ca="1" si="30"/>
        <v>2156.8975</v>
      </c>
      <c r="O705" s="51">
        <f ca="1">MAX(N705:$N$732)</f>
        <v>2347.5520000000001</v>
      </c>
      <c r="P705" s="52">
        <f t="shared" ca="1" si="31"/>
        <v>-8.1214175447444859E-2</v>
      </c>
      <c r="Q705" s="43">
        <f t="shared" ca="1" si="32"/>
        <v>8.4235847254328349E-3</v>
      </c>
    </row>
    <row r="706" spans="12:17" x14ac:dyDescent="0.3">
      <c r="L706" s="10">
        <f ca="1"/>
        <v>45306.229166666664</v>
      </c>
      <c r="M706" s="50">
        <f ca="1"/>
        <v>42511.1</v>
      </c>
      <c r="N706" s="51">
        <f t="shared" ca="1" si="30"/>
        <v>2125.5549999999998</v>
      </c>
      <c r="O706" s="51">
        <f ca="1">MAX(N706:$N$732)</f>
        <v>2347.5520000000001</v>
      </c>
      <c r="P706" s="52">
        <f t="shared" ca="1" si="31"/>
        <v>-9.4565317402979909E-2</v>
      </c>
      <c r="Q706" s="43">
        <f t="shared" ca="1" si="32"/>
        <v>-1.4637901828299516E-2</v>
      </c>
    </row>
    <row r="707" spans="12:17" x14ac:dyDescent="0.3">
      <c r="L707" s="10">
        <f ca="1"/>
        <v>45305.229166666664</v>
      </c>
      <c r="M707" s="50">
        <f ca="1"/>
        <v>41732.35</v>
      </c>
      <c r="N707" s="51">
        <f t="shared" ref="N707:N732" ca="1" si="33">$C$6*M707</f>
        <v>2086.6174999999998</v>
      </c>
      <c r="O707" s="51">
        <f ca="1">MAX(N707:$N$732)</f>
        <v>2347.5520000000001</v>
      </c>
      <c r="P707" s="52">
        <f t="shared" ref="P707:P732" ca="1" si="34">(N707 - O707)/O707</f>
        <v>-0.11115174445550099</v>
      </c>
      <c r="Q707" s="43">
        <f t="shared" ca="1" si="32"/>
        <v>-1.848861088034873E-2</v>
      </c>
    </row>
    <row r="708" spans="12:17" x14ac:dyDescent="0.3">
      <c r="L708" s="10">
        <f ca="1"/>
        <v>45304.229166666664</v>
      </c>
      <c r="M708" s="50">
        <f ca="1"/>
        <v>42847.99</v>
      </c>
      <c r="N708" s="51">
        <f t="shared" ca="1" si="33"/>
        <v>2142.3995</v>
      </c>
      <c r="O708" s="51">
        <f ca="1">MAX(N708:$N$732)</f>
        <v>2347.5520000000001</v>
      </c>
      <c r="P708" s="52">
        <f t="shared" ca="1" si="34"/>
        <v>-8.7389970488406701E-2</v>
      </c>
      <c r="Q708" s="43">
        <f t="shared" ref="Q708:Q732" ca="1" si="35">LN(N708 / N707)</f>
        <v>2.6382128705639409E-2</v>
      </c>
    </row>
    <row r="709" spans="12:17" x14ac:dyDescent="0.3">
      <c r="L709" s="10">
        <f ca="1"/>
        <v>45303.229166666664</v>
      </c>
      <c r="M709" s="50">
        <f ca="1"/>
        <v>42782.73</v>
      </c>
      <c r="N709" s="51">
        <f t="shared" ca="1" si="33"/>
        <v>2139.1365000000001</v>
      </c>
      <c r="O709" s="51">
        <f ca="1">MAX(N709:$N$732)</f>
        <v>2347.5520000000001</v>
      </c>
      <c r="P709" s="52">
        <f t="shared" ca="1" si="34"/>
        <v>-8.8779929049494985E-2</v>
      </c>
      <c r="Q709" s="43">
        <f t="shared" ca="1" si="35"/>
        <v>-1.5242196406751946E-3</v>
      </c>
    </row>
    <row r="710" spans="12:17" x14ac:dyDescent="0.3">
      <c r="L710" s="10">
        <f ca="1"/>
        <v>45302.229166666664</v>
      </c>
      <c r="M710" s="50">
        <f ca="1"/>
        <v>46339.16</v>
      </c>
      <c r="N710" s="51">
        <f t="shared" ca="1" si="33"/>
        <v>2316.9580000000001</v>
      </c>
      <c r="O710" s="51">
        <f ca="1">MAX(N710:$N$732)</f>
        <v>2347.5520000000001</v>
      </c>
      <c r="P710" s="52">
        <f t="shared" ca="1" si="34"/>
        <v>-1.3032299178037398E-2</v>
      </c>
      <c r="Q710" s="43">
        <f t="shared" ca="1" si="35"/>
        <v>7.9852875466780937E-2</v>
      </c>
    </row>
    <row r="711" spans="12:17" x14ac:dyDescent="0.3">
      <c r="L711" s="10">
        <f ca="1"/>
        <v>45301.229166666664</v>
      </c>
      <c r="M711" s="50">
        <f ca="1"/>
        <v>46653.99</v>
      </c>
      <c r="N711" s="51">
        <f t="shared" ca="1" si="33"/>
        <v>2332.6995000000002</v>
      </c>
      <c r="O711" s="51">
        <f ca="1">MAX(N711:$N$732)</f>
        <v>2347.5520000000001</v>
      </c>
      <c r="P711" s="52">
        <f t="shared" ca="1" si="34"/>
        <v>-6.3268034105314654E-3</v>
      </c>
      <c r="Q711" s="43">
        <f t="shared" ca="1" si="35"/>
        <v>6.7710622307293848E-3</v>
      </c>
    </row>
    <row r="712" spans="12:17" x14ac:dyDescent="0.3">
      <c r="L712" s="10">
        <f ca="1"/>
        <v>45300.229166666664</v>
      </c>
      <c r="M712" s="50">
        <f ca="1"/>
        <v>46110</v>
      </c>
      <c r="N712" s="51">
        <f t="shared" ca="1" si="33"/>
        <v>2305.5</v>
      </c>
      <c r="O712" s="51">
        <f ca="1">MAX(N712:$N$732)</f>
        <v>2347.5520000000001</v>
      </c>
      <c r="P712" s="52">
        <f t="shared" ca="1" si="34"/>
        <v>-1.7913128228895518E-2</v>
      </c>
      <c r="Q712" s="43">
        <f t="shared" ca="1" si="35"/>
        <v>-1.1728607963833869E-2</v>
      </c>
    </row>
    <row r="713" spans="12:17" x14ac:dyDescent="0.3">
      <c r="L713" s="10">
        <f ca="1"/>
        <v>45299.229166666664</v>
      </c>
      <c r="M713" s="50">
        <f ca="1"/>
        <v>46951.040000000001</v>
      </c>
      <c r="N713" s="51">
        <f t="shared" ca="1" si="33"/>
        <v>2347.5520000000001</v>
      </c>
      <c r="O713" s="51">
        <f ca="1">MAX(N713:$N$732)</f>
        <v>2347.5520000000001</v>
      </c>
      <c r="P713" s="52">
        <f t="shared" ca="1" si="34"/>
        <v>0</v>
      </c>
      <c r="Q713" s="43">
        <f t="shared" ca="1" si="35"/>
        <v>1.8075510415030072E-2</v>
      </c>
    </row>
    <row r="714" spans="12:17" x14ac:dyDescent="0.3">
      <c r="L714" s="10">
        <f ca="1"/>
        <v>45298.229166666664</v>
      </c>
      <c r="M714" s="50">
        <f ca="1"/>
        <v>43929.02</v>
      </c>
      <c r="N714" s="51">
        <f t="shared" ca="1" si="33"/>
        <v>2196.451</v>
      </c>
      <c r="O714" s="51">
        <f ca="1">MAX(N714:$N$732)</f>
        <v>2247.3455000000004</v>
      </c>
      <c r="P714" s="52">
        <f t="shared" ca="1" si="34"/>
        <v>-2.2646495610043192E-2</v>
      </c>
      <c r="Q714" s="43">
        <f t="shared" ca="1" si="35"/>
        <v>-6.6530207112407036E-2</v>
      </c>
    </row>
    <row r="715" spans="12:17" x14ac:dyDescent="0.3">
      <c r="L715" s="10">
        <f ca="1"/>
        <v>45297.229166666664</v>
      </c>
      <c r="M715" s="50">
        <f ca="1"/>
        <v>43968.32</v>
      </c>
      <c r="N715" s="51">
        <f t="shared" ca="1" si="33"/>
        <v>2198.4160000000002</v>
      </c>
      <c r="O715" s="51">
        <f ca="1">MAX(N715:$N$732)</f>
        <v>2247.3455000000004</v>
      </c>
      <c r="P715" s="52">
        <f t="shared" ca="1" si="34"/>
        <v>-2.1772130720443376E-2</v>
      </c>
      <c r="Q715" s="43">
        <f t="shared" ca="1" si="35"/>
        <v>8.9422507254062803E-4</v>
      </c>
    </row>
    <row r="716" spans="12:17" x14ac:dyDescent="0.3">
      <c r="L716" s="10">
        <f ca="1"/>
        <v>45296.229166666664</v>
      </c>
      <c r="M716" s="50">
        <f ca="1"/>
        <v>44145.11</v>
      </c>
      <c r="N716" s="51">
        <f t="shared" ca="1" si="33"/>
        <v>2207.2555000000002</v>
      </c>
      <c r="O716" s="51">
        <f ca="1">MAX(N716:$N$732)</f>
        <v>2247.3455000000004</v>
      </c>
      <c r="P716" s="52">
        <f t="shared" ca="1" si="34"/>
        <v>-1.7838823625472868E-2</v>
      </c>
      <c r="Q716" s="43">
        <f t="shared" ca="1" si="35"/>
        <v>4.0127875450878406E-3</v>
      </c>
    </row>
    <row r="717" spans="12:17" x14ac:dyDescent="0.3">
      <c r="L717" s="10">
        <f ca="1"/>
        <v>45295.229166666664</v>
      </c>
      <c r="M717" s="50">
        <f ca="1"/>
        <v>44151.1</v>
      </c>
      <c r="N717" s="51">
        <f t="shared" ca="1" si="33"/>
        <v>2207.5549999999998</v>
      </c>
      <c r="O717" s="51">
        <f ca="1">MAX(N717:$N$732)</f>
        <v>2247.3455000000004</v>
      </c>
      <c r="P717" s="52">
        <f t="shared" ca="1" si="34"/>
        <v>-1.7705555287338113E-2</v>
      </c>
      <c r="Q717" s="43">
        <f t="shared" ca="1" si="35"/>
        <v>1.3567966301559247E-4</v>
      </c>
    </row>
    <row r="718" spans="12:17" x14ac:dyDescent="0.3">
      <c r="L718" s="10">
        <f ca="1"/>
        <v>45294.229166666664</v>
      </c>
      <c r="M718" s="50">
        <f ca="1"/>
        <v>42845.23</v>
      </c>
      <c r="N718" s="51">
        <f t="shared" ca="1" si="33"/>
        <v>2142.2615000000001</v>
      </c>
      <c r="O718" s="51">
        <f ca="1">MAX(N718:$N$732)</f>
        <v>2247.3455000000004</v>
      </c>
      <c r="P718" s="52">
        <f t="shared" ca="1" si="34"/>
        <v>-4.6759165424275113E-2</v>
      </c>
      <c r="Q718" s="43">
        <f t="shared" ca="1" si="35"/>
        <v>-3.0023521507554957E-2</v>
      </c>
    </row>
    <row r="719" spans="12:17" x14ac:dyDescent="0.3">
      <c r="L719" s="10">
        <f ca="1"/>
        <v>45293.229166666664</v>
      </c>
      <c r="M719" s="50">
        <f ca="1"/>
        <v>44946.91</v>
      </c>
      <c r="N719" s="51">
        <f t="shared" ca="1" si="33"/>
        <v>2247.3455000000004</v>
      </c>
      <c r="O719" s="51">
        <f ca="1">MAX(N719:$N$732)</f>
        <v>2247.3455000000004</v>
      </c>
      <c r="P719" s="52">
        <f t="shared" ca="1" si="34"/>
        <v>0</v>
      </c>
      <c r="Q719" s="43">
        <f t="shared" ca="1" si="35"/>
        <v>4.7887695212560227E-2</v>
      </c>
    </row>
    <row r="720" spans="12:17" x14ac:dyDescent="0.3">
      <c r="L720" s="10">
        <f ca="1"/>
        <v>45292.229166666664</v>
      </c>
      <c r="M720" s="50">
        <f ca="1"/>
        <v>44179.55</v>
      </c>
      <c r="N720" s="51">
        <f t="shared" ca="1" si="33"/>
        <v>2208.9775000000004</v>
      </c>
      <c r="O720" s="51">
        <f ca="1">MAX(N720:$N$732)</f>
        <v>2208.9775000000004</v>
      </c>
      <c r="P720" s="52">
        <f t="shared" ca="1" si="34"/>
        <v>0</v>
      </c>
      <c r="Q720" s="43">
        <f t="shared" ca="1" si="35"/>
        <v>-1.7220003171135121E-2</v>
      </c>
    </row>
    <row r="721" spans="12:17" x14ac:dyDescent="0.3">
      <c r="L721" s="10">
        <f ca="1"/>
        <v>45291.229166666664</v>
      </c>
      <c r="M721" s="50">
        <f ca="1"/>
        <v>42283.58</v>
      </c>
      <c r="N721" s="51">
        <f t="shared" ca="1" si="33"/>
        <v>2114.1790000000001</v>
      </c>
      <c r="O721" s="51">
        <f ca="1">MAX(N721:$N$732)</f>
        <v>2198.4520000000002</v>
      </c>
      <c r="P721" s="52">
        <f t="shared" ca="1" si="34"/>
        <v>-3.833288150025569E-2</v>
      </c>
      <c r="Q721" s="43">
        <f t="shared" ca="1" si="35"/>
        <v>-4.386318131378103E-2</v>
      </c>
    </row>
    <row r="722" spans="12:17" x14ac:dyDescent="0.3">
      <c r="L722" s="10">
        <f ca="1"/>
        <v>45290.229166666664</v>
      </c>
      <c r="M722" s="50">
        <f ca="1"/>
        <v>42140.28</v>
      </c>
      <c r="N722" s="51">
        <f t="shared" ca="1" si="33"/>
        <v>2107.0140000000001</v>
      </c>
      <c r="O722" s="51">
        <f ca="1">MAX(N722:$N$732)</f>
        <v>2198.4520000000002</v>
      </c>
      <c r="P722" s="52">
        <f t="shared" ca="1" si="34"/>
        <v>-4.1591992911375865E-2</v>
      </c>
      <c r="Q722" s="43">
        <f t="shared" ca="1" si="35"/>
        <v>-3.3947781497300541E-3</v>
      </c>
    </row>
    <row r="723" spans="12:17" x14ac:dyDescent="0.3">
      <c r="L723" s="10">
        <f ca="1"/>
        <v>45289.229166666664</v>
      </c>
      <c r="M723" s="50">
        <f ca="1"/>
        <v>42066.95</v>
      </c>
      <c r="N723" s="51">
        <f t="shared" ca="1" si="33"/>
        <v>2103.3474999999999</v>
      </c>
      <c r="O723" s="51">
        <f ca="1">MAX(N723:$N$732)</f>
        <v>2198.4520000000002</v>
      </c>
      <c r="P723" s="52">
        <f t="shared" ca="1" si="34"/>
        <v>-4.3259757320150888E-2</v>
      </c>
      <c r="Q723" s="43">
        <f t="shared" ca="1" si="35"/>
        <v>-1.7416561151910332E-3</v>
      </c>
    </row>
    <row r="724" spans="12:17" x14ac:dyDescent="0.3">
      <c r="L724" s="10">
        <f ca="1"/>
        <v>45288.229166666664</v>
      </c>
      <c r="M724" s="50">
        <f ca="1"/>
        <v>42563.76</v>
      </c>
      <c r="N724" s="51">
        <f t="shared" ca="1" si="33"/>
        <v>2128.1880000000001</v>
      </c>
      <c r="O724" s="51">
        <f ca="1">MAX(N724:$N$732)</f>
        <v>2198.4520000000002</v>
      </c>
      <c r="P724" s="52">
        <f t="shared" ca="1" si="34"/>
        <v>-3.196067050815761E-2</v>
      </c>
      <c r="Q724" s="43">
        <f t="shared" ca="1" si="35"/>
        <v>1.1740790238734818E-2</v>
      </c>
    </row>
    <row r="725" spans="12:17" x14ac:dyDescent="0.3">
      <c r="L725" s="10">
        <f ca="1"/>
        <v>45287.229166666664</v>
      </c>
      <c r="M725" s="50">
        <f ca="1"/>
        <v>43428.85</v>
      </c>
      <c r="N725" s="51">
        <f t="shared" ca="1" si="33"/>
        <v>2171.4425000000001</v>
      </c>
      <c r="O725" s="51">
        <f ca="1">MAX(N725:$N$732)</f>
        <v>2198.4520000000002</v>
      </c>
      <c r="P725" s="52">
        <f t="shared" ca="1" si="34"/>
        <v>-1.2285690112861283E-2</v>
      </c>
      <c r="Q725" s="43">
        <f t="shared" ca="1" si="35"/>
        <v>2.0120779808235439E-2</v>
      </c>
    </row>
    <row r="726" spans="12:17" x14ac:dyDescent="0.3">
      <c r="L726" s="10">
        <f ca="1"/>
        <v>45286.229166666664</v>
      </c>
      <c r="M726" s="50">
        <f ca="1"/>
        <v>42508.93</v>
      </c>
      <c r="N726" s="51">
        <f t="shared" ca="1" si="33"/>
        <v>2125.4465</v>
      </c>
      <c r="O726" s="51">
        <f ca="1">MAX(N726:$N$732)</f>
        <v>2198.4520000000002</v>
      </c>
      <c r="P726" s="52">
        <f t="shared" ca="1" si="34"/>
        <v>-3.3207684316055211E-2</v>
      </c>
      <c r="Q726" s="43">
        <f t="shared" ca="1" si="35"/>
        <v>-2.1409795298211121E-2</v>
      </c>
    </row>
    <row r="727" spans="12:17" x14ac:dyDescent="0.3">
      <c r="L727" s="10">
        <f ca="1"/>
        <v>45285.229166666664</v>
      </c>
      <c r="M727" s="50">
        <f ca="1"/>
        <v>43576.13</v>
      </c>
      <c r="N727" s="51">
        <f t="shared" ca="1" si="33"/>
        <v>2178.8065000000001</v>
      </c>
      <c r="O727" s="51">
        <f ca="1">MAX(N727:$N$732)</f>
        <v>2198.4520000000002</v>
      </c>
      <c r="P727" s="52">
        <f t="shared" ca="1" si="34"/>
        <v>-8.9360604643631443E-3</v>
      </c>
      <c r="Q727" s="43">
        <f t="shared" ca="1" si="35"/>
        <v>2.479535186467063E-2</v>
      </c>
    </row>
    <row r="728" spans="12:17" x14ac:dyDescent="0.3">
      <c r="L728" s="10">
        <f ca="1"/>
        <v>45284.229166666664</v>
      </c>
      <c r="M728" s="50">
        <f ca="1"/>
        <v>42991.5</v>
      </c>
      <c r="N728" s="51">
        <f t="shared" ca="1" si="33"/>
        <v>2149.5750000000003</v>
      </c>
      <c r="O728" s="51">
        <f ca="1">MAX(N728:$N$732)</f>
        <v>2198.4520000000002</v>
      </c>
      <c r="P728" s="52">
        <f t="shared" ca="1" si="34"/>
        <v>-2.2232461750358864E-2</v>
      </c>
      <c r="Q728" s="43">
        <f t="shared" ca="1" si="35"/>
        <v>-1.3507101635684601E-2</v>
      </c>
    </row>
    <row r="729" spans="12:17" x14ac:dyDescent="0.3">
      <c r="L729" s="10">
        <f ca="1"/>
        <v>45283.229166666664</v>
      </c>
      <c r="M729" s="50">
        <f ca="1"/>
        <v>43702.16</v>
      </c>
      <c r="N729" s="51">
        <f t="shared" ca="1" si="33"/>
        <v>2185.1080000000002</v>
      </c>
      <c r="O729" s="51">
        <f ca="1">MAX(N729:$N$732)</f>
        <v>2198.4520000000002</v>
      </c>
      <c r="P729" s="52">
        <f t="shared" ca="1" si="34"/>
        <v>-6.0697254249808723E-3</v>
      </c>
      <c r="Q729" s="43">
        <f t="shared" ca="1" si="35"/>
        <v>1.6395107062850543E-2</v>
      </c>
    </row>
    <row r="730" spans="12:17" x14ac:dyDescent="0.3">
      <c r="L730" s="10">
        <f ca="1"/>
        <v>45282.229166666664</v>
      </c>
      <c r="M730" s="50">
        <f ca="1"/>
        <v>43969.04</v>
      </c>
      <c r="N730" s="51">
        <f t="shared" ca="1" si="33"/>
        <v>2198.4520000000002</v>
      </c>
      <c r="O730" s="51">
        <f ca="1">MAX(N730:$N$732)</f>
        <v>2198.4520000000002</v>
      </c>
      <c r="P730" s="52">
        <f t="shared" ca="1" si="34"/>
        <v>0</v>
      </c>
      <c r="Q730" s="43">
        <f t="shared" ca="1" si="35"/>
        <v>6.0882210887275691E-3</v>
      </c>
    </row>
    <row r="731" spans="12:17" x14ac:dyDescent="0.3">
      <c r="L731" s="10">
        <f ca="1"/>
        <v>45281.229166666664</v>
      </c>
      <c r="M731" s="50">
        <f ca="1"/>
        <v>43861.8</v>
      </c>
      <c r="N731" s="51">
        <f t="shared" ca="1" si="33"/>
        <v>2193.09</v>
      </c>
      <c r="O731" s="51">
        <f ca="1">MAX(N731:$N$732)</f>
        <v>2193.09</v>
      </c>
      <c r="P731" s="52">
        <f t="shared" ca="1" si="34"/>
        <v>0</v>
      </c>
      <c r="Q731" s="43">
        <f t="shared" ca="1" si="35"/>
        <v>-2.4419680670524665E-3</v>
      </c>
    </row>
    <row r="732" spans="12:17" x14ac:dyDescent="0.3">
      <c r="L732" s="10">
        <f ca="1"/>
        <v>45280.229166666664</v>
      </c>
      <c r="M732" s="50">
        <f ca="1"/>
        <v>43668.93</v>
      </c>
      <c r="N732" s="51">
        <f t="shared" ca="1" si="33"/>
        <v>2183.4465</v>
      </c>
      <c r="O732" s="51">
        <f ca="1">MAX(N732:$N$732)</f>
        <v>2183.4465</v>
      </c>
      <c r="P732" s="52">
        <f t="shared" ca="1" si="34"/>
        <v>0</v>
      </c>
      <c r="Q732" s="43">
        <f t="shared" ca="1" si="35"/>
        <v>-4.4069165684447907E-3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Analysis</vt:lpstr>
      <vt:lpstr>Formulas</vt:lpstr>
      <vt:lpstr>All Coins </vt:lpstr>
      <vt:lpstr>Ticker Streams</vt:lpstr>
      <vt:lpstr>Portfolio Risk Matrics</vt:lpstr>
      <vt:lpstr>OHLC 15m</vt:lpstr>
      <vt:lpstr>OHLC 1h</vt:lpstr>
      <vt:lpstr>OHLC 4h</vt:lpstr>
      <vt:lpstr>OHLC 1d</vt:lpstr>
      <vt:lpstr>Indicators 15m</vt:lpstr>
      <vt:lpstr>Signals 15m</vt:lpstr>
      <vt:lpstr>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2025-12-13T15:14:58Z</dcterms:created>
  <dcterms:modified xsi:type="dcterms:W3CDTF">2025-12-19T09:06:13Z</dcterms:modified>
</cp:coreProperties>
</file>