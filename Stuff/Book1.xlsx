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IS_Project\Bitcoin\"/>
    </mc:Choice>
  </mc:AlternateContent>
  <xr:revisionPtr revIDLastSave="0" documentId="8_{0F9ED3CF-D3DB-4C52-83B9-37CBB488D41E}" xr6:coauthVersionLast="47" xr6:coauthVersionMax="47" xr10:uidLastSave="{00000000-0000-0000-0000-000000000000}"/>
  <bookViews>
    <workbookView xWindow="-108" yWindow="-108" windowWidth="23256" windowHeight="12456" xr2:uid="{33D4D526-6186-47B8-BFFF-BC1123528629}"/>
  </bookViews>
  <sheets>
    <sheet name="Add Assets" sheetId="1" r:id="rId1"/>
    <sheet name="Asset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K12" i="1" a="1"/>
  <c r="K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<sst xmlns="http://schemas.openxmlformats.org/spreadsheetml/2006/main" count="15" uniqueCount="11">
  <si>
    <t>Quantity</t>
  </si>
  <si>
    <t>Buy Date</t>
  </si>
  <si>
    <t>Buy Price</t>
  </si>
  <si>
    <t>Invested Amount</t>
  </si>
  <si>
    <t>Current Value</t>
  </si>
  <si>
    <t>Absolute P&amp;L</t>
  </si>
  <si>
    <t>P&amp;L %</t>
  </si>
  <si>
    <t>Holding Days</t>
  </si>
  <si>
    <t>Annualized Return (CAGR-style)</t>
  </si>
  <si>
    <t>Max Drawdown</t>
  </si>
  <si>
    <t>Volatility (annualized)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</si>
</sst>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[$-14009]yyyy/mm/dd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0" tint="-0.14999847407452621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1" defaultTableStyle="TableStyleMedium2" defaultPivotStyle="PivotStyleLight16">
    <tableStyle name="Invisible" pivot="0" table="0" count="0" xr9:uid="{AF100EB0-912D-4CDA-8235-4F035917A3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</xdr:row>
      <xdr:rowOff>0</xdr:rowOff>
    </xdr:from>
    <xdr:to>
      <xdr:col>13</xdr:col>
      <xdr:colOff>533400</xdr:colOff>
      <xdr:row>4</xdr:row>
      <xdr:rowOff>114300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B38E5FD-F9B5-4659-B607-81F14EF39C50}"/>
            </a:ext>
          </a:extLst>
        </xdr:cNvPr>
        <xdr:cNvGrpSpPr/>
      </xdr:nvGrpSpPr>
      <xdr:grpSpPr>
        <a:xfrm>
          <a:off x="4953000" y="365760"/>
          <a:ext cx="4046220" cy="480060"/>
          <a:chOff x="4485800" y="106680"/>
          <a:chExt cx="3515200" cy="48006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CE4EB388-EDD3-0941-8158-F522C6E42C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5800" y="114300"/>
            <a:ext cx="410437" cy="449580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6F7B963-7F65-010A-22A5-E8B70908BA4F}"/>
              </a:ext>
            </a:extLst>
          </xdr:cNvPr>
          <xdr:cNvSpPr txBox="1"/>
        </xdr:nvSpPr>
        <xdr:spPr>
          <a:xfrm>
            <a:off x="4838700" y="106680"/>
            <a:ext cx="3162300" cy="480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2800" b="1"/>
              <a:t>ADD</a:t>
            </a:r>
            <a:r>
              <a:rPr lang="en-IN" sz="2800" b="1" baseline="0"/>
              <a:t> BITCOIN ASSET</a:t>
            </a:r>
            <a:endParaRPr lang="en-IN" sz="2800" b="1"/>
          </a:p>
        </xdr:txBody>
      </xdr:sp>
    </xdr:grpSp>
    <xdr:clientData/>
  </xdr:twoCellAnchor>
  <xdr:twoCellAnchor>
    <xdr:from>
      <xdr:col>8</xdr:col>
      <xdr:colOff>518160</xdr:colOff>
      <xdr:row>16</xdr:row>
      <xdr:rowOff>68580</xdr:rowOff>
    </xdr:from>
    <xdr:to>
      <xdr:col>10</xdr:col>
      <xdr:colOff>495300</xdr:colOff>
      <xdr:row>18</xdr:row>
      <xdr:rowOff>83820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EB6616F-FB1D-E673-2225-864AF5728F21}"/>
            </a:ext>
          </a:extLst>
        </xdr:cNvPr>
        <xdr:cNvSpPr/>
      </xdr:nvSpPr>
      <xdr:spPr>
        <a:xfrm>
          <a:off x="5394960" y="2994660"/>
          <a:ext cx="16383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08098-CC0F-450B-B71A-1ABCE8CFEAF5}" name="Table1" displayName="Table1" ref="F3:I4" insertRow="1" insertRowShift="1" totalsRowShown="0" dataDxfId="0" headerRowBorderDxfId="5" tableBorderDxfId="6">
  <tableColumns count="4">
    <tableColumn id="1" xr3:uid="{AA825C50-79B0-44F9-BB26-BA431A92007F}" name="Quantity" dataDxfId="4"/>
    <tableColumn id="2" xr3:uid="{C53E950C-0439-4C77-9A59-44ADA542EAA7}" name="Buy Date" dataDxfId="3"/>
    <tableColumn id="3" xr3:uid="{2473A624-BCF3-4EF7-AD75-0BDDAA54FC4E}" name="Buy Price" dataDxfId="2"/>
    <tableColumn id="4" xr3:uid="{5649E33E-22B7-4553-BD10-0F11459BFE6B}" name="Invested 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54AC-50CA-490C-94BD-87B2D080277B}">
  <dimension ref="I8:K16"/>
  <sheetViews>
    <sheetView showGridLines="0" tabSelected="1" workbookViewId="0">
      <selection activeCell="K6" sqref="K6"/>
    </sheetView>
  </sheetViews>
  <sheetFormatPr defaultRowHeight="14.4" x14ac:dyDescent="0.3"/>
  <cols>
    <col min="9" max="9" width="15.33203125" customWidth="1"/>
    <col min="11" max="11" width="10.33203125" bestFit="1" customWidth="1"/>
  </cols>
  <sheetData>
    <row r="8" spans="9:11" x14ac:dyDescent="0.3">
      <c r="I8" s="4" t="s">
        <v>0</v>
      </c>
      <c r="J8" s="9"/>
      <c r="K8" s="9">
        <v>0.5</v>
      </c>
    </row>
    <row r="9" spans="9:11" x14ac:dyDescent="0.3">
      <c r="I9" s="9"/>
      <c r="J9" s="9"/>
      <c r="K9" s="9"/>
    </row>
    <row r="10" spans="9:11" x14ac:dyDescent="0.3">
      <c r="I10" s="4" t="s">
        <v>1</v>
      </c>
      <c r="J10" s="9"/>
      <c r="K10" s="10">
        <v>45542</v>
      </c>
    </row>
    <row r="11" spans="9:11" x14ac:dyDescent="0.3">
      <c r="I11" s="9"/>
      <c r="J11" s="9"/>
      <c r="K11" s="9"/>
    </row>
    <row r="12" spans="9:11" x14ac:dyDescent="0.3">
      <c r="I12" s="4" t="s">
        <v>2</v>
      </c>
      <c r="J12" s="9"/>
      <c r="K12" s="9" cm="1">
        <f t="array" ref="K12">_xll.CryptoPriceOnDate("BTCUSDT",K10)</f>
        <v>54160.86</v>
      </c>
    </row>
    <row r="13" spans="9:11" x14ac:dyDescent="0.3">
      <c r="I13" s="9"/>
      <c r="J13" s="9"/>
      <c r="K13" s="9"/>
    </row>
    <row r="14" spans="9:11" x14ac:dyDescent="0.3">
      <c r="I14" s="4" t="s">
        <v>3</v>
      </c>
      <c r="J14" s="9"/>
      <c r="K14" s="9">
        <f>K8*K12</f>
        <v>27080.43</v>
      </c>
    </row>
    <row r="16" spans="9:11" x14ac:dyDescent="0.3">
      <c r="I16" s="5"/>
    </row>
  </sheetData>
  <conditionalFormatting sqref="I8 I10 I12 I16 I14">
    <cfRule type="expression" dxfId="8" priority="1">
      <formula>I8&lt;&gt;""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C3CA-6892-4909-8776-799297023578}">
  <dimension ref="F3:P4"/>
  <sheetViews>
    <sheetView workbookViewId="0">
      <selection activeCell="I3" sqref="I3"/>
    </sheetView>
  </sheetViews>
  <sheetFormatPr defaultRowHeight="14.4" x14ac:dyDescent="0.3"/>
  <cols>
    <col min="6" max="6" width="9.88671875" customWidth="1"/>
    <col min="7" max="7" width="10.21875" customWidth="1"/>
    <col min="8" max="8" width="10.33203125" customWidth="1"/>
    <col min="9" max="9" width="16.6640625" customWidth="1"/>
    <col min="10" max="10" width="12.109375" bestFit="1" customWidth="1"/>
    <col min="11" max="11" width="11.77734375" bestFit="1" customWidth="1"/>
    <col min="12" max="12" width="6.109375" bestFit="1" customWidth="1"/>
    <col min="13" max="13" width="11.44140625" bestFit="1" customWidth="1"/>
    <col min="14" max="14" width="26.6640625" bestFit="1" customWidth="1"/>
    <col min="15" max="15" width="14" bestFit="1" customWidth="1"/>
    <col min="16" max="16" width="18.6640625" bestFit="1" customWidth="1"/>
  </cols>
  <sheetData>
    <row r="3" spans="6:16" x14ac:dyDescent="0.3">
      <c r="F3" s="6" t="s">
        <v>0</v>
      </c>
      <c r="G3" s="7" t="s">
        <v>1</v>
      </c>
      <c r="H3" s="6" t="s">
        <v>2</v>
      </c>
      <c r="I3" s="7" t="s">
        <v>3</v>
      </c>
      <c r="J3" s="2" t="s">
        <v>4</v>
      </c>
      <c r="K3" s="1" t="s">
        <v>5</v>
      </c>
      <c r="L3" s="2" t="s">
        <v>6</v>
      </c>
      <c r="M3" s="3" t="s">
        <v>7</v>
      </c>
      <c r="N3" s="2" t="s">
        <v>8</v>
      </c>
      <c r="O3" s="3" t="s">
        <v>9</v>
      </c>
      <c r="P3" s="2" t="s">
        <v>10</v>
      </c>
    </row>
    <row r="4" spans="6:16" x14ac:dyDescent="0.3">
      <c r="F4" s="8"/>
      <c r="G4" s="8"/>
      <c r="H4" s="8"/>
      <c r="I4" s="8"/>
    </row>
  </sheetData>
  <conditionalFormatting sqref="F3:P3 F4:I4">
    <cfRule type="expression" dxfId="7" priority="1">
      <formula>F3&lt;&gt;""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 Assets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2026-01-11T13:25:48Z</dcterms:created>
  <dcterms:modified xsi:type="dcterms:W3CDTF">2026-01-11T13:54:01Z</dcterms:modified>
</cp:coreProperties>
</file>